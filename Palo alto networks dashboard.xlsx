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9D35AE11-7FFF-4B2B-8DBB-01BD3FBB625B}" xr6:coauthVersionLast="47" xr6:coauthVersionMax="47" xr10:uidLastSave="{00000000-0000-0000-0000-000000000000}"/>
  <bookViews>
    <workbookView xWindow="-110" yWindow="-110" windowWidth="19420" windowHeight="10300" xr2:uid="{D32A1172-0FF9-47E1-A7BC-D1BC750BCB44}"/>
  </bookViews>
  <sheets>
    <sheet name="cluster distribution" sheetId="2" r:id="rId1"/>
    <sheet name="greendestination (1)" sheetId="1" r:id="rId2"/>
  </sheets>
  <definedNames>
    <definedName name="Slicer_Department">#N/A</definedName>
    <definedName name="Slicer_Promotion_gap_ratio">#N/A</definedName>
  </definedNames>
  <calcPr calcId="0"/>
  <pivotCaches>
    <pivotCache cacheId="13" r:id="rId3"/>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Q3" i="1" l="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Q806" i="1"/>
  <c r="AQ807" i="1"/>
  <c r="AQ808" i="1"/>
  <c r="AQ809" i="1"/>
  <c r="AQ810" i="1"/>
  <c r="AQ811" i="1"/>
  <c r="AQ812" i="1"/>
  <c r="AQ813" i="1"/>
  <c r="AQ814" i="1"/>
  <c r="AQ815" i="1"/>
  <c r="AQ816" i="1"/>
  <c r="AQ817" i="1"/>
  <c r="AQ818" i="1"/>
  <c r="AQ819" i="1"/>
  <c r="AQ820" i="1"/>
  <c r="AQ821" i="1"/>
  <c r="AQ822" i="1"/>
  <c r="AQ823" i="1"/>
  <c r="AQ824"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5" i="1"/>
  <c r="AQ856" i="1"/>
  <c r="AQ857" i="1"/>
  <c r="AQ858" i="1"/>
  <c r="AQ859" i="1"/>
  <c r="AQ860" i="1"/>
  <c r="AQ861" i="1"/>
  <c r="AQ862"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965" i="1"/>
  <c r="AQ966" i="1"/>
  <c r="AQ967" i="1"/>
  <c r="AQ968" i="1"/>
  <c r="AQ969" i="1"/>
  <c r="AQ970" i="1"/>
  <c r="AQ971" i="1"/>
  <c r="AQ972" i="1"/>
  <c r="AQ973" i="1"/>
  <c r="AQ974" i="1"/>
  <c r="AQ975" i="1"/>
  <c r="AQ976" i="1"/>
  <c r="AQ977" i="1"/>
  <c r="AQ978" i="1"/>
  <c r="AQ979" i="1"/>
  <c r="AQ980" i="1"/>
  <c r="AQ981" i="1"/>
  <c r="AQ982" i="1"/>
  <c r="AQ983"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1364" i="1"/>
  <c r="AQ1365" i="1"/>
  <c r="AQ1366" i="1"/>
  <c r="AQ1367" i="1"/>
  <c r="AQ1368" i="1"/>
  <c r="AQ1369" i="1"/>
  <c r="AQ1370" i="1"/>
  <c r="AQ1371" i="1"/>
  <c r="AQ1372" i="1"/>
  <c r="AQ1373" i="1"/>
  <c r="AQ1374" i="1"/>
  <c r="AQ1375" i="1"/>
  <c r="AQ1376" i="1"/>
  <c r="AQ1377" i="1"/>
  <c r="AQ1378" i="1"/>
  <c r="AQ1379" i="1"/>
  <c r="AQ1380" i="1"/>
  <c r="AQ1381" i="1"/>
  <c r="AQ1382" i="1"/>
  <c r="AQ1383" i="1"/>
  <c r="AQ1384" i="1"/>
  <c r="AQ1385" i="1"/>
  <c r="AQ1386" i="1"/>
  <c r="AQ1387" i="1"/>
  <c r="AQ1388" i="1"/>
  <c r="AQ1389" i="1"/>
  <c r="AQ1390" i="1"/>
  <c r="AQ1391" i="1"/>
  <c r="AQ1392" i="1"/>
  <c r="AQ1393" i="1"/>
  <c r="AQ1394" i="1"/>
  <c r="AQ1395" i="1"/>
  <c r="AQ1396" i="1"/>
  <c r="AQ1397" i="1"/>
  <c r="AQ1398" i="1"/>
  <c r="AQ1399" i="1"/>
  <c r="AQ1400" i="1"/>
  <c r="AQ1401" i="1"/>
  <c r="AQ1402" i="1"/>
  <c r="AQ1403" i="1"/>
  <c r="AQ1404" i="1"/>
  <c r="AQ1405" i="1"/>
  <c r="AQ1406" i="1"/>
  <c r="AQ1407" i="1"/>
  <c r="AQ1408" i="1"/>
  <c r="AQ1409" i="1"/>
  <c r="AQ1410" i="1"/>
  <c r="AQ1411" i="1"/>
  <c r="AQ1412" i="1"/>
  <c r="AQ1413" i="1"/>
  <c r="AQ1414" i="1"/>
  <c r="AQ1415" i="1"/>
  <c r="AQ1416" i="1"/>
  <c r="AQ1417" i="1"/>
  <c r="AQ1418" i="1"/>
  <c r="AQ1419" i="1"/>
  <c r="AQ1420" i="1"/>
  <c r="AQ1421" i="1"/>
  <c r="AQ1422" i="1"/>
  <c r="AQ1423" i="1"/>
  <c r="AQ1424" i="1"/>
  <c r="AQ1425" i="1"/>
  <c r="AQ1426" i="1"/>
  <c r="AQ1427" i="1"/>
  <c r="AQ1428" i="1"/>
  <c r="AQ1429" i="1"/>
  <c r="AQ1430" i="1"/>
  <c r="AQ1431" i="1"/>
  <c r="AQ1432" i="1"/>
  <c r="AQ1433" i="1"/>
  <c r="AQ1434" i="1"/>
  <c r="AQ1435" i="1"/>
  <c r="AQ1436" i="1"/>
  <c r="AQ1437" i="1"/>
  <c r="AQ1438" i="1"/>
  <c r="AQ1439" i="1"/>
  <c r="AQ1440" i="1"/>
  <c r="AQ1441" i="1"/>
  <c r="AQ1442" i="1"/>
  <c r="AQ1443" i="1"/>
  <c r="AQ1444" i="1"/>
  <c r="AQ1445" i="1"/>
  <c r="AQ1446" i="1"/>
  <c r="AQ1447" i="1"/>
  <c r="AQ1448" i="1"/>
  <c r="AQ1449" i="1"/>
  <c r="AQ1450" i="1"/>
  <c r="AQ1451" i="1"/>
  <c r="AQ1452" i="1"/>
  <c r="AQ1453" i="1"/>
  <c r="AQ1454" i="1"/>
  <c r="AQ1455" i="1"/>
  <c r="AQ1456" i="1"/>
  <c r="AQ1457" i="1"/>
  <c r="AQ1458" i="1"/>
  <c r="AQ1459" i="1"/>
  <c r="AQ1460" i="1"/>
  <c r="AQ1461" i="1"/>
  <c r="AQ1462" i="1"/>
  <c r="AQ1463" i="1"/>
  <c r="AQ1464" i="1"/>
  <c r="AQ1465" i="1"/>
  <c r="AQ1466" i="1"/>
  <c r="AQ1467" i="1"/>
  <c r="AQ1468" i="1"/>
  <c r="AQ1469" i="1"/>
  <c r="AQ1470" i="1"/>
  <c r="AQ1471" i="1"/>
  <c r="AQ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P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2" i="1"/>
  <c r="AM4"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2" i="1"/>
  <c r="AM1471" i="1"/>
  <c r="AM3"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J1468" i="1"/>
  <c r="AJ1469" i="1"/>
  <c r="AJ1470" i="1"/>
  <c r="AJ1471"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2" i="1"/>
</calcChain>
</file>

<file path=xl/sharedStrings.xml><?xml version="1.0" encoding="utf-8"?>
<sst xmlns="http://schemas.openxmlformats.org/spreadsheetml/2006/main" count="13304" uniqueCount="81">
  <si>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</si>
  <si>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</si>
  <si>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</si>
  <si>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</si>
  <si>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</si>
  <si>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</si>
  <si>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</si>
  <si>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</si>
  <si>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</si>
  <si>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</si>
  <si>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</si>
  <si>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</si>
  <si>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</si>
  <si>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</si>
  <si>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</si>
  <si>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</si>
  <si>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</si>
  <si>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</si>
  <si>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</si>
  <si>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</si>
  <si>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</si>
  <si>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</si>
  <si>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</si>
  <si>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</si>
  <si>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</si>
  <si>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</si>
  <si>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</si>
  <si>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</si>
  <si>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</si>
  <si>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</si>
  <si>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</si>
  <si>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</si>
  <si>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</si>
  <si>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</si>
  <si>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</si>
  <si>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</si>
  <si>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</si>
  <si>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</si>
  <si>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</si>
  <si>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</si>
  <si>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</si>
  <si>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</si>
  <si>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</si>
  <si>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</si>
  <si>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</si>
  <si>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</si>
  <si>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</si>
  <si>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</si>
  <si>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</si>
  <si>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</si>
  <si>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</si>
  <si>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</si>
  <si>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</si>
  <si>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</si>
  <si>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</si>
  <si>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</si>
  <si>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</si>
  <si>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</si>
  <si>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</si>
  <si>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</si>
  <si>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</si>
  <si>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</si>
  <si>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company years check</t>
  </si>
  <si>
    <t>promotion check</t>
  </si>
  <si>
    <t>current role check</t>
  </si>
  <si>
    <t>Manager check</t>
  </si>
  <si>
    <t>Promotion gap ratio</t>
  </si>
  <si>
    <t>Role stagnation index</t>
  </si>
  <si>
    <t>Training intensity score</t>
  </si>
  <si>
    <t>Manager stability indicator</t>
  </si>
  <si>
    <t>Row Labels</t>
  </si>
  <si>
    <t>Grand Total</t>
  </si>
  <si>
    <t>Count of Attrition</t>
  </si>
  <si>
    <t>JOB ROLE</t>
  </si>
  <si>
    <t>Column Labels</t>
  </si>
  <si>
    <t>Sum of Age</t>
  </si>
  <si>
    <t>0-2</t>
  </si>
  <si>
    <t>3-5</t>
  </si>
  <si>
    <t>6-8</t>
  </si>
  <si>
    <t>9-11</t>
  </si>
  <si>
    <t>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</si>
</sst>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 alto networks dashboard.xlsx]cluster distribution!PivotTable1</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Employee career cluster distribution</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'cluster distribution'!$B$1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dPt>
          <c:cat>
            <c:strRef>
              <c:f>'cluster distribution'!$A$2:$A$11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'cluster distribution'!$B$2:$B$11</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9E8F-4485-B2B8-B72EE770E24C}"/>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 alto networks dashboard.xlsx]cluster distribution!PivotTable2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Promotion gap monitor by job role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'cluster distribution'!$B$13:$B$14</c:f>
              <c:strCache>
                <c:ptCount val="1"/>
                <c:pt idx="0">
                  <c:v>0-2</c:v>
                </c:pt>
              </c:strCache>
            </c:strRef>
          </c:tx>
          <c:spPr>
            <a:solidFill>
              <a:schemeClr val="accent1"/>
            </a:solidFill>
            <a:ln>
              <a:noFill/>
            </a:ln>
            <a:effectLst/>
          </c:spPr>
          <c:invertIfNegative val="0"/>
          <c:cat>
            <c:strRef>
              <c:f>'cluster distribution'!$A$15:$A$24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'cluster distribution'!$B$15:$B$24</c:f>
              <c:numCache>
                <c:formatCode>General</c:formatCode>
                <c:ptCount val="9"/>
                <c:pt idx="0">
                  <c:v>3489</c:v>
                </c:pt>
                <c:pt idx="1">
                  <c:v>1494</c:v>
                </c:pt>
                <c:pt idx="2">
                  <c:v>7305</c:v>
                </c:pt>
                <c:pt idx="3">
                  <c:v>2209</c:v>
                </c:pt>
                <c:pt idx="4">
                  <c:v>3927</c:v>
                </c:pt>
                <c:pt idx="5">
                  <c:v>2202</c:v>
                </c:pt>
                <c:pt idx="6">
                  <c:v>8387</c:v>
                </c:pt>
                <c:pt idx="7">
                  <c:v>8259</c:v>
                </c:pt>
                <c:pt idx="8">
                  <c:v>2174</c:v>
                </c:pt>
              </c:numCache>
            </c:numRef>
          </c:val>
          <c:extLst>
            <c:ext xmlns:c16="http://schemas.microsoft.com/office/drawing/2014/chart" uri="{C3380CC4-5D6E-409C-BE32-E72D297353CC}">
              <c16:uniqueId val="{00000000-6C31-44BC-8241-50936E44DE6F}"/>
            </c:ext>
          </c:extLst>
        </c:ser>
        <c:ser>
          <c:idx val="1"/>
          <c:order val="1"/>
          <c:tx>
            <c:strRef>
              <c:f>'cluster distribution'!$C$13:$C$14</c:f>
              <c:strCache>
                <c:ptCount val="1"/>
                <c:pt idx="0">
                  <c:v>3-5</c:v>
                </c:pt>
              </c:strCache>
            </c:strRef>
          </c:tx>
          <c:spPr>
            <a:solidFill>
              <a:schemeClr val="accent2"/>
            </a:solidFill>
            <a:ln>
              <a:noFill/>
            </a:ln>
            <a:effectLst/>
          </c:spPr>
          <c:invertIfNegative val="0"/>
          <c:cat>
            <c:strRef>
              <c:f>'cluster distribution'!$A$15:$A$24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'cluster distribution'!$C$15:$C$24</c:f>
              <c:numCache>
                <c:formatCode>General</c:formatCode>
                <c:ptCount val="9"/>
                <c:pt idx="0">
                  <c:v>582</c:v>
                </c:pt>
                <c:pt idx="1">
                  <c:v>298</c:v>
                </c:pt>
                <c:pt idx="2">
                  <c:v>779</c:v>
                </c:pt>
                <c:pt idx="3">
                  <c:v>829</c:v>
                </c:pt>
                <c:pt idx="4">
                  <c:v>921</c:v>
                </c:pt>
                <c:pt idx="5">
                  <c:v>595</c:v>
                </c:pt>
                <c:pt idx="6">
                  <c:v>614</c:v>
                </c:pt>
                <c:pt idx="7">
                  <c:v>1269</c:v>
                </c:pt>
                <c:pt idx="8">
                  <c:v>262</c:v>
                </c:pt>
              </c:numCache>
            </c:numRef>
          </c:val>
          <c:extLst>
            <c:ext xmlns:c16="http://schemas.microsoft.com/office/drawing/2014/chart" uri="{C3380CC4-5D6E-409C-BE32-E72D297353CC}">
              <c16:uniqueId val="{00000001-6C31-44BC-8241-50936E44DE6F}"/>
            </c:ext>
          </c:extLst>
        </c:ser>
        <c:ser>
          <c:idx val="2"/>
          <c:order val="2"/>
          <c:tx>
            <c:strRef>
              <c:f>'cluster distribution'!$D$13:$D$14</c:f>
              <c:strCache>
                <c:ptCount val="1"/>
                <c:pt idx="0">
                  <c:v>6-8</c:v>
                </c:pt>
              </c:strCache>
            </c:strRef>
          </c:tx>
          <c:spPr>
            <a:solidFill>
              <a:schemeClr val="accent3"/>
            </a:solidFill>
            <a:ln>
              <a:noFill/>
            </a:ln>
            <a:effectLst/>
          </c:spPr>
          <c:invertIfNegative val="0"/>
          <c:cat>
            <c:strRef>
              <c:f>'cluster distribution'!$A$15:$A$24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'cluster distribution'!$D$15:$D$24</c:f>
              <c:numCache>
                <c:formatCode>General</c:formatCode>
                <c:ptCount val="9"/>
                <c:pt idx="0">
                  <c:v>412</c:v>
                </c:pt>
                <c:pt idx="1">
                  <c:v>54</c:v>
                </c:pt>
                <c:pt idx="2">
                  <c:v>459</c:v>
                </c:pt>
                <c:pt idx="3">
                  <c:v>574</c:v>
                </c:pt>
                <c:pt idx="4">
                  <c:v>523</c:v>
                </c:pt>
                <c:pt idx="5">
                  <c:v>327</c:v>
                </c:pt>
                <c:pt idx="6">
                  <c:v>802</c:v>
                </c:pt>
                <c:pt idx="7">
                  <c:v>1583</c:v>
                </c:pt>
                <c:pt idx="8">
                  <c:v>84</c:v>
                </c:pt>
              </c:numCache>
            </c:numRef>
          </c:val>
          <c:extLst>
            <c:ext xmlns:c16="http://schemas.microsoft.com/office/drawing/2014/chart" uri="{C3380CC4-5D6E-409C-BE32-E72D297353CC}">
              <c16:uniqueId val="{00000002-6C31-44BC-8241-50936E44DE6F}"/>
            </c:ext>
          </c:extLst>
        </c:ser>
        <c:ser>
          <c:idx val="3"/>
          <c:order val="3"/>
          <c:tx>
            <c:strRef>
              <c:f>'cluster distribution'!$E$13:$E$14</c:f>
              <c:strCache>
                <c:ptCount val="1"/>
                <c:pt idx="0">
                  <c:v>9-11</c:v>
                </c:pt>
              </c:strCache>
            </c:strRef>
          </c:tx>
          <c:spPr>
            <a:solidFill>
              <a:schemeClr val="accent4"/>
            </a:solidFill>
            <a:ln>
              <a:noFill/>
            </a:ln>
            <a:effectLst/>
          </c:spPr>
          <c:invertIfNegative val="0"/>
          <c:cat>
            <c:strRef>
              <c:f>'cluster distribution'!$A$15:$A$24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'cluster distribution'!$E$15:$E$24</c:f>
              <c:numCache>
                <c:formatCode>General</c:formatCode>
                <c:ptCount val="9"/>
                <c:pt idx="0">
                  <c:v>348</c:v>
                </c:pt>
                <c:pt idx="2">
                  <c:v>215</c:v>
                </c:pt>
                <c:pt idx="3">
                  <c:v>562</c:v>
                </c:pt>
                <c:pt idx="4">
                  <c:v>39</c:v>
                </c:pt>
                <c:pt idx="6">
                  <c:v>150</c:v>
                </c:pt>
                <c:pt idx="7">
                  <c:v>591</c:v>
                </c:pt>
              </c:numCache>
            </c:numRef>
          </c:val>
          <c:extLst>
            <c:ext xmlns:c16="http://schemas.microsoft.com/office/drawing/2014/chart" uri="{C3380CC4-5D6E-409C-BE32-E72D297353CC}">
              <c16:uniqueId val="{00000003-6C31-44BC-8241-50936E44DE6F}"/>
            </c:ext>
          </c:extLst>
        </c:ser>
        <c:ser>
          <c:idx val="4"/>
          <c:order val="4"/>
          <c:tx>
            <c:strRef>
              <c:f>'cluster distribution'!$F$13:$F$14</c:f>
              <c:strCache>
                <c:ptCount val="1"/>
                <c:pt idx="0">
                  <c:v>12-15</c:v>
                </c:pt>
              </c:strCache>
            </c:strRef>
          </c:tx>
          <c:spPr>
            <a:solidFill>
              <a:schemeClr val="accent5"/>
            </a:solidFill>
            <a:ln>
              <a:noFill/>
            </a:ln>
            <a:effectLst/>
          </c:spPr>
          <c:invertIfNegative val="0"/>
          <c:cat>
            <c:strRef>
              <c:f>'cluster distribution'!$A$15:$A$24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'cluster distribution'!$F$15:$F$24</c:f>
              <c:numCache>
                <c:formatCode>General</c:formatCode>
                <c:ptCount val="9"/>
                <c:pt idx="0">
                  <c:v>384</c:v>
                </c:pt>
                <c:pt idx="2">
                  <c:v>73</c:v>
                </c:pt>
                <c:pt idx="3">
                  <c:v>596</c:v>
                </c:pt>
                <c:pt idx="4">
                  <c:v>143</c:v>
                </c:pt>
                <c:pt idx="5">
                  <c:v>396</c:v>
                </c:pt>
                <c:pt idx="6">
                  <c:v>44</c:v>
                </c:pt>
                <c:pt idx="7">
                  <c:v>324</c:v>
                </c:pt>
              </c:numCache>
            </c:numRef>
          </c:val>
          <c:extLst>
            <c:ext xmlns:c16="http://schemas.microsoft.com/office/drawing/2014/chart" uri="{C3380CC4-5D6E-409C-BE32-E72D297353CC}">
              <c16:uniqueId val="{00000004-6C31-44BC-8241-50936E44DE6F}"/>
            </c:ext>
          </c:extLst>
        </c:ser>
        <c:dLbls>
          <c:dLblPos val="inEnd"/>
          <c:showLegendKey val="0"/>
          <c:showVal val="0"/>
          <c:showCatName val="0"/>
          <c:showSerName val="0"/>
          <c:showPercent val="0"/>
          <c:showBubbleSize val="0"/>
        </c:dLbls>
        <c:gapWidth val="267"/>
        <c:overlap val="-43"/>
        <c:axId val="293796287"/>
        <c:axId val="293820287"/>
      </c:barChart>
      <c:catAx>
        <c:axId val="29379628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93820287"/>
        <c:crosses val="autoZero"/>
        <c:auto val="1"/>
        <c:lblAlgn val="ctr"/>
        <c:lblOffset val="100"/>
        <c:noMultiLvlLbl val="0"/>
      </c:catAx>
      <c:valAx>
        <c:axId val="2938202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9379628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38100</xdr:rowOff>
    </xdr:from>
    <xdr:to>
      <xdr:col>9</xdr:col>
      <xdr:colOff>342900</xdr:colOff>
      <xdr:row>11</xdr:row>
      <xdr:rowOff>95250</xdr:rowOff>
    </xdr:to>
    <xdr:graphicFrame macro="">
      <xdr:nvGraphicFramePr>
        <xdr:cNvPr id="2" name="Chart 1">
          <a:extLst>
            <a:ext uri="{FF2B5EF4-FFF2-40B4-BE49-F238E27FC236}">
              <a16:creationId xmlns:a16="http://schemas.microsoft.com/office/drawing/2014/main" id="{FD21D70E-B27A-FE7D-2C9D-29C382BB2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69850</xdr:colOff>
      <xdr:row>12</xdr:row>
      <xdr:rowOff>19050</xdr:rowOff>
    </xdr:from>
    <xdr:to>
      <xdr:col>18</xdr:col>
      <xdr:colOff>355600</xdr:colOff>
      <xdr:row>23</xdr:row>
      <xdr:rowOff>146050</xdr:rowOff>
    </xdr:to>
    <xdr:graphicFrame macro="">
      <xdr:nvGraphicFramePr>
        <xdr:cNvPr id="3" name="Chart 2">
          <a:extLst>
            <a:ext uri="{FF2B5EF4-FFF2-40B4-BE49-F238E27FC236}">
              <a16:creationId xmlns:a16="http://schemas.microsoft.com/office/drawing/2014/main" id="{54661492-EF26-4798-E0EA-63E69D308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31750</xdr:colOff>
      <xdr:row>0</xdr:row>
      <xdr:rowOff>38100</xdr:rowOff>
    </xdr:from>
    <xdr:to>
      <xdr:col>16</xdr:col>
      <xdr:colOff>260350</xdr:colOff>
      <xdr:row>11</xdr:row>
      <xdr:rowOff>82550</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11FB449A-A8FB-38BE-580B-3780F711C28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115050" y="38100"/>
              <a:ext cx="1828800" cy="207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412750</xdr:colOff>
      <xdr:row>12</xdr:row>
      <xdr:rowOff>44450</xdr:rowOff>
    </xdr:from>
    <xdr:to>
      <xdr:col>21</xdr:col>
      <xdr:colOff>298450</xdr:colOff>
      <xdr:row>23</xdr:row>
      <xdr:rowOff>177800</xdr:rowOff>
    </xdr:to>
    <mc:AlternateContent xmlns:mc="http://schemas.openxmlformats.org/markup-compatibility/2006">
      <mc:Choice xmlns:a14="http://schemas.microsoft.com/office/drawing/2010/main" Requires="a14">
        <xdr:graphicFrame macro="">
          <xdr:nvGraphicFramePr>
            <xdr:cNvPr id="5" name="Promotion gap ratio">
              <a:extLst>
                <a:ext uri="{FF2B5EF4-FFF2-40B4-BE49-F238E27FC236}">
                  <a16:creationId xmlns:a16="http://schemas.microsoft.com/office/drawing/2014/main" id="{4326AE24-8214-052F-5DD4-F0F9A4A80351}"/>
                </a:ext>
              </a:extLst>
            </xdr:cNvPr>
            <xdr:cNvGraphicFramePr/>
          </xdr:nvGraphicFramePr>
          <xdr:xfrm>
            <a:off x="0" y="0"/>
            <a:ext cx="0" cy="0"/>
          </xdr:xfrm>
          <a:graphic>
            <a:graphicData uri="http://schemas.microsoft.com/office/drawing/2010/slicer">
              <sle:slicer xmlns:sle="http://schemas.microsoft.com/office/drawing/2010/slicer" name="Promotion gap ratio"/>
            </a:graphicData>
          </a:graphic>
        </xdr:graphicFrame>
      </mc:Choice>
      <mc:Fallback>
        <xdr:sp macro="" textlink="">
          <xdr:nvSpPr>
            <xdr:cNvPr id="0" name=""/>
            <xdr:cNvSpPr>
              <a:spLocks noTextEdit="1"/>
            </xdr:cNvSpPr>
          </xdr:nvSpPr>
          <xdr:spPr>
            <a:xfrm>
              <a:off x="8839200" y="2254250"/>
              <a:ext cx="18288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9.684343171299" createdVersion="8" refreshedVersion="8" minRefreshableVersion="3" recordCount="1470" xr:uid="{55DAFCC0-24A4-42C8-83AC-18B14DF67CFA}">
  <cacheSource type="worksheet">
    <worksheetSource ref="A1:AQ1471" sheet="greendestination (1)"/>
  </cacheSource>
  <cacheFields count="43">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company years check" numFmtId="0">
      <sharedItems/>
    </cacheField>
    <cacheField name="promotion check" numFmtId="0">
      <sharedItems/>
    </cacheField>
    <cacheField name="current role check" numFmtId="0">
      <sharedItems/>
    </cacheField>
    <cacheField name="Manager check" numFmtId="0">
      <sharedItems/>
    </cacheField>
    <cacheField name="Promotion gap ratio" numFmtId="2">
      <sharedItems containsSemiMixedTypes="0" containsString="0" containsNumber="1" minValue="0" maxValue="1" count="113">
        <n v="0"/>
        <n v="0.1"/>
        <n v="0.375"/>
        <n v="1"/>
        <n v="0.42857142857142855"/>
        <n v="0.1111111111111111"/>
        <n v="0.8"/>
        <n v="0.5"/>
        <n v="0.12"/>
        <n v="0.33333333333333331"/>
        <n v="0.25"/>
        <n v="0.16666666666666666"/>
        <n v="0.2857142857142857"/>
        <n v="0.6"/>
        <n v="0.44444444444444442"/>
        <n v="0.22727272727272727"/>
        <n v="0.2"/>
        <n v="0.68181818181818177"/>
        <n v="0.88888888888888884"/>
        <n v="0.53333333333333333"/>
        <n v="0.14285714285714285"/>
        <n v="0.77777777777777779"/>
        <n v="0.9"/>
        <n v="0.48148148148148145"/>
        <n v="0.70588235294117652"/>
        <n v="9.0909090909090912E-2"/>
        <n v="0.13333333333333333"/>
        <n v="0.3"/>
        <n v="7.6923076923076927E-2"/>
        <n v="0.90909090909090906"/>
        <n v="0.18181818181818182"/>
        <n v="0.45454545454545453"/>
        <n v="2.7027027027027029E-2"/>
        <n v="0.125"/>
        <n v="0.66666666666666663"/>
        <n v="0.92307692307692313"/>
        <n v="0.22222222222222221"/>
        <n v="0.16"/>
        <n v="0.75"/>
        <n v="0.625"/>
        <n v="0.36363636363636365"/>
        <n v="0.5714285714285714"/>
        <n v="0.7"/>
        <n v="0.875"/>
        <n v="0.45"/>
        <n v="8.3333333333333329E-2"/>
        <n v="0.4"/>
        <n v="0.55000000000000004"/>
        <n v="0.6428571428571429"/>
        <n v="0.63157894736842102"/>
        <n v="0.23076923076923078"/>
        <n v="0.3125"/>
        <n v="0.55555555555555558"/>
        <n v="5.8823529411764705E-2"/>
        <n v="4.1666666666666664E-2"/>
        <n v="0.57894736842105265"/>
        <n v="0.8571428571428571"/>
        <n v="0.29411764705882354"/>
        <n v="0.54545454545454541"/>
        <n v="0.30769230769230771"/>
        <n v="0.52380952380952384"/>
        <n v="0.84615384615384615"/>
        <n v="0.61904761904761907"/>
        <n v="0.76923076923076927"/>
        <n v="4.7619047619047616E-2"/>
        <n v="0.37931034482758619"/>
        <n v="0.05"/>
        <n v="0.72222222222222221"/>
        <n v="0.7142857142857143"/>
        <n v="7.1428571428571425E-2"/>
        <n v="0.61111111111111116"/>
        <n v="0.6470588235294118"/>
        <n v="0.15"/>
        <n v="5.5555555555555552E-2"/>
        <n v="2.9411764705882353E-2"/>
        <n v="0.26666666666666666"/>
        <n v="0.58333333333333337"/>
        <n v="0.11538461538461539"/>
        <n v="0.41935483870967744"/>
        <n v="0.45161290322580644"/>
        <n v="3.8461538461538464E-2"/>
        <n v="0.27272727272727271"/>
        <n v="0.1875"/>
        <n v="0.7857142857142857"/>
        <n v="0.88235294117647056"/>
        <n v="0.10526315789473684"/>
        <n v="0.23809523809523808"/>
        <n v="0.91666666666666663"/>
        <n v="9.5238095238095233E-2"/>
        <n v="6.25E-2"/>
        <n v="5.2631578947368418E-2"/>
        <n v="0.59090909090909094"/>
        <n v="0.21428571428571427"/>
        <n v="0.57692307692307687"/>
        <n v="0.65"/>
        <n v="0.13636363636363635"/>
        <n v="0.56000000000000005"/>
        <n v="0.78947368421052633"/>
        <n v="0.47368421052631576"/>
        <n v="0.15789473684210525"/>
        <n v="0.69230769230769229"/>
        <n v="0.41666666666666669"/>
        <n v="0.38461538461538464"/>
        <n v="0.40625"/>
        <n v="3.0303030303030304E-2"/>
        <n v="4.5454545454545456E-2"/>
        <n v="0.46153846153846156"/>
        <n v="0.63636363636363635"/>
        <n v="0.15384615384615385"/>
        <n v="0.60869565217391308"/>
        <n v="0.38095238095238093"/>
        <n v="0.35714285714285715"/>
        <n v="0.73333333333333328"/>
      </sharedItems>
    </cacheField>
    <cacheField name="Role stagnation index" numFmtId="2">
      <sharedItems containsSemiMixedTypes="0" containsString="0" containsNumber="1" minValue="0" maxValue="1"/>
    </cacheField>
    <cacheField name="Training intensity score" numFmtId="2">
      <sharedItems containsSemiMixedTypes="0" containsString="0" containsNumber="1" minValue="0" maxValue="6"/>
    </cacheField>
    <cacheField name="Manager stability indicator" numFmtId="2">
      <sharedItems containsSemiMixedTypes="0" containsString="0" containsNumber="1" minValue="0" maxValue="1"/>
    </cacheField>
  </cacheFields>
  <extLst>
    <ext xmlns:x14="http://schemas.microsoft.com/office/spreadsheetml/2009/9/main" uri="{725AE2AE-9491-48be-B2B4-4EB974FC3084}">
      <x14:pivotCacheDefinition pivotCacheId="6850768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9.688078703701" createdVersion="8" refreshedVersion="8" minRefreshableVersion="3" recordCount="1472" xr:uid="{1288AAD8-1865-41ED-96AF-07DB22E4606F}">
  <cacheSource type="worksheet">
    <worksheetSource ref="A1:AQ1048576" sheet="greendestination (1)"/>
  </cacheSource>
  <cacheFields count="43">
    <cacheField name="Age" numFmtId="0">
      <sharedItems containsString="0" containsBlank="1" containsNumber="1" containsInteger="1" minValue="18" maxValue="60"/>
    </cacheField>
    <cacheField name="Attrition" numFmtId="0">
      <sharedItems containsBlank="1"/>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ount="17">
        <n v="0"/>
        <n v="1"/>
        <n v="3"/>
        <n v="2"/>
        <n v="7"/>
        <n v="4"/>
        <n v="8"/>
        <n v="6"/>
        <n v="5"/>
        <n v="15"/>
        <n v="9"/>
        <n v="13"/>
        <n v="12"/>
        <n v="10"/>
        <n v="11"/>
        <n v="14"/>
        <m/>
      </sharedItems>
      <fieldGroup base="33">
        <rangePr startNum="0" endNum="15" groupInterval="3"/>
        <groupItems count="7">
          <s v="(blank)"/>
          <s v="0-2"/>
          <s v="3-5"/>
          <s v="6-8"/>
          <s v="9-11"/>
          <s v="12-15"/>
          <s v="&gt;15"/>
        </groupItems>
      </fieldGroup>
    </cacheField>
    <cacheField name="YearsWithCurrManager" numFmtId="0">
      <sharedItems containsString="0" containsBlank="1" containsNumber="1" containsInteger="1" minValue="0" maxValue="17"/>
    </cacheField>
    <cacheField name="company years check" numFmtId="0">
      <sharedItems containsBlank="1"/>
    </cacheField>
    <cacheField name="promotion check" numFmtId="0">
      <sharedItems containsBlank="1"/>
    </cacheField>
    <cacheField name="current role check" numFmtId="0">
      <sharedItems containsBlank="1"/>
    </cacheField>
    <cacheField name="Manager check" numFmtId="0">
      <sharedItems containsBlank="1"/>
    </cacheField>
    <cacheField name="Promotion gap ratio" numFmtId="0">
      <sharedItems containsString="0" containsBlank="1" containsNumber="1" minValue="0" maxValue="1"/>
    </cacheField>
    <cacheField name="Role stagnation index" numFmtId="0">
      <sharedItems containsString="0" containsBlank="1" containsNumber="1" minValue="0" maxValue="1"/>
    </cacheField>
    <cacheField name="Training intensity score" numFmtId="0">
      <sharedItems containsString="0" containsBlank="1" containsNumber="1" minValue="0" maxValue="6"/>
    </cacheField>
    <cacheField name="Manager stability indicator" numFmtId="0">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s v="Female"/>
    <n v="94"/>
    <n v="3"/>
    <n v="2"/>
    <x v="0"/>
    <n v="4"/>
    <s v="Single"/>
    <n v="5993"/>
    <n v="19479"/>
    <n v="8"/>
    <s v="Y"/>
    <s v="Yes"/>
    <n v="11"/>
    <n v="3"/>
    <n v="1"/>
    <n v="80"/>
    <n v="0"/>
    <n v="8"/>
    <n v="0"/>
    <n v="1"/>
    <n v="6"/>
    <n v="4"/>
    <n v="0"/>
    <n v="5"/>
    <s v="OK"/>
    <s v="OK"/>
    <s v="OK"/>
    <s v="OK"/>
    <x v="0"/>
    <n v="0.66666666666666663"/>
    <n v="0"/>
    <n v="0.83333333333333337"/>
  </r>
  <r>
    <n v="49"/>
    <s v="No"/>
    <s v="Travel_Frequently"/>
    <n v="279"/>
    <x v="1"/>
    <n v="8"/>
    <n v="1"/>
    <s v="Life Sciences"/>
    <n v="1"/>
    <n v="2"/>
    <n v="3"/>
    <s v="Male"/>
    <n v="61"/>
    <n v="2"/>
    <n v="2"/>
    <x v="1"/>
    <n v="2"/>
    <s v="Married"/>
    <n v="5130"/>
    <n v="24907"/>
    <n v="1"/>
    <s v="Y"/>
    <s v="No"/>
    <n v="23"/>
    <n v="4"/>
    <n v="4"/>
    <n v="80"/>
    <n v="1"/>
    <n v="10"/>
    <n v="3"/>
    <n v="3"/>
    <n v="10"/>
    <n v="7"/>
    <n v="1"/>
    <n v="7"/>
    <s v="OK"/>
    <s v="OK"/>
    <s v="OK"/>
    <s v="OK"/>
    <x v="1"/>
    <n v="0.7"/>
    <n v="0.3"/>
    <n v="0.7"/>
  </r>
  <r>
    <n v="37"/>
    <s v="Yes"/>
    <s v="Travel_Rarely"/>
    <n v="1373"/>
    <x v="1"/>
    <n v="2"/>
    <n v="2"/>
    <s v="Other"/>
    <n v="1"/>
    <n v="4"/>
    <n v="4"/>
    <s v="Male"/>
    <n v="92"/>
    <n v="2"/>
    <n v="1"/>
    <x v="2"/>
    <n v="3"/>
    <s v="Single"/>
    <n v="2090"/>
    <n v="2396"/>
    <n v="6"/>
    <s v="Y"/>
    <s v="Yes"/>
    <n v="15"/>
    <n v="3"/>
    <n v="2"/>
    <n v="80"/>
    <n v="0"/>
    <n v="7"/>
    <n v="3"/>
    <n v="3"/>
    <n v="0"/>
    <n v="0"/>
    <n v="0"/>
    <n v="0"/>
    <s v="OK"/>
    <s v="OK"/>
    <s v="OK"/>
    <s v="OK"/>
    <x v="0"/>
    <n v="0"/>
    <n v="0"/>
    <n v="0"/>
  </r>
  <r>
    <n v="33"/>
    <s v="No"/>
    <s v="Travel_Frequently"/>
    <n v="1392"/>
    <x v="1"/>
    <n v="3"/>
    <n v="4"/>
    <s v="Life Sciences"/>
    <n v="1"/>
    <n v="5"/>
    <n v="4"/>
    <s v="Female"/>
    <n v="56"/>
    <n v="3"/>
    <n v="1"/>
    <x v="1"/>
    <n v="3"/>
    <s v="Married"/>
    <n v="2909"/>
    <n v="23159"/>
    <n v="1"/>
    <s v="Y"/>
    <s v="Yes"/>
    <n v="11"/>
    <n v="3"/>
    <n v="3"/>
    <n v="80"/>
    <n v="0"/>
    <n v="8"/>
    <n v="3"/>
    <n v="3"/>
    <n v="8"/>
    <n v="7"/>
    <n v="3"/>
    <n v="0"/>
    <s v="OK"/>
    <s v="OK"/>
    <s v="OK"/>
    <s v="OK"/>
    <x v="2"/>
    <n v="0.875"/>
    <n v="0.375"/>
    <n v="0"/>
  </r>
  <r>
    <n v="27"/>
    <s v="No"/>
    <s v="Travel_Rarely"/>
    <n v="591"/>
    <x v="1"/>
    <n v="2"/>
    <n v="1"/>
    <s v="Medical"/>
    <n v="1"/>
    <n v="7"/>
    <n v="1"/>
    <s v="Male"/>
    <n v="40"/>
    <n v="3"/>
    <n v="1"/>
    <x v="2"/>
    <n v="2"/>
    <s v="Married"/>
    <n v="3468"/>
    <n v="16632"/>
    <n v="9"/>
    <s v="Y"/>
    <s v="No"/>
    <n v="12"/>
    <n v="3"/>
    <n v="4"/>
    <n v="80"/>
    <n v="1"/>
    <n v="6"/>
    <n v="3"/>
    <n v="3"/>
    <n v="2"/>
    <n v="2"/>
    <n v="2"/>
    <n v="2"/>
    <s v="OK"/>
    <s v="OK"/>
    <s v="OK"/>
    <s v="OK"/>
    <x v="3"/>
    <n v="1"/>
    <n v="1.5"/>
    <n v="1"/>
  </r>
  <r>
    <n v="32"/>
    <s v="No"/>
    <s v="Travel_Frequently"/>
    <n v="1005"/>
    <x v="1"/>
    <n v="2"/>
    <n v="2"/>
    <s v="Life Sciences"/>
    <n v="1"/>
    <n v="8"/>
    <n v="4"/>
    <s v="Male"/>
    <n v="79"/>
    <n v="3"/>
    <n v="1"/>
    <x v="2"/>
    <n v="4"/>
    <s v="Single"/>
    <n v="3068"/>
    <n v="11864"/>
    <n v="0"/>
    <s v="Y"/>
    <s v="No"/>
    <n v="13"/>
    <n v="3"/>
    <n v="3"/>
    <n v="80"/>
    <n v="0"/>
    <n v="8"/>
    <n v="2"/>
    <n v="2"/>
    <n v="7"/>
    <n v="7"/>
    <n v="3"/>
    <n v="6"/>
    <s v="OK"/>
    <s v="OK"/>
    <s v="OK"/>
    <s v="OK"/>
    <x v="4"/>
    <n v="1"/>
    <n v="0.2857142857142857"/>
    <n v="0.8571428571428571"/>
  </r>
  <r>
    <n v="59"/>
    <s v="No"/>
    <s v="Travel_Rarely"/>
    <n v="1324"/>
    <x v="1"/>
    <n v="3"/>
    <n v="3"/>
    <s v="Medical"/>
    <n v="1"/>
    <n v="10"/>
    <n v="3"/>
    <s v="Female"/>
    <n v="81"/>
    <n v="4"/>
    <n v="1"/>
    <x v="2"/>
    <n v="1"/>
    <s v="Married"/>
    <n v="2670"/>
    <n v="9964"/>
    <n v="4"/>
    <s v="Y"/>
    <s v="Yes"/>
    <n v="20"/>
    <n v="4"/>
    <n v="1"/>
    <n v="80"/>
    <n v="3"/>
    <n v="12"/>
    <n v="3"/>
    <n v="2"/>
    <n v="1"/>
    <n v="0"/>
    <n v="0"/>
    <n v="0"/>
    <s v="OK"/>
    <s v="OK"/>
    <s v="OK"/>
    <s v="OK"/>
    <x v="0"/>
    <n v="0"/>
    <n v="3"/>
    <n v="0"/>
  </r>
  <r>
    <n v="30"/>
    <s v="No"/>
    <s v="Travel_Rarely"/>
    <n v="1358"/>
    <x v="1"/>
    <n v="24"/>
    <n v="1"/>
    <s v="Life Sciences"/>
    <n v="1"/>
    <n v="11"/>
    <n v="4"/>
    <s v="Male"/>
    <n v="67"/>
    <n v="3"/>
    <n v="1"/>
    <x v="2"/>
    <n v="3"/>
    <s v="Divorced"/>
    <n v="2693"/>
    <n v="13335"/>
    <n v="1"/>
    <s v="Y"/>
    <s v="No"/>
    <n v="22"/>
    <n v="4"/>
    <n v="2"/>
    <n v="80"/>
    <n v="1"/>
    <n v="1"/>
    <n v="2"/>
    <n v="3"/>
    <n v="1"/>
    <n v="0"/>
    <n v="0"/>
    <n v="0"/>
    <s v="OK"/>
    <s v="OK"/>
    <s v="OK"/>
    <s v="OK"/>
    <x v="0"/>
    <n v="0"/>
    <n v="2"/>
    <n v="0"/>
  </r>
  <r>
    <n v="38"/>
    <s v="No"/>
    <s v="Travel_Frequently"/>
    <n v="216"/>
    <x v="1"/>
    <n v="23"/>
    <n v="3"/>
    <s v="Life Sciences"/>
    <n v="1"/>
    <n v="12"/>
    <n v="4"/>
    <s v="Male"/>
    <n v="44"/>
    <n v="2"/>
    <n v="3"/>
    <x v="3"/>
    <n v="3"/>
    <s v="Single"/>
    <n v="9526"/>
    <n v="8787"/>
    <n v="0"/>
    <s v="Y"/>
    <s v="No"/>
    <n v="21"/>
    <n v="4"/>
    <n v="2"/>
    <n v="80"/>
    <n v="0"/>
    <n v="10"/>
    <n v="2"/>
    <n v="3"/>
    <n v="9"/>
    <n v="7"/>
    <n v="1"/>
    <n v="8"/>
    <s v="OK"/>
    <s v="OK"/>
    <s v="OK"/>
    <s v="OK"/>
    <x v="5"/>
    <n v="0.77777777777777779"/>
    <n v="0.22222222222222221"/>
    <n v="0.88888888888888884"/>
  </r>
  <r>
    <n v="36"/>
    <s v="No"/>
    <s v="Travel_Rarely"/>
    <n v="1299"/>
    <x v="1"/>
    <n v="27"/>
    <n v="3"/>
    <s v="Medical"/>
    <n v="1"/>
    <n v="13"/>
    <n v="3"/>
    <s v="Male"/>
    <n v="94"/>
    <n v="3"/>
    <n v="2"/>
    <x v="4"/>
    <n v="3"/>
    <s v="Married"/>
    <n v="5237"/>
    <n v="16577"/>
    <n v="6"/>
    <s v="Y"/>
    <s v="No"/>
    <n v="13"/>
    <n v="3"/>
    <n v="2"/>
    <n v="80"/>
    <n v="2"/>
    <n v="17"/>
    <n v="3"/>
    <n v="2"/>
    <n v="7"/>
    <n v="7"/>
    <n v="7"/>
    <n v="7"/>
    <s v="OK"/>
    <s v="OK"/>
    <s v="OK"/>
    <s v="OK"/>
    <x v="3"/>
    <n v="1"/>
    <n v="0.42857142857142855"/>
    <n v="1"/>
  </r>
  <r>
    <n v="35"/>
    <s v="No"/>
    <s v="Travel_Rarely"/>
    <n v="809"/>
    <x v="1"/>
    <n v="16"/>
    <n v="3"/>
    <s v="Medical"/>
    <n v="1"/>
    <n v="14"/>
    <n v="1"/>
    <s v="Male"/>
    <n v="84"/>
    <n v="4"/>
    <n v="1"/>
    <x v="2"/>
    <n v="2"/>
    <s v="Married"/>
    <n v="2426"/>
    <n v="16479"/>
    <n v="0"/>
    <s v="Y"/>
    <s v="No"/>
    <n v="13"/>
    <n v="3"/>
    <n v="3"/>
    <n v="80"/>
    <n v="1"/>
    <n v="6"/>
    <n v="5"/>
    <n v="3"/>
    <n v="5"/>
    <n v="4"/>
    <n v="0"/>
    <n v="3"/>
    <s v="OK"/>
    <s v="OK"/>
    <s v="OK"/>
    <s v="OK"/>
    <x v="0"/>
    <n v="0.8"/>
    <n v="1"/>
    <n v="0.6"/>
  </r>
  <r>
    <n v="29"/>
    <s v="No"/>
    <s v="Travel_Rarely"/>
    <n v="153"/>
    <x v="1"/>
    <n v="15"/>
    <n v="2"/>
    <s v="Life Sciences"/>
    <n v="1"/>
    <n v="15"/>
    <n v="4"/>
    <s v="Female"/>
    <n v="49"/>
    <n v="2"/>
    <n v="2"/>
    <x v="2"/>
    <n v="3"/>
    <s v="Single"/>
    <n v="4193"/>
    <n v="12682"/>
    <n v="0"/>
    <s v="Y"/>
    <s v="Yes"/>
    <n v="12"/>
    <n v="3"/>
    <n v="4"/>
    <n v="80"/>
    <n v="0"/>
    <n v="10"/>
    <n v="3"/>
    <n v="3"/>
    <n v="9"/>
    <n v="5"/>
    <n v="0"/>
    <n v="8"/>
    <s v="OK"/>
    <s v="OK"/>
    <s v="OK"/>
    <s v="OK"/>
    <x v="0"/>
    <n v="0.55555555555555558"/>
    <n v="0.33333333333333331"/>
    <n v="0.88888888888888884"/>
  </r>
  <r>
    <n v="31"/>
    <s v="No"/>
    <s v="Travel_Rarely"/>
    <n v="670"/>
    <x v="1"/>
    <n v="26"/>
    <n v="1"/>
    <s v="Life Sciences"/>
    <n v="1"/>
    <n v="16"/>
    <n v="1"/>
    <s v="Male"/>
    <n v="31"/>
    <n v="3"/>
    <n v="1"/>
    <x v="1"/>
    <n v="3"/>
    <s v="Divorced"/>
    <n v="2911"/>
    <n v="15170"/>
    <n v="1"/>
    <s v="Y"/>
    <s v="No"/>
    <n v="17"/>
    <n v="3"/>
    <n v="4"/>
    <n v="80"/>
    <n v="1"/>
    <n v="5"/>
    <n v="1"/>
    <n v="2"/>
    <n v="5"/>
    <n v="2"/>
    <n v="4"/>
    <n v="3"/>
    <s v="OK"/>
    <s v="OK"/>
    <s v="OK"/>
    <s v="OK"/>
    <x v="6"/>
    <n v="0.4"/>
    <n v="0.2"/>
    <n v="0.6"/>
  </r>
  <r>
    <n v="34"/>
    <s v="No"/>
    <s v="Travel_Rarely"/>
    <n v="1346"/>
    <x v="1"/>
    <n v="19"/>
    <n v="2"/>
    <s v="Medical"/>
    <n v="1"/>
    <n v="18"/>
    <n v="2"/>
    <s v="Male"/>
    <n v="93"/>
    <n v="3"/>
    <n v="1"/>
    <x v="2"/>
    <n v="4"/>
    <s v="Divorced"/>
    <n v="2661"/>
    <n v="8758"/>
    <n v="0"/>
    <s v="Y"/>
    <s v="No"/>
    <n v="11"/>
    <n v="3"/>
    <n v="3"/>
    <n v="80"/>
    <n v="1"/>
    <n v="3"/>
    <n v="2"/>
    <n v="3"/>
    <n v="2"/>
    <n v="2"/>
    <n v="1"/>
    <n v="2"/>
    <s v="OK"/>
    <s v="OK"/>
    <s v="OK"/>
    <s v="OK"/>
    <x v="7"/>
    <n v="1"/>
    <n v="1"/>
    <n v="1"/>
  </r>
  <r>
    <n v="28"/>
    <s v="Yes"/>
    <s v="Travel_Rarely"/>
    <n v="103"/>
    <x v="1"/>
    <n v="24"/>
    <n v="3"/>
    <s v="Life Sciences"/>
    <n v="1"/>
    <n v="19"/>
    <n v="3"/>
    <s v="Male"/>
    <n v="50"/>
    <n v="2"/>
    <n v="1"/>
    <x v="2"/>
    <n v="3"/>
    <s v="Single"/>
    <n v="2028"/>
    <n v="12947"/>
    <n v="5"/>
    <s v="Y"/>
    <s v="Yes"/>
    <n v="14"/>
    <n v="3"/>
    <n v="2"/>
    <n v="80"/>
    <n v="0"/>
    <n v="6"/>
    <n v="4"/>
    <n v="3"/>
    <n v="4"/>
    <n v="2"/>
    <n v="0"/>
    <n v="3"/>
    <s v="OK"/>
    <s v="OK"/>
    <s v="OK"/>
    <s v="OK"/>
    <x v="0"/>
    <n v="0.5"/>
    <n v="1"/>
    <n v="0.75"/>
  </r>
  <r>
    <n v="29"/>
    <s v="No"/>
    <s v="Travel_Rarely"/>
    <n v="1389"/>
    <x v="1"/>
    <n v="21"/>
    <n v="4"/>
    <s v="Life Sciences"/>
    <n v="1"/>
    <n v="20"/>
    <n v="2"/>
    <s v="Female"/>
    <n v="51"/>
    <n v="4"/>
    <n v="3"/>
    <x v="3"/>
    <n v="1"/>
    <s v="Divorced"/>
    <n v="9980"/>
    <n v="10195"/>
    <n v="1"/>
    <s v="Y"/>
    <s v="No"/>
    <n v="11"/>
    <n v="3"/>
    <n v="3"/>
    <n v="80"/>
    <n v="1"/>
    <n v="10"/>
    <n v="1"/>
    <n v="3"/>
    <n v="10"/>
    <n v="9"/>
    <n v="8"/>
    <n v="8"/>
    <s v="OK"/>
    <s v="OK"/>
    <s v="OK"/>
    <s v="OK"/>
    <x v="6"/>
    <n v="0.9"/>
    <n v="0.1"/>
    <n v="0.8"/>
  </r>
  <r>
    <n v="32"/>
    <s v="No"/>
    <s v="Travel_Rarely"/>
    <n v="334"/>
    <x v="1"/>
    <n v="5"/>
    <n v="2"/>
    <s v="Life Sciences"/>
    <n v="1"/>
    <n v="21"/>
    <n v="1"/>
    <s v="Male"/>
    <n v="80"/>
    <n v="4"/>
    <n v="1"/>
    <x v="1"/>
    <n v="2"/>
    <s v="Divorced"/>
    <n v="3298"/>
    <n v="15053"/>
    <n v="0"/>
    <s v="Y"/>
    <s v="Yes"/>
    <n v="12"/>
    <n v="3"/>
    <n v="4"/>
    <n v="80"/>
    <n v="2"/>
    <n v="7"/>
    <n v="5"/>
    <n v="2"/>
    <n v="6"/>
    <n v="2"/>
    <n v="0"/>
    <n v="5"/>
    <s v="OK"/>
    <s v="OK"/>
    <s v="OK"/>
    <s v="OK"/>
    <x v="0"/>
    <n v="0.33333333333333331"/>
    <n v="0.83333333333333337"/>
    <n v="0.83333333333333337"/>
  </r>
  <r>
    <n v="22"/>
    <s v="No"/>
    <s v="Non-Travel"/>
    <n v="1123"/>
    <x v="1"/>
    <n v="16"/>
    <n v="2"/>
    <s v="Medical"/>
    <n v="1"/>
    <n v="22"/>
    <n v="4"/>
    <s v="Male"/>
    <n v="96"/>
    <n v="4"/>
    <n v="1"/>
    <x v="2"/>
    <n v="4"/>
    <s v="Divorced"/>
    <n v="2935"/>
    <n v="7324"/>
    <n v="1"/>
    <s v="Y"/>
    <s v="Yes"/>
    <n v="13"/>
    <n v="3"/>
    <n v="2"/>
    <n v="80"/>
    <n v="2"/>
    <n v="1"/>
    <n v="2"/>
    <n v="2"/>
    <n v="1"/>
    <n v="0"/>
    <n v="0"/>
    <n v="0"/>
    <s v="OK"/>
    <s v="OK"/>
    <s v="OK"/>
    <s v="OK"/>
    <x v="0"/>
    <n v="0"/>
    <n v="2"/>
    <n v="0"/>
  </r>
  <r>
    <n v="53"/>
    <s v="No"/>
    <s v="Travel_Rarely"/>
    <n v="1219"/>
    <x v="0"/>
    <n v="2"/>
    <n v="4"/>
    <s v="Life Sciences"/>
    <n v="1"/>
    <n v="23"/>
    <n v="1"/>
    <s v="Female"/>
    <n v="78"/>
    <n v="2"/>
    <n v="4"/>
    <x v="5"/>
    <n v="4"/>
    <s v="Married"/>
    <n v="15427"/>
    <n v="22021"/>
    <n v="2"/>
    <s v="Y"/>
    <s v="No"/>
    <n v="16"/>
    <n v="3"/>
    <n v="3"/>
    <n v="80"/>
    <n v="0"/>
    <n v="31"/>
    <n v="3"/>
    <n v="3"/>
    <n v="25"/>
    <n v="8"/>
    <n v="3"/>
    <n v="7"/>
    <s v="OK"/>
    <s v="OK"/>
    <s v="OK"/>
    <s v="OK"/>
    <x v="8"/>
    <n v="0.32"/>
    <n v="0.12"/>
    <n v="0.28000000000000003"/>
  </r>
  <r>
    <n v="38"/>
    <s v="No"/>
    <s v="Travel_Rarely"/>
    <n v="371"/>
    <x v="1"/>
    <n v="2"/>
    <n v="3"/>
    <s v="Life Sciences"/>
    <n v="1"/>
    <n v="24"/>
    <n v="4"/>
    <s v="Male"/>
    <n v="45"/>
    <n v="3"/>
    <n v="1"/>
    <x v="1"/>
    <n v="4"/>
    <s v="Single"/>
    <n v="3944"/>
    <n v="4306"/>
    <n v="5"/>
    <s v="Y"/>
    <s v="Yes"/>
    <n v="11"/>
    <n v="3"/>
    <n v="3"/>
    <n v="80"/>
    <n v="0"/>
    <n v="6"/>
    <n v="3"/>
    <n v="3"/>
    <n v="3"/>
    <n v="2"/>
    <n v="1"/>
    <n v="2"/>
    <s v="OK"/>
    <s v="OK"/>
    <s v="OK"/>
    <s v="OK"/>
    <x v="9"/>
    <n v="0.66666666666666663"/>
    <n v="1"/>
    <n v="0.66666666666666663"/>
  </r>
  <r>
    <n v="24"/>
    <s v="No"/>
    <s v="Non-Travel"/>
    <n v="673"/>
    <x v="1"/>
    <n v="11"/>
    <n v="2"/>
    <s v="Other"/>
    <n v="1"/>
    <n v="26"/>
    <n v="1"/>
    <s v="Female"/>
    <n v="96"/>
    <n v="4"/>
    <n v="2"/>
    <x v="3"/>
    <n v="3"/>
    <s v="Divorced"/>
    <n v="4011"/>
    <n v="8232"/>
    <n v="0"/>
    <s v="Y"/>
    <s v="No"/>
    <n v="18"/>
    <n v="3"/>
    <n v="4"/>
    <n v="80"/>
    <n v="1"/>
    <n v="5"/>
    <n v="5"/>
    <n v="2"/>
    <n v="4"/>
    <n v="2"/>
    <n v="1"/>
    <n v="3"/>
    <s v="OK"/>
    <s v="OK"/>
    <s v="OK"/>
    <s v="OK"/>
    <x v="10"/>
    <n v="0.5"/>
    <n v="1.25"/>
    <n v="0.75"/>
  </r>
  <r>
    <n v="36"/>
    <s v="Yes"/>
    <s v="Travel_Rarely"/>
    <n v="1218"/>
    <x v="0"/>
    <n v="9"/>
    <n v="4"/>
    <s v="Life Sciences"/>
    <n v="1"/>
    <n v="27"/>
    <n v="3"/>
    <s v="Male"/>
    <n v="82"/>
    <n v="2"/>
    <n v="1"/>
    <x v="6"/>
    <n v="1"/>
    <s v="Single"/>
    <n v="3407"/>
    <n v="6986"/>
    <n v="7"/>
    <s v="Y"/>
    <s v="No"/>
    <n v="23"/>
    <n v="4"/>
    <n v="2"/>
    <n v="80"/>
    <n v="0"/>
    <n v="10"/>
    <n v="4"/>
    <n v="3"/>
    <n v="5"/>
    <n v="3"/>
    <n v="0"/>
    <n v="3"/>
    <s v="OK"/>
    <s v="OK"/>
    <s v="OK"/>
    <s v="OK"/>
    <x v="0"/>
    <n v="0.6"/>
    <n v="0.8"/>
    <n v="0.6"/>
  </r>
  <r>
    <n v="34"/>
    <s v="No"/>
    <s v="Travel_Rarely"/>
    <n v="419"/>
    <x v="1"/>
    <n v="7"/>
    <n v="4"/>
    <s v="Life Sciences"/>
    <n v="1"/>
    <n v="28"/>
    <n v="1"/>
    <s v="Female"/>
    <n v="53"/>
    <n v="3"/>
    <n v="3"/>
    <x v="7"/>
    <n v="2"/>
    <s v="Single"/>
    <n v="11994"/>
    <n v="21293"/>
    <n v="0"/>
    <s v="Y"/>
    <s v="No"/>
    <n v="11"/>
    <n v="3"/>
    <n v="3"/>
    <n v="80"/>
    <n v="0"/>
    <n v="13"/>
    <n v="4"/>
    <n v="3"/>
    <n v="12"/>
    <n v="6"/>
    <n v="2"/>
    <n v="11"/>
    <s v="OK"/>
    <s v="OK"/>
    <s v="OK"/>
    <s v="OK"/>
    <x v="11"/>
    <n v="0.5"/>
    <n v="0.33333333333333331"/>
    <n v="0.91666666666666663"/>
  </r>
  <r>
    <n v="21"/>
    <s v="No"/>
    <s v="Travel_Rarely"/>
    <n v="391"/>
    <x v="1"/>
    <n v="15"/>
    <n v="2"/>
    <s v="Life Sciences"/>
    <n v="1"/>
    <n v="30"/>
    <n v="3"/>
    <s v="Male"/>
    <n v="96"/>
    <n v="3"/>
    <n v="1"/>
    <x v="1"/>
    <n v="4"/>
    <s v="Single"/>
    <n v="1232"/>
    <n v="19281"/>
    <n v="1"/>
    <s v="Y"/>
    <s v="No"/>
    <n v="14"/>
    <n v="3"/>
    <n v="4"/>
    <n v="80"/>
    <n v="0"/>
    <n v="0"/>
    <n v="6"/>
    <n v="3"/>
    <n v="0"/>
    <n v="0"/>
    <n v="0"/>
    <n v="0"/>
    <s v="OK"/>
    <s v="OK"/>
    <s v="OK"/>
    <s v="OK"/>
    <x v="0"/>
    <n v="0"/>
    <n v="0"/>
    <n v="0"/>
  </r>
  <r>
    <n v="34"/>
    <s v="Yes"/>
    <s v="Travel_Rarely"/>
    <n v="699"/>
    <x v="1"/>
    <n v="6"/>
    <n v="1"/>
    <s v="Medical"/>
    <n v="1"/>
    <n v="31"/>
    <n v="2"/>
    <s v="Male"/>
    <n v="83"/>
    <n v="3"/>
    <n v="1"/>
    <x v="1"/>
    <n v="1"/>
    <s v="Single"/>
    <n v="2960"/>
    <n v="17102"/>
    <n v="2"/>
    <s v="Y"/>
    <s v="No"/>
    <n v="11"/>
    <n v="3"/>
    <n v="3"/>
    <n v="80"/>
    <n v="0"/>
    <n v="8"/>
    <n v="2"/>
    <n v="3"/>
    <n v="4"/>
    <n v="2"/>
    <n v="1"/>
    <n v="3"/>
    <s v="OK"/>
    <s v="OK"/>
    <s v="OK"/>
    <s v="OK"/>
    <x v="10"/>
    <n v="0.5"/>
    <n v="0.5"/>
    <n v="0.75"/>
  </r>
  <r>
    <n v="53"/>
    <s v="No"/>
    <s v="Travel_Rarely"/>
    <n v="1282"/>
    <x v="1"/>
    <n v="5"/>
    <n v="3"/>
    <s v="Other"/>
    <n v="1"/>
    <n v="32"/>
    <n v="3"/>
    <s v="Female"/>
    <n v="58"/>
    <n v="3"/>
    <n v="5"/>
    <x v="5"/>
    <n v="3"/>
    <s v="Divorced"/>
    <n v="19094"/>
    <n v="10735"/>
    <n v="4"/>
    <s v="Y"/>
    <s v="No"/>
    <n v="11"/>
    <n v="3"/>
    <n v="4"/>
    <n v="80"/>
    <n v="1"/>
    <n v="26"/>
    <n v="3"/>
    <n v="2"/>
    <n v="14"/>
    <n v="13"/>
    <n v="4"/>
    <n v="8"/>
    <s v="OK"/>
    <s v="OK"/>
    <s v="OK"/>
    <s v="OK"/>
    <x v="12"/>
    <n v="0.9285714285714286"/>
    <n v="0.21428571428571427"/>
    <n v="0.5714285714285714"/>
  </r>
  <r>
    <n v="32"/>
    <s v="Yes"/>
    <s v="Travel_Frequently"/>
    <n v="1125"/>
    <x v="1"/>
    <n v="16"/>
    <n v="1"/>
    <s v="Life Sciences"/>
    <n v="1"/>
    <n v="33"/>
    <n v="2"/>
    <s v="Female"/>
    <n v="72"/>
    <n v="1"/>
    <n v="1"/>
    <x v="1"/>
    <n v="1"/>
    <s v="Single"/>
    <n v="3919"/>
    <n v="4681"/>
    <n v="1"/>
    <s v="Y"/>
    <s v="Yes"/>
    <n v="22"/>
    <n v="4"/>
    <n v="2"/>
    <n v="80"/>
    <n v="0"/>
    <n v="10"/>
    <n v="5"/>
    <n v="3"/>
    <n v="10"/>
    <n v="2"/>
    <n v="6"/>
    <n v="7"/>
    <s v="OK"/>
    <s v="OK"/>
    <s v="OK"/>
    <s v="OK"/>
    <x v="13"/>
    <n v="0.2"/>
    <n v="0.5"/>
    <n v="0.7"/>
  </r>
  <r>
    <n v="42"/>
    <s v="No"/>
    <s v="Travel_Rarely"/>
    <n v="691"/>
    <x v="0"/>
    <n v="8"/>
    <n v="4"/>
    <s v="Marketing"/>
    <n v="1"/>
    <n v="35"/>
    <n v="3"/>
    <s v="Male"/>
    <n v="48"/>
    <n v="3"/>
    <n v="2"/>
    <x v="0"/>
    <n v="2"/>
    <s v="Married"/>
    <n v="6825"/>
    <n v="21173"/>
    <n v="0"/>
    <s v="Y"/>
    <s v="No"/>
    <n v="11"/>
    <n v="3"/>
    <n v="4"/>
    <n v="80"/>
    <n v="1"/>
    <n v="10"/>
    <n v="2"/>
    <n v="3"/>
    <n v="9"/>
    <n v="7"/>
    <n v="4"/>
    <n v="2"/>
    <s v="OK"/>
    <s v="OK"/>
    <s v="OK"/>
    <s v="OK"/>
    <x v="14"/>
    <n v="0.77777777777777779"/>
    <n v="0.22222222222222221"/>
    <n v="0.22222222222222221"/>
  </r>
  <r>
    <n v="44"/>
    <s v="No"/>
    <s v="Travel_Rarely"/>
    <n v="477"/>
    <x v="1"/>
    <n v="7"/>
    <n v="4"/>
    <s v="Medical"/>
    <n v="1"/>
    <n v="36"/>
    <n v="1"/>
    <s v="Female"/>
    <n v="42"/>
    <n v="2"/>
    <n v="3"/>
    <x v="4"/>
    <n v="4"/>
    <s v="Married"/>
    <n v="10248"/>
    <n v="2094"/>
    <n v="3"/>
    <s v="Y"/>
    <s v="No"/>
    <n v="14"/>
    <n v="3"/>
    <n v="4"/>
    <n v="80"/>
    <n v="1"/>
    <n v="24"/>
    <n v="4"/>
    <n v="3"/>
    <n v="22"/>
    <n v="6"/>
    <n v="5"/>
    <n v="17"/>
    <s v="OK"/>
    <s v="OK"/>
    <s v="OK"/>
    <s v="OK"/>
    <x v="15"/>
    <n v="0.27272727272727271"/>
    <n v="0.18181818181818182"/>
    <n v="0.77272727272727271"/>
  </r>
  <r>
    <n v="46"/>
    <s v="No"/>
    <s v="Travel_Rarely"/>
    <n v="705"/>
    <x v="0"/>
    <n v="2"/>
    <n v="4"/>
    <s v="Marketing"/>
    <n v="1"/>
    <n v="38"/>
    <n v="2"/>
    <s v="Female"/>
    <n v="83"/>
    <n v="3"/>
    <n v="5"/>
    <x v="5"/>
    <n v="1"/>
    <s v="Single"/>
    <n v="18947"/>
    <n v="22822"/>
    <n v="3"/>
    <s v="Y"/>
    <s v="No"/>
    <n v="12"/>
    <n v="3"/>
    <n v="4"/>
    <n v="80"/>
    <n v="0"/>
    <n v="22"/>
    <n v="2"/>
    <n v="2"/>
    <n v="2"/>
    <n v="2"/>
    <n v="2"/>
    <n v="1"/>
    <s v="OK"/>
    <s v="OK"/>
    <s v="OK"/>
    <s v="OK"/>
    <x v="3"/>
    <n v="1"/>
    <n v="1"/>
    <n v="0.5"/>
  </r>
  <r>
    <n v="33"/>
    <s v="No"/>
    <s v="Travel_Rarely"/>
    <n v="924"/>
    <x v="1"/>
    <n v="2"/>
    <n v="3"/>
    <s v="Medical"/>
    <n v="1"/>
    <n v="39"/>
    <n v="3"/>
    <s v="Male"/>
    <n v="78"/>
    <n v="3"/>
    <n v="1"/>
    <x v="2"/>
    <n v="4"/>
    <s v="Single"/>
    <n v="2496"/>
    <n v="6670"/>
    <n v="4"/>
    <s v="Y"/>
    <s v="No"/>
    <n v="11"/>
    <n v="3"/>
    <n v="4"/>
    <n v="80"/>
    <n v="0"/>
    <n v="7"/>
    <n v="3"/>
    <n v="3"/>
    <n v="1"/>
    <n v="1"/>
    <n v="0"/>
    <n v="0"/>
    <s v="OK"/>
    <s v="OK"/>
    <s v="OK"/>
    <s v="OK"/>
    <x v="0"/>
    <n v="1"/>
    <n v="3"/>
    <n v="0"/>
  </r>
  <r>
    <n v="44"/>
    <s v="No"/>
    <s v="Travel_Rarely"/>
    <n v="1459"/>
    <x v="1"/>
    <n v="10"/>
    <n v="4"/>
    <s v="Other"/>
    <n v="1"/>
    <n v="40"/>
    <n v="4"/>
    <s v="Male"/>
    <n v="41"/>
    <n v="3"/>
    <n v="2"/>
    <x v="4"/>
    <n v="4"/>
    <s v="Married"/>
    <n v="6465"/>
    <n v="19121"/>
    <n v="2"/>
    <s v="Y"/>
    <s v="Yes"/>
    <n v="13"/>
    <n v="3"/>
    <n v="4"/>
    <n v="80"/>
    <n v="0"/>
    <n v="9"/>
    <n v="5"/>
    <n v="4"/>
    <n v="4"/>
    <n v="2"/>
    <n v="1"/>
    <n v="3"/>
    <s v="OK"/>
    <s v="OK"/>
    <s v="OK"/>
    <s v="OK"/>
    <x v="10"/>
    <n v="0.5"/>
    <n v="1.25"/>
    <n v="0.75"/>
  </r>
  <r>
    <n v="30"/>
    <s v="No"/>
    <s v="Travel_Rarely"/>
    <n v="125"/>
    <x v="1"/>
    <n v="9"/>
    <n v="2"/>
    <s v="Medical"/>
    <n v="1"/>
    <n v="41"/>
    <n v="4"/>
    <s v="Male"/>
    <n v="83"/>
    <n v="2"/>
    <n v="1"/>
    <x v="2"/>
    <n v="3"/>
    <s v="Single"/>
    <n v="2206"/>
    <n v="16117"/>
    <n v="1"/>
    <s v="Y"/>
    <s v="No"/>
    <n v="13"/>
    <n v="3"/>
    <n v="1"/>
    <n v="80"/>
    <n v="0"/>
    <n v="10"/>
    <n v="5"/>
    <n v="3"/>
    <n v="10"/>
    <n v="0"/>
    <n v="1"/>
    <n v="8"/>
    <s v="OK"/>
    <s v="OK"/>
    <s v="OK"/>
    <s v="OK"/>
    <x v="1"/>
    <n v="0"/>
    <n v="0.5"/>
    <n v="0.8"/>
  </r>
  <r>
    <n v="39"/>
    <s v="Yes"/>
    <s v="Travel_Rarely"/>
    <n v="895"/>
    <x v="0"/>
    <n v="5"/>
    <n v="3"/>
    <s v="Technical Degree"/>
    <n v="1"/>
    <n v="42"/>
    <n v="4"/>
    <s v="Male"/>
    <n v="56"/>
    <n v="3"/>
    <n v="2"/>
    <x v="6"/>
    <n v="4"/>
    <s v="Married"/>
    <n v="2086"/>
    <n v="3335"/>
    <n v="3"/>
    <s v="Y"/>
    <s v="No"/>
    <n v="14"/>
    <n v="3"/>
    <n v="3"/>
    <n v="80"/>
    <n v="1"/>
    <n v="19"/>
    <n v="6"/>
    <n v="4"/>
    <n v="1"/>
    <n v="0"/>
    <n v="0"/>
    <n v="0"/>
    <s v="OK"/>
    <s v="OK"/>
    <s v="OK"/>
    <s v="OK"/>
    <x v="0"/>
    <n v="0"/>
    <n v="6"/>
    <n v="0"/>
  </r>
  <r>
    <n v="24"/>
    <s v="Yes"/>
    <s v="Travel_Rarely"/>
    <n v="813"/>
    <x v="1"/>
    <n v="1"/>
    <n v="3"/>
    <s v="Medical"/>
    <n v="1"/>
    <n v="45"/>
    <n v="2"/>
    <s v="Male"/>
    <n v="61"/>
    <n v="3"/>
    <n v="1"/>
    <x v="1"/>
    <n v="4"/>
    <s v="Married"/>
    <n v="2293"/>
    <n v="3020"/>
    <n v="2"/>
    <s v="Y"/>
    <s v="Yes"/>
    <n v="16"/>
    <n v="3"/>
    <n v="1"/>
    <n v="80"/>
    <n v="1"/>
    <n v="6"/>
    <n v="2"/>
    <n v="2"/>
    <n v="2"/>
    <n v="0"/>
    <n v="2"/>
    <n v="0"/>
    <s v="OK"/>
    <s v="OK"/>
    <s v="OK"/>
    <s v="OK"/>
    <x v="3"/>
    <n v="0"/>
    <n v="1"/>
    <n v="0"/>
  </r>
  <r>
    <n v="43"/>
    <s v="No"/>
    <s v="Travel_Rarely"/>
    <n v="1273"/>
    <x v="1"/>
    <n v="2"/>
    <n v="2"/>
    <s v="Medical"/>
    <n v="1"/>
    <n v="46"/>
    <n v="4"/>
    <s v="Female"/>
    <n v="72"/>
    <n v="4"/>
    <n v="1"/>
    <x v="1"/>
    <n v="3"/>
    <s v="Divorced"/>
    <n v="2645"/>
    <n v="21923"/>
    <n v="1"/>
    <s v="Y"/>
    <s v="No"/>
    <n v="12"/>
    <n v="3"/>
    <n v="4"/>
    <n v="80"/>
    <n v="2"/>
    <n v="6"/>
    <n v="3"/>
    <n v="2"/>
    <n v="5"/>
    <n v="3"/>
    <n v="1"/>
    <n v="4"/>
    <s v="OK"/>
    <s v="OK"/>
    <s v="OK"/>
    <s v="OK"/>
    <x v="16"/>
    <n v="0.6"/>
    <n v="0.6"/>
    <n v="0.8"/>
  </r>
  <r>
    <n v="50"/>
    <s v="Yes"/>
    <s v="Travel_Rarely"/>
    <n v="869"/>
    <x v="0"/>
    <n v="3"/>
    <n v="2"/>
    <s v="Marketing"/>
    <n v="1"/>
    <n v="47"/>
    <n v="1"/>
    <s v="Male"/>
    <n v="86"/>
    <n v="2"/>
    <n v="1"/>
    <x v="6"/>
    <n v="3"/>
    <s v="Married"/>
    <n v="2683"/>
    <n v="3810"/>
    <n v="1"/>
    <s v="Y"/>
    <s v="Yes"/>
    <n v="14"/>
    <n v="3"/>
    <n v="3"/>
    <n v="80"/>
    <n v="0"/>
    <n v="3"/>
    <n v="2"/>
    <n v="3"/>
    <n v="3"/>
    <n v="2"/>
    <n v="0"/>
    <n v="2"/>
    <s v="OK"/>
    <s v="OK"/>
    <s v="OK"/>
    <s v="OK"/>
    <x v="0"/>
    <n v="0.66666666666666663"/>
    <n v="0.66666666666666663"/>
    <n v="0.66666666666666663"/>
  </r>
  <r>
    <n v="35"/>
    <s v="No"/>
    <s v="Travel_Rarely"/>
    <n v="890"/>
    <x v="0"/>
    <n v="2"/>
    <n v="3"/>
    <s v="Marketing"/>
    <n v="1"/>
    <n v="49"/>
    <n v="4"/>
    <s v="Female"/>
    <n v="97"/>
    <n v="3"/>
    <n v="1"/>
    <x v="6"/>
    <n v="4"/>
    <s v="Married"/>
    <n v="2014"/>
    <n v="9687"/>
    <n v="1"/>
    <s v="Y"/>
    <s v="No"/>
    <n v="13"/>
    <n v="3"/>
    <n v="1"/>
    <n v="80"/>
    <n v="0"/>
    <n v="2"/>
    <n v="3"/>
    <n v="3"/>
    <n v="2"/>
    <n v="2"/>
    <n v="2"/>
    <n v="2"/>
    <s v="OK"/>
    <s v="OK"/>
    <s v="OK"/>
    <s v="OK"/>
    <x v="3"/>
    <n v="1"/>
    <n v="1.5"/>
    <n v="1"/>
  </r>
  <r>
    <n v="36"/>
    <s v="No"/>
    <s v="Travel_Rarely"/>
    <n v="852"/>
    <x v="1"/>
    <n v="5"/>
    <n v="4"/>
    <s v="Life Sciences"/>
    <n v="1"/>
    <n v="51"/>
    <n v="2"/>
    <s v="Female"/>
    <n v="82"/>
    <n v="2"/>
    <n v="1"/>
    <x v="1"/>
    <n v="1"/>
    <s v="Married"/>
    <n v="3419"/>
    <n v="13072"/>
    <n v="9"/>
    <s v="Y"/>
    <s v="Yes"/>
    <n v="14"/>
    <n v="3"/>
    <n v="4"/>
    <n v="80"/>
    <n v="1"/>
    <n v="6"/>
    <n v="3"/>
    <n v="4"/>
    <n v="1"/>
    <n v="1"/>
    <n v="0"/>
    <n v="0"/>
    <s v="OK"/>
    <s v="OK"/>
    <s v="OK"/>
    <s v="OK"/>
    <x v="0"/>
    <n v="1"/>
    <n v="3"/>
    <n v="0"/>
  </r>
  <r>
    <n v="33"/>
    <s v="No"/>
    <s v="Travel_Frequently"/>
    <n v="1141"/>
    <x v="0"/>
    <n v="1"/>
    <n v="3"/>
    <s v="Life Sciences"/>
    <n v="1"/>
    <n v="52"/>
    <n v="3"/>
    <s v="Female"/>
    <n v="42"/>
    <n v="4"/>
    <n v="2"/>
    <x v="0"/>
    <n v="1"/>
    <s v="Married"/>
    <n v="5376"/>
    <n v="3193"/>
    <n v="2"/>
    <s v="Y"/>
    <s v="No"/>
    <n v="19"/>
    <n v="3"/>
    <n v="1"/>
    <n v="80"/>
    <n v="2"/>
    <n v="10"/>
    <n v="3"/>
    <n v="3"/>
    <n v="5"/>
    <n v="3"/>
    <n v="1"/>
    <n v="3"/>
    <s v="OK"/>
    <s v="OK"/>
    <s v="OK"/>
    <s v="OK"/>
    <x v="16"/>
    <n v="0.6"/>
    <n v="0.6"/>
    <n v="0.6"/>
  </r>
  <r>
    <n v="35"/>
    <s v="No"/>
    <s v="Travel_Rarely"/>
    <n v="464"/>
    <x v="1"/>
    <n v="4"/>
    <n v="2"/>
    <s v="Other"/>
    <n v="1"/>
    <n v="53"/>
    <n v="3"/>
    <s v="Male"/>
    <n v="75"/>
    <n v="3"/>
    <n v="1"/>
    <x v="2"/>
    <n v="4"/>
    <s v="Divorced"/>
    <n v="1951"/>
    <n v="10910"/>
    <n v="1"/>
    <s v="Y"/>
    <s v="No"/>
    <n v="12"/>
    <n v="3"/>
    <n v="3"/>
    <n v="80"/>
    <n v="1"/>
    <n v="1"/>
    <n v="3"/>
    <n v="3"/>
    <n v="1"/>
    <n v="0"/>
    <n v="0"/>
    <n v="0"/>
    <s v="OK"/>
    <s v="OK"/>
    <s v="OK"/>
    <s v="OK"/>
    <x v="0"/>
    <n v="0"/>
    <n v="3"/>
    <n v="0"/>
  </r>
  <r>
    <n v="27"/>
    <s v="No"/>
    <s v="Travel_Rarely"/>
    <n v="1240"/>
    <x v="1"/>
    <n v="2"/>
    <n v="4"/>
    <s v="Life Sciences"/>
    <n v="1"/>
    <n v="54"/>
    <n v="4"/>
    <s v="Female"/>
    <n v="33"/>
    <n v="3"/>
    <n v="1"/>
    <x v="2"/>
    <n v="1"/>
    <s v="Divorced"/>
    <n v="2341"/>
    <n v="19715"/>
    <n v="1"/>
    <s v="Y"/>
    <s v="No"/>
    <n v="13"/>
    <n v="3"/>
    <n v="4"/>
    <n v="80"/>
    <n v="1"/>
    <n v="1"/>
    <n v="6"/>
    <n v="3"/>
    <n v="1"/>
    <n v="0"/>
    <n v="0"/>
    <n v="0"/>
    <s v="OK"/>
    <s v="OK"/>
    <s v="OK"/>
    <s v="OK"/>
    <x v="0"/>
    <n v="0"/>
    <n v="6"/>
    <n v="0"/>
  </r>
  <r>
    <n v="26"/>
    <s v="Yes"/>
    <s v="Travel_Rarely"/>
    <n v="1357"/>
    <x v="1"/>
    <n v="25"/>
    <n v="3"/>
    <s v="Life Sciences"/>
    <n v="1"/>
    <n v="55"/>
    <n v="1"/>
    <s v="Male"/>
    <n v="48"/>
    <n v="1"/>
    <n v="1"/>
    <x v="2"/>
    <n v="3"/>
    <s v="Single"/>
    <n v="2293"/>
    <n v="10558"/>
    <n v="1"/>
    <s v="Y"/>
    <s v="No"/>
    <n v="12"/>
    <n v="3"/>
    <n v="3"/>
    <n v="80"/>
    <n v="0"/>
    <n v="1"/>
    <n v="2"/>
    <n v="2"/>
    <n v="1"/>
    <n v="0"/>
    <n v="0"/>
    <n v="1"/>
    <s v="OK"/>
    <s v="OK"/>
    <s v="OK"/>
    <s v="OK"/>
    <x v="0"/>
    <n v="0"/>
    <n v="2"/>
    <n v="1"/>
  </r>
  <r>
    <n v="27"/>
    <s v="No"/>
    <s v="Travel_Frequently"/>
    <n v="994"/>
    <x v="0"/>
    <n v="8"/>
    <n v="3"/>
    <s v="Life Sciences"/>
    <n v="1"/>
    <n v="56"/>
    <n v="4"/>
    <s v="Male"/>
    <n v="37"/>
    <n v="3"/>
    <n v="3"/>
    <x v="0"/>
    <n v="3"/>
    <s v="Single"/>
    <n v="8726"/>
    <n v="2975"/>
    <n v="1"/>
    <s v="Y"/>
    <s v="No"/>
    <n v="15"/>
    <n v="3"/>
    <n v="4"/>
    <n v="80"/>
    <n v="0"/>
    <n v="9"/>
    <n v="0"/>
    <n v="3"/>
    <n v="9"/>
    <n v="8"/>
    <n v="1"/>
    <n v="7"/>
    <s v="OK"/>
    <s v="OK"/>
    <s v="OK"/>
    <s v="OK"/>
    <x v="5"/>
    <n v="0.88888888888888884"/>
    <n v="0"/>
    <n v="0.77777777777777779"/>
  </r>
  <r>
    <n v="30"/>
    <s v="No"/>
    <s v="Travel_Frequently"/>
    <n v="721"/>
    <x v="1"/>
    <n v="1"/>
    <n v="2"/>
    <s v="Medical"/>
    <n v="1"/>
    <n v="57"/>
    <n v="3"/>
    <s v="Female"/>
    <n v="58"/>
    <n v="3"/>
    <n v="2"/>
    <x v="2"/>
    <n v="4"/>
    <s v="Single"/>
    <n v="4011"/>
    <n v="10781"/>
    <n v="1"/>
    <s v="Y"/>
    <s v="No"/>
    <n v="23"/>
    <n v="4"/>
    <n v="4"/>
    <n v="80"/>
    <n v="0"/>
    <n v="12"/>
    <n v="2"/>
    <n v="3"/>
    <n v="12"/>
    <n v="8"/>
    <n v="3"/>
    <n v="7"/>
    <s v="OK"/>
    <s v="OK"/>
    <s v="OK"/>
    <s v="OK"/>
    <x v="10"/>
    <n v="0.66666666666666663"/>
    <n v="0.16666666666666666"/>
    <n v="0.58333333333333337"/>
  </r>
  <r>
    <n v="41"/>
    <s v="Yes"/>
    <s v="Travel_Rarely"/>
    <n v="1360"/>
    <x v="1"/>
    <n v="12"/>
    <n v="3"/>
    <s v="Technical Degree"/>
    <n v="1"/>
    <n v="58"/>
    <n v="2"/>
    <s v="Female"/>
    <n v="49"/>
    <n v="3"/>
    <n v="5"/>
    <x v="7"/>
    <n v="3"/>
    <s v="Married"/>
    <n v="19545"/>
    <n v="16280"/>
    <n v="1"/>
    <s v="Y"/>
    <s v="No"/>
    <n v="12"/>
    <n v="3"/>
    <n v="4"/>
    <n v="80"/>
    <n v="0"/>
    <n v="23"/>
    <n v="0"/>
    <n v="3"/>
    <n v="22"/>
    <n v="15"/>
    <n v="15"/>
    <n v="8"/>
    <s v="OK"/>
    <s v="OK"/>
    <s v="OK"/>
    <s v="OK"/>
    <x v="17"/>
    <n v="0.68181818181818177"/>
    <n v="0"/>
    <n v="0.36363636363636365"/>
  </r>
  <r>
    <n v="34"/>
    <s v="No"/>
    <s v="Non-Travel"/>
    <n v="1065"/>
    <x v="0"/>
    <n v="23"/>
    <n v="4"/>
    <s v="Marketing"/>
    <n v="1"/>
    <n v="60"/>
    <n v="2"/>
    <s v="Male"/>
    <n v="72"/>
    <n v="3"/>
    <n v="2"/>
    <x v="0"/>
    <n v="3"/>
    <s v="Single"/>
    <n v="4568"/>
    <n v="10034"/>
    <n v="0"/>
    <s v="Y"/>
    <s v="No"/>
    <n v="20"/>
    <n v="4"/>
    <n v="3"/>
    <n v="80"/>
    <n v="0"/>
    <n v="10"/>
    <n v="2"/>
    <n v="3"/>
    <n v="9"/>
    <n v="5"/>
    <n v="8"/>
    <n v="7"/>
    <s v="OK"/>
    <s v="OK"/>
    <s v="OK"/>
    <s v="OK"/>
    <x v="18"/>
    <n v="0.55555555555555558"/>
    <n v="0.22222222222222221"/>
    <n v="0.77777777777777779"/>
  </r>
  <r>
    <n v="37"/>
    <s v="No"/>
    <s v="Travel_Rarely"/>
    <n v="408"/>
    <x v="1"/>
    <n v="19"/>
    <n v="2"/>
    <s v="Life Sciences"/>
    <n v="1"/>
    <n v="61"/>
    <n v="2"/>
    <s v="Male"/>
    <n v="73"/>
    <n v="3"/>
    <n v="1"/>
    <x v="1"/>
    <n v="2"/>
    <s v="Married"/>
    <n v="3022"/>
    <n v="10227"/>
    <n v="4"/>
    <s v="Y"/>
    <s v="No"/>
    <n v="21"/>
    <n v="4"/>
    <n v="1"/>
    <n v="80"/>
    <n v="0"/>
    <n v="8"/>
    <n v="1"/>
    <n v="3"/>
    <n v="1"/>
    <n v="0"/>
    <n v="0"/>
    <n v="0"/>
    <s v="OK"/>
    <s v="OK"/>
    <s v="OK"/>
    <s v="OK"/>
    <x v="0"/>
    <n v="0"/>
    <n v="1"/>
    <n v="0"/>
  </r>
  <r>
    <n v="46"/>
    <s v="No"/>
    <s v="Travel_Frequently"/>
    <n v="1211"/>
    <x v="0"/>
    <n v="5"/>
    <n v="4"/>
    <s v="Marketing"/>
    <n v="1"/>
    <n v="62"/>
    <n v="1"/>
    <s v="Male"/>
    <n v="98"/>
    <n v="3"/>
    <n v="2"/>
    <x v="0"/>
    <n v="4"/>
    <s v="Single"/>
    <n v="5772"/>
    <n v="20445"/>
    <n v="4"/>
    <s v="Y"/>
    <s v="Yes"/>
    <n v="21"/>
    <n v="4"/>
    <n v="3"/>
    <n v="80"/>
    <n v="0"/>
    <n v="14"/>
    <n v="4"/>
    <n v="3"/>
    <n v="9"/>
    <n v="6"/>
    <n v="0"/>
    <n v="8"/>
    <s v="OK"/>
    <s v="OK"/>
    <s v="OK"/>
    <s v="OK"/>
    <x v="0"/>
    <n v="0.66666666666666663"/>
    <n v="0.44444444444444442"/>
    <n v="0.88888888888888884"/>
  </r>
  <r>
    <n v="35"/>
    <s v="No"/>
    <s v="Travel_Rarely"/>
    <n v="1229"/>
    <x v="1"/>
    <n v="8"/>
    <n v="1"/>
    <s v="Life Sciences"/>
    <n v="1"/>
    <n v="63"/>
    <n v="4"/>
    <s v="Male"/>
    <n v="36"/>
    <n v="4"/>
    <n v="1"/>
    <x v="2"/>
    <n v="4"/>
    <s v="Married"/>
    <n v="2269"/>
    <n v="4892"/>
    <n v="1"/>
    <s v="Y"/>
    <s v="No"/>
    <n v="19"/>
    <n v="3"/>
    <n v="4"/>
    <n v="80"/>
    <n v="0"/>
    <n v="1"/>
    <n v="2"/>
    <n v="3"/>
    <n v="1"/>
    <n v="0"/>
    <n v="0"/>
    <n v="1"/>
    <s v="OK"/>
    <s v="OK"/>
    <s v="OK"/>
    <s v="OK"/>
    <x v="0"/>
    <n v="0"/>
    <n v="2"/>
    <n v="1"/>
  </r>
  <r>
    <n v="48"/>
    <s v="Yes"/>
    <s v="Travel_Rarely"/>
    <n v="626"/>
    <x v="1"/>
    <n v="1"/>
    <n v="2"/>
    <s v="Life Sciences"/>
    <n v="1"/>
    <n v="64"/>
    <n v="1"/>
    <s v="Male"/>
    <n v="98"/>
    <n v="2"/>
    <n v="3"/>
    <x v="2"/>
    <n v="3"/>
    <s v="Single"/>
    <n v="5381"/>
    <n v="19294"/>
    <n v="9"/>
    <s v="Y"/>
    <s v="Yes"/>
    <n v="13"/>
    <n v="3"/>
    <n v="4"/>
    <n v="80"/>
    <n v="0"/>
    <n v="23"/>
    <n v="2"/>
    <n v="3"/>
    <n v="1"/>
    <n v="0"/>
    <n v="0"/>
    <n v="0"/>
    <s v="OK"/>
    <s v="OK"/>
    <s v="OK"/>
    <s v="OK"/>
    <x v="0"/>
    <n v="0"/>
    <n v="2"/>
    <n v="0"/>
  </r>
  <r>
    <n v="28"/>
    <s v="Yes"/>
    <s v="Travel_Rarely"/>
    <n v="1434"/>
    <x v="1"/>
    <n v="5"/>
    <n v="4"/>
    <s v="Technical Degree"/>
    <n v="1"/>
    <n v="65"/>
    <n v="3"/>
    <s v="Male"/>
    <n v="50"/>
    <n v="3"/>
    <n v="1"/>
    <x v="2"/>
    <n v="3"/>
    <s v="Single"/>
    <n v="3441"/>
    <n v="11179"/>
    <n v="1"/>
    <s v="Y"/>
    <s v="Yes"/>
    <n v="13"/>
    <n v="3"/>
    <n v="3"/>
    <n v="80"/>
    <n v="0"/>
    <n v="2"/>
    <n v="3"/>
    <n v="2"/>
    <n v="2"/>
    <n v="2"/>
    <n v="2"/>
    <n v="2"/>
    <s v="OK"/>
    <s v="OK"/>
    <s v="OK"/>
    <s v="OK"/>
    <x v="3"/>
    <n v="1"/>
    <n v="1.5"/>
    <n v="1"/>
  </r>
  <r>
    <n v="44"/>
    <s v="No"/>
    <s v="Travel_Rarely"/>
    <n v="1488"/>
    <x v="0"/>
    <n v="1"/>
    <n v="5"/>
    <s v="Marketing"/>
    <n v="1"/>
    <n v="68"/>
    <n v="2"/>
    <s v="Female"/>
    <n v="75"/>
    <n v="3"/>
    <n v="2"/>
    <x v="0"/>
    <n v="1"/>
    <s v="Divorced"/>
    <n v="5454"/>
    <n v="4009"/>
    <n v="5"/>
    <s v="Y"/>
    <s v="Yes"/>
    <n v="21"/>
    <n v="4"/>
    <n v="3"/>
    <n v="80"/>
    <n v="1"/>
    <n v="9"/>
    <n v="2"/>
    <n v="2"/>
    <n v="4"/>
    <n v="3"/>
    <n v="1"/>
    <n v="3"/>
    <s v="OK"/>
    <s v="OK"/>
    <s v="OK"/>
    <s v="OK"/>
    <x v="10"/>
    <n v="0.75"/>
    <n v="0.5"/>
    <n v="0.75"/>
  </r>
  <r>
    <n v="35"/>
    <s v="No"/>
    <s v="Non-Travel"/>
    <n v="1097"/>
    <x v="1"/>
    <n v="11"/>
    <n v="2"/>
    <s v="Medical"/>
    <n v="1"/>
    <n v="70"/>
    <n v="3"/>
    <s v="Male"/>
    <n v="79"/>
    <n v="2"/>
    <n v="3"/>
    <x v="4"/>
    <n v="1"/>
    <s v="Married"/>
    <n v="9884"/>
    <n v="8302"/>
    <n v="2"/>
    <s v="Y"/>
    <s v="Yes"/>
    <n v="13"/>
    <n v="3"/>
    <n v="3"/>
    <n v="80"/>
    <n v="1"/>
    <n v="10"/>
    <n v="3"/>
    <n v="3"/>
    <n v="4"/>
    <n v="0"/>
    <n v="2"/>
    <n v="3"/>
    <s v="OK"/>
    <s v="OK"/>
    <s v="OK"/>
    <s v="OK"/>
    <x v="7"/>
    <n v="0"/>
    <n v="0.75"/>
    <n v="0.75"/>
  </r>
  <r>
    <n v="26"/>
    <s v="No"/>
    <s v="Travel_Rarely"/>
    <n v="1443"/>
    <x v="0"/>
    <n v="23"/>
    <n v="3"/>
    <s v="Marketing"/>
    <n v="1"/>
    <n v="72"/>
    <n v="3"/>
    <s v="Female"/>
    <n v="47"/>
    <n v="2"/>
    <n v="2"/>
    <x v="0"/>
    <n v="4"/>
    <s v="Married"/>
    <n v="4157"/>
    <n v="21436"/>
    <n v="7"/>
    <s v="Y"/>
    <s v="Yes"/>
    <n v="19"/>
    <n v="3"/>
    <n v="3"/>
    <n v="80"/>
    <n v="1"/>
    <n v="5"/>
    <n v="2"/>
    <n v="2"/>
    <n v="2"/>
    <n v="2"/>
    <n v="0"/>
    <n v="0"/>
    <s v="OK"/>
    <s v="OK"/>
    <s v="OK"/>
    <s v="OK"/>
    <x v="0"/>
    <n v="1"/>
    <n v="1"/>
    <n v="0"/>
  </r>
  <r>
    <n v="33"/>
    <s v="No"/>
    <s v="Travel_Frequently"/>
    <n v="515"/>
    <x v="1"/>
    <n v="1"/>
    <n v="2"/>
    <s v="Life Sciences"/>
    <n v="1"/>
    <n v="73"/>
    <n v="1"/>
    <s v="Female"/>
    <n v="98"/>
    <n v="3"/>
    <n v="3"/>
    <x v="7"/>
    <n v="4"/>
    <s v="Single"/>
    <n v="13458"/>
    <n v="15146"/>
    <n v="1"/>
    <s v="Y"/>
    <s v="Yes"/>
    <n v="12"/>
    <n v="3"/>
    <n v="3"/>
    <n v="80"/>
    <n v="0"/>
    <n v="15"/>
    <n v="1"/>
    <n v="3"/>
    <n v="15"/>
    <n v="14"/>
    <n v="8"/>
    <n v="12"/>
    <s v="OK"/>
    <s v="OK"/>
    <s v="OK"/>
    <s v="OK"/>
    <x v="19"/>
    <n v="0.93333333333333335"/>
    <n v="6.6666666666666666E-2"/>
    <n v="0.8"/>
  </r>
  <r>
    <n v="35"/>
    <s v="No"/>
    <s v="Travel_Frequently"/>
    <n v="853"/>
    <x v="0"/>
    <n v="18"/>
    <n v="5"/>
    <s v="Life Sciences"/>
    <n v="1"/>
    <n v="74"/>
    <n v="2"/>
    <s v="Male"/>
    <n v="71"/>
    <n v="3"/>
    <n v="3"/>
    <x v="0"/>
    <n v="1"/>
    <s v="Married"/>
    <n v="9069"/>
    <n v="11031"/>
    <n v="1"/>
    <s v="Y"/>
    <s v="No"/>
    <n v="22"/>
    <n v="4"/>
    <n v="4"/>
    <n v="80"/>
    <n v="1"/>
    <n v="9"/>
    <n v="3"/>
    <n v="2"/>
    <n v="9"/>
    <n v="8"/>
    <n v="1"/>
    <n v="8"/>
    <s v="OK"/>
    <s v="OK"/>
    <s v="OK"/>
    <s v="OK"/>
    <x v="5"/>
    <n v="0.88888888888888884"/>
    <n v="0.33333333333333331"/>
    <n v="0.88888888888888884"/>
  </r>
  <r>
    <n v="35"/>
    <s v="No"/>
    <s v="Travel_Rarely"/>
    <n v="1142"/>
    <x v="1"/>
    <n v="23"/>
    <n v="4"/>
    <s v="Medical"/>
    <n v="1"/>
    <n v="75"/>
    <n v="3"/>
    <s v="Female"/>
    <n v="30"/>
    <n v="3"/>
    <n v="1"/>
    <x v="2"/>
    <n v="1"/>
    <s v="Married"/>
    <n v="4014"/>
    <n v="16002"/>
    <n v="3"/>
    <s v="Y"/>
    <s v="Yes"/>
    <n v="15"/>
    <n v="3"/>
    <n v="3"/>
    <n v="80"/>
    <n v="1"/>
    <n v="4"/>
    <n v="3"/>
    <n v="3"/>
    <n v="2"/>
    <n v="2"/>
    <n v="2"/>
    <n v="2"/>
    <s v="OK"/>
    <s v="OK"/>
    <s v="OK"/>
    <s v="OK"/>
    <x v="3"/>
    <n v="1"/>
    <n v="1.5"/>
    <n v="1"/>
  </r>
  <r>
    <n v="31"/>
    <s v="No"/>
    <s v="Travel_Rarely"/>
    <n v="655"/>
    <x v="1"/>
    <n v="7"/>
    <n v="4"/>
    <s v="Life Sciences"/>
    <n v="1"/>
    <n v="76"/>
    <n v="4"/>
    <s v="Male"/>
    <n v="48"/>
    <n v="3"/>
    <n v="2"/>
    <x v="2"/>
    <n v="4"/>
    <s v="Divorced"/>
    <n v="5915"/>
    <n v="9528"/>
    <n v="3"/>
    <s v="Y"/>
    <s v="No"/>
    <n v="22"/>
    <n v="4"/>
    <n v="4"/>
    <n v="80"/>
    <n v="1"/>
    <n v="10"/>
    <n v="3"/>
    <n v="2"/>
    <n v="7"/>
    <n v="7"/>
    <n v="1"/>
    <n v="7"/>
    <s v="OK"/>
    <s v="OK"/>
    <s v="OK"/>
    <s v="OK"/>
    <x v="20"/>
    <n v="1"/>
    <n v="0.42857142857142855"/>
    <n v="1"/>
  </r>
  <r>
    <n v="37"/>
    <s v="No"/>
    <s v="Travel_Rarely"/>
    <n v="1115"/>
    <x v="1"/>
    <n v="1"/>
    <n v="4"/>
    <s v="Life Sciences"/>
    <n v="1"/>
    <n v="77"/>
    <n v="1"/>
    <s v="Male"/>
    <n v="51"/>
    <n v="2"/>
    <n v="2"/>
    <x v="3"/>
    <n v="3"/>
    <s v="Divorced"/>
    <n v="5993"/>
    <n v="2689"/>
    <n v="1"/>
    <s v="Y"/>
    <s v="No"/>
    <n v="18"/>
    <n v="3"/>
    <n v="3"/>
    <n v="80"/>
    <n v="1"/>
    <n v="7"/>
    <n v="2"/>
    <n v="4"/>
    <n v="7"/>
    <n v="5"/>
    <n v="0"/>
    <n v="7"/>
    <s v="OK"/>
    <s v="OK"/>
    <s v="OK"/>
    <s v="OK"/>
    <x v="0"/>
    <n v="0.7142857142857143"/>
    <n v="0.2857142857142857"/>
    <n v="1"/>
  </r>
  <r>
    <n v="32"/>
    <s v="No"/>
    <s v="Travel_Rarely"/>
    <n v="427"/>
    <x v="1"/>
    <n v="1"/>
    <n v="3"/>
    <s v="Medical"/>
    <n v="1"/>
    <n v="78"/>
    <n v="1"/>
    <s v="Male"/>
    <n v="33"/>
    <n v="3"/>
    <n v="2"/>
    <x v="3"/>
    <n v="4"/>
    <s v="Married"/>
    <n v="6162"/>
    <n v="10877"/>
    <n v="1"/>
    <s v="Y"/>
    <s v="Yes"/>
    <n v="22"/>
    <n v="4"/>
    <n v="2"/>
    <n v="80"/>
    <n v="1"/>
    <n v="9"/>
    <n v="3"/>
    <n v="3"/>
    <n v="9"/>
    <n v="8"/>
    <n v="7"/>
    <n v="8"/>
    <s v="OK"/>
    <s v="OK"/>
    <s v="OK"/>
    <s v="OK"/>
    <x v="21"/>
    <n v="0.88888888888888884"/>
    <n v="0.33333333333333331"/>
    <n v="0.88888888888888884"/>
  </r>
  <r>
    <n v="38"/>
    <s v="No"/>
    <s v="Travel_Frequently"/>
    <n v="653"/>
    <x v="1"/>
    <n v="29"/>
    <n v="5"/>
    <s v="Life Sciences"/>
    <n v="1"/>
    <n v="79"/>
    <n v="4"/>
    <s v="Female"/>
    <n v="50"/>
    <n v="3"/>
    <n v="2"/>
    <x v="2"/>
    <n v="4"/>
    <s v="Single"/>
    <n v="2406"/>
    <n v="5456"/>
    <n v="1"/>
    <s v="Y"/>
    <s v="No"/>
    <n v="11"/>
    <n v="3"/>
    <n v="4"/>
    <n v="80"/>
    <n v="0"/>
    <n v="10"/>
    <n v="2"/>
    <n v="3"/>
    <n v="10"/>
    <n v="3"/>
    <n v="9"/>
    <n v="9"/>
    <s v="OK"/>
    <s v="OK"/>
    <s v="OK"/>
    <s v="OK"/>
    <x v="22"/>
    <n v="0.3"/>
    <n v="0.2"/>
    <n v="0.9"/>
  </r>
  <r>
    <n v="50"/>
    <s v="No"/>
    <s v="Travel_Rarely"/>
    <n v="989"/>
    <x v="1"/>
    <n v="7"/>
    <n v="2"/>
    <s v="Medical"/>
    <n v="1"/>
    <n v="80"/>
    <n v="2"/>
    <s v="Female"/>
    <n v="43"/>
    <n v="2"/>
    <n v="5"/>
    <x v="7"/>
    <n v="3"/>
    <s v="Divorced"/>
    <n v="18740"/>
    <n v="16701"/>
    <n v="5"/>
    <s v="Y"/>
    <s v="Yes"/>
    <n v="12"/>
    <n v="3"/>
    <n v="4"/>
    <n v="80"/>
    <n v="1"/>
    <n v="29"/>
    <n v="2"/>
    <n v="2"/>
    <n v="27"/>
    <n v="3"/>
    <n v="13"/>
    <n v="8"/>
    <s v="OK"/>
    <s v="OK"/>
    <s v="OK"/>
    <s v="OK"/>
    <x v="23"/>
    <n v="0.1111111111111111"/>
    <n v="7.407407407407407E-2"/>
    <n v="0.29629629629629628"/>
  </r>
  <r>
    <n v="59"/>
    <s v="No"/>
    <s v="Travel_Rarely"/>
    <n v="1435"/>
    <x v="0"/>
    <n v="25"/>
    <n v="3"/>
    <s v="Life Sciences"/>
    <n v="1"/>
    <n v="81"/>
    <n v="1"/>
    <s v="Female"/>
    <n v="99"/>
    <n v="3"/>
    <n v="3"/>
    <x v="0"/>
    <n v="1"/>
    <s v="Single"/>
    <n v="7637"/>
    <n v="2354"/>
    <n v="7"/>
    <s v="Y"/>
    <s v="No"/>
    <n v="11"/>
    <n v="3"/>
    <n v="4"/>
    <n v="80"/>
    <n v="0"/>
    <n v="28"/>
    <n v="3"/>
    <n v="2"/>
    <n v="21"/>
    <n v="16"/>
    <n v="7"/>
    <n v="9"/>
    <s v="OK"/>
    <s v="OK"/>
    <s v="OK"/>
    <s v="OK"/>
    <x v="9"/>
    <n v="0.76190476190476186"/>
    <n v="0.14285714285714285"/>
    <n v="0.42857142857142855"/>
  </r>
  <r>
    <n v="36"/>
    <s v="No"/>
    <s v="Travel_Rarely"/>
    <n v="1223"/>
    <x v="1"/>
    <n v="8"/>
    <n v="3"/>
    <s v="Technical Degree"/>
    <n v="1"/>
    <n v="83"/>
    <n v="3"/>
    <s v="Female"/>
    <n v="59"/>
    <n v="3"/>
    <n v="3"/>
    <x v="4"/>
    <n v="3"/>
    <s v="Divorced"/>
    <n v="10096"/>
    <n v="8202"/>
    <n v="1"/>
    <s v="Y"/>
    <s v="No"/>
    <n v="13"/>
    <n v="3"/>
    <n v="2"/>
    <n v="80"/>
    <n v="3"/>
    <n v="17"/>
    <n v="2"/>
    <n v="3"/>
    <n v="17"/>
    <n v="14"/>
    <n v="12"/>
    <n v="8"/>
    <s v="OK"/>
    <s v="OK"/>
    <s v="OK"/>
    <s v="OK"/>
    <x v="24"/>
    <n v="0.82352941176470584"/>
    <n v="0.11764705882352941"/>
    <n v="0.47058823529411764"/>
  </r>
  <r>
    <n v="55"/>
    <s v="No"/>
    <s v="Travel_Rarely"/>
    <n v="836"/>
    <x v="1"/>
    <n v="8"/>
    <n v="3"/>
    <s v="Medical"/>
    <n v="1"/>
    <n v="84"/>
    <n v="4"/>
    <s v="Female"/>
    <n v="33"/>
    <n v="3"/>
    <n v="4"/>
    <x v="5"/>
    <n v="3"/>
    <s v="Divorced"/>
    <n v="14756"/>
    <n v="19730"/>
    <n v="2"/>
    <s v="Y"/>
    <s v="Yes"/>
    <n v="14"/>
    <n v="3"/>
    <n v="3"/>
    <n v="80"/>
    <n v="3"/>
    <n v="21"/>
    <n v="2"/>
    <n v="3"/>
    <n v="5"/>
    <n v="0"/>
    <n v="0"/>
    <n v="2"/>
    <s v="OK"/>
    <s v="OK"/>
    <s v="OK"/>
    <s v="OK"/>
    <x v="0"/>
    <n v="0"/>
    <n v="0.4"/>
    <n v="0.4"/>
  </r>
  <r>
    <n v="36"/>
    <s v="No"/>
    <s v="Travel_Frequently"/>
    <n v="1195"/>
    <x v="1"/>
    <n v="11"/>
    <n v="3"/>
    <s v="Life Sciences"/>
    <n v="1"/>
    <n v="85"/>
    <n v="2"/>
    <s v="Male"/>
    <n v="95"/>
    <n v="2"/>
    <n v="2"/>
    <x v="3"/>
    <n v="2"/>
    <s v="Single"/>
    <n v="6499"/>
    <n v="22656"/>
    <n v="1"/>
    <s v="Y"/>
    <s v="No"/>
    <n v="13"/>
    <n v="3"/>
    <n v="3"/>
    <n v="80"/>
    <n v="0"/>
    <n v="6"/>
    <n v="3"/>
    <n v="3"/>
    <n v="6"/>
    <n v="5"/>
    <n v="0"/>
    <n v="3"/>
    <s v="OK"/>
    <s v="OK"/>
    <s v="OK"/>
    <s v="OK"/>
    <x v="0"/>
    <n v="0.83333333333333337"/>
    <n v="0.5"/>
    <n v="0.5"/>
  </r>
  <r>
    <n v="45"/>
    <s v="No"/>
    <s v="Travel_Rarely"/>
    <n v="1339"/>
    <x v="1"/>
    <n v="7"/>
    <n v="3"/>
    <s v="Life Sciences"/>
    <n v="1"/>
    <n v="86"/>
    <n v="2"/>
    <s v="Male"/>
    <n v="59"/>
    <n v="3"/>
    <n v="3"/>
    <x v="1"/>
    <n v="1"/>
    <s v="Divorced"/>
    <n v="9724"/>
    <n v="18787"/>
    <n v="2"/>
    <s v="Y"/>
    <s v="No"/>
    <n v="17"/>
    <n v="3"/>
    <n v="3"/>
    <n v="80"/>
    <n v="1"/>
    <n v="25"/>
    <n v="2"/>
    <n v="3"/>
    <n v="1"/>
    <n v="0"/>
    <n v="0"/>
    <n v="0"/>
    <s v="OK"/>
    <s v="OK"/>
    <s v="OK"/>
    <s v="OK"/>
    <x v="0"/>
    <n v="0"/>
    <n v="2"/>
    <n v="0"/>
  </r>
  <r>
    <n v="35"/>
    <s v="No"/>
    <s v="Travel_Frequently"/>
    <n v="664"/>
    <x v="1"/>
    <n v="1"/>
    <n v="3"/>
    <s v="Medical"/>
    <n v="1"/>
    <n v="88"/>
    <n v="2"/>
    <s v="Male"/>
    <n v="79"/>
    <n v="3"/>
    <n v="1"/>
    <x v="1"/>
    <n v="1"/>
    <s v="Married"/>
    <n v="2194"/>
    <n v="5868"/>
    <n v="4"/>
    <s v="Y"/>
    <s v="No"/>
    <n v="13"/>
    <n v="3"/>
    <n v="4"/>
    <n v="80"/>
    <n v="1"/>
    <n v="5"/>
    <n v="2"/>
    <n v="2"/>
    <n v="3"/>
    <n v="2"/>
    <n v="1"/>
    <n v="2"/>
    <s v="OK"/>
    <s v="OK"/>
    <s v="OK"/>
    <s v="OK"/>
    <x v="9"/>
    <n v="0.66666666666666663"/>
    <n v="0.66666666666666663"/>
    <n v="0.66666666666666663"/>
  </r>
  <r>
    <n v="36"/>
    <s v="Yes"/>
    <s v="Travel_Rarely"/>
    <n v="318"/>
    <x v="1"/>
    <n v="9"/>
    <n v="3"/>
    <s v="Medical"/>
    <n v="1"/>
    <n v="90"/>
    <n v="4"/>
    <s v="Male"/>
    <n v="79"/>
    <n v="2"/>
    <n v="1"/>
    <x v="1"/>
    <n v="3"/>
    <s v="Married"/>
    <n v="3388"/>
    <n v="21777"/>
    <n v="0"/>
    <s v="Y"/>
    <s v="Yes"/>
    <n v="17"/>
    <n v="3"/>
    <n v="1"/>
    <n v="80"/>
    <n v="1"/>
    <n v="2"/>
    <n v="0"/>
    <n v="2"/>
    <n v="1"/>
    <n v="0"/>
    <n v="0"/>
    <n v="0"/>
    <s v="OK"/>
    <s v="OK"/>
    <s v="OK"/>
    <s v="OK"/>
    <x v="0"/>
    <n v="0"/>
    <n v="0"/>
    <n v="0"/>
  </r>
  <r>
    <n v="59"/>
    <s v="No"/>
    <s v="Travel_Frequently"/>
    <n v="1225"/>
    <x v="0"/>
    <n v="1"/>
    <n v="1"/>
    <s v="Life Sciences"/>
    <n v="1"/>
    <n v="91"/>
    <n v="1"/>
    <s v="Female"/>
    <n v="57"/>
    <n v="2"/>
    <n v="2"/>
    <x v="0"/>
    <n v="3"/>
    <s v="Single"/>
    <n v="5473"/>
    <n v="24668"/>
    <n v="7"/>
    <s v="Y"/>
    <s v="No"/>
    <n v="11"/>
    <n v="3"/>
    <n v="4"/>
    <n v="80"/>
    <n v="0"/>
    <n v="20"/>
    <n v="2"/>
    <n v="2"/>
    <n v="4"/>
    <n v="3"/>
    <n v="1"/>
    <n v="3"/>
    <s v="OK"/>
    <s v="OK"/>
    <s v="OK"/>
    <s v="OK"/>
    <x v="10"/>
    <n v="0.75"/>
    <n v="0.5"/>
    <n v="0.75"/>
  </r>
  <r>
    <n v="29"/>
    <s v="No"/>
    <s v="Travel_Rarely"/>
    <n v="1328"/>
    <x v="1"/>
    <n v="2"/>
    <n v="3"/>
    <s v="Life Sciences"/>
    <n v="1"/>
    <n v="94"/>
    <n v="3"/>
    <s v="Male"/>
    <n v="76"/>
    <n v="3"/>
    <n v="1"/>
    <x v="1"/>
    <n v="2"/>
    <s v="Married"/>
    <n v="2703"/>
    <n v="4956"/>
    <n v="0"/>
    <s v="Y"/>
    <s v="No"/>
    <n v="23"/>
    <n v="4"/>
    <n v="4"/>
    <n v="80"/>
    <n v="1"/>
    <n v="6"/>
    <n v="3"/>
    <n v="3"/>
    <n v="5"/>
    <n v="4"/>
    <n v="0"/>
    <n v="4"/>
    <s v="OK"/>
    <s v="OK"/>
    <s v="OK"/>
    <s v="OK"/>
    <x v="0"/>
    <n v="0.8"/>
    <n v="0.6"/>
    <n v="0.8"/>
  </r>
  <r>
    <n v="31"/>
    <s v="No"/>
    <s v="Travel_Rarely"/>
    <n v="1082"/>
    <x v="1"/>
    <n v="1"/>
    <n v="4"/>
    <s v="Medical"/>
    <n v="1"/>
    <n v="95"/>
    <n v="3"/>
    <s v="Male"/>
    <n v="87"/>
    <n v="3"/>
    <n v="1"/>
    <x v="1"/>
    <n v="2"/>
    <s v="Single"/>
    <n v="2501"/>
    <n v="18775"/>
    <n v="1"/>
    <s v="Y"/>
    <s v="No"/>
    <n v="17"/>
    <n v="3"/>
    <n v="2"/>
    <n v="80"/>
    <n v="0"/>
    <n v="1"/>
    <n v="4"/>
    <n v="3"/>
    <n v="1"/>
    <n v="1"/>
    <n v="1"/>
    <n v="0"/>
    <s v="OK"/>
    <s v="OK"/>
    <s v="OK"/>
    <s v="OK"/>
    <x v="3"/>
    <n v="1"/>
    <n v="4"/>
    <n v="0"/>
  </r>
  <r>
    <n v="32"/>
    <s v="No"/>
    <s v="Travel_Rarely"/>
    <n v="548"/>
    <x v="1"/>
    <n v="1"/>
    <n v="3"/>
    <s v="Life Sciences"/>
    <n v="1"/>
    <n v="96"/>
    <n v="2"/>
    <s v="Male"/>
    <n v="66"/>
    <n v="3"/>
    <n v="2"/>
    <x v="1"/>
    <n v="2"/>
    <s v="Married"/>
    <n v="6220"/>
    <n v="7346"/>
    <n v="1"/>
    <s v="Y"/>
    <s v="No"/>
    <n v="17"/>
    <n v="3"/>
    <n v="2"/>
    <n v="80"/>
    <n v="2"/>
    <n v="10"/>
    <n v="3"/>
    <n v="3"/>
    <n v="10"/>
    <n v="4"/>
    <n v="0"/>
    <n v="9"/>
    <s v="OK"/>
    <s v="OK"/>
    <s v="OK"/>
    <s v="OK"/>
    <x v="0"/>
    <n v="0.4"/>
    <n v="0.3"/>
    <n v="0.9"/>
  </r>
  <r>
    <n v="36"/>
    <s v="No"/>
    <s v="Travel_Rarely"/>
    <n v="132"/>
    <x v="1"/>
    <n v="6"/>
    <n v="3"/>
    <s v="Life Sciences"/>
    <n v="1"/>
    <n v="97"/>
    <n v="2"/>
    <s v="Female"/>
    <n v="55"/>
    <n v="4"/>
    <n v="1"/>
    <x v="2"/>
    <n v="4"/>
    <s v="Married"/>
    <n v="3038"/>
    <n v="22002"/>
    <n v="3"/>
    <s v="Y"/>
    <s v="No"/>
    <n v="12"/>
    <n v="3"/>
    <n v="2"/>
    <n v="80"/>
    <n v="0"/>
    <n v="5"/>
    <n v="3"/>
    <n v="3"/>
    <n v="1"/>
    <n v="0"/>
    <n v="0"/>
    <n v="0"/>
    <s v="OK"/>
    <s v="OK"/>
    <s v="OK"/>
    <s v="OK"/>
    <x v="0"/>
    <n v="0"/>
    <n v="3"/>
    <n v="0"/>
  </r>
  <r>
    <n v="31"/>
    <s v="No"/>
    <s v="Travel_Rarely"/>
    <n v="746"/>
    <x v="1"/>
    <n v="8"/>
    <n v="4"/>
    <s v="Life Sciences"/>
    <n v="1"/>
    <n v="98"/>
    <n v="3"/>
    <s v="Female"/>
    <n v="61"/>
    <n v="3"/>
    <n v="2"/>
    <x v="3"/>
    <n v="4"/>
    <s v="Single"/>
    <n v="4424"/>
    <n v="20682"/>
    <n v="1"/>
    <s v="Y"/>
    <s v="No"/>
    <n v="23"/>
    <n v="4"/>
    <n v="4"/>
    <n v="80"/>
    <n v="0"/>
    <n v="11"/>
    <n v="2"/>
    <n v="3"/>
    <n v="11"/>
    <n v="7"/>
    <n v="1"/>
    <n v="8"/>
    <s v="OK"/>
    <s v="OK"/>
    <s v="OK"/>
    <s v="OK"/>
    <x v="25"/>
    <n v="0.63636363636363635"/>
    <n v="0.18181818181818182"/>
    <n v="0.72727272727272729"/>
  </r>
  <r>
    <n v="35"/>
    <s v="No"/>
    <s v="Travel_Rarely"/>
    <n v="776"/>
    <x v="0"/>
    <n v="1"/>
    <n v="4"/>
    <s v="Marketing"/>
    <n v="1"/>
    <n v="100"/>
    <n v="3"/>
    <s v="Male"/>
    <n v="32"/>
    <n v="2"/>
    <n v="2"/>
    <x v="0"/>
    <n v="1"/>
    <s v="Single"/>
    <n v="4312"/>
    <n v="23016"/>
    <n v="0"/>
    <s v="Y"/>
    <s v="No"/>
    <n v="14"/>
    <n v="3"/>
    <n v="2"/>
    <n v="80"/>
    <n v="0"/>
    <n v="16"/>
    <n v="2"/>
    <n v="3"/>
    <n v="15"/>
    <n v="13"/>
    <n v="2"/>
    <n v="8"/>
    <s v="OK"/>
    <s v="OK"/>
    <s v="OK"/>
    <s v="OK"/>
    <x v="26"/>
    <n v="0.8666666666666667"/>
    <n v="0.13333333333333333"/>
    <n v="0.53333333333333333"/>
  </r>
  <r>
    <n v="45"/>
    <s v="No"/>
    <s v="Travel_Rarely"/>
    <n v="193"/>
    <x v="1"/>
    <n v="6"/>
    <n v="4"/>
    <s v="Other"/>
    <n v="1"/>
    <n v="101"/>
    <n v="4"/>
    <s v="Male"/>
    <n v="52"/>
    <n v="3"/>
    <n v="3"/>
    <x v="7"/>
    <n v="1"/>
    <s v="Married"/>
    <n v="13245"/>
    <n v="15067"/>
    <n v="4"/>
    <s v="Y"/>
    <s v="Yes"/>
    <n v="14"/>
    <n v="3"/>
    <n v="2"/>
    <n v="80"/>
    <n v="0"/>
    <n v="17"/>
    <n v="3"/>
    <n v="4"/>
    <n v="0"/>
    <n v="0"/>
    <n v="0"/>
    <n v="0"/>
    <s v="OK"/>
    <s v="OK"/>
    <s v="OK"/>
    <s v="OK"/>
    <x v="0"/>
    <n v="0"/>
    <n v="0"/>
    <n v="0"/>
  </r>
  <r>
    <n v="37"/>
    <s v="No"/>
    <s v="Travel_Rarely"/>
    <n v="397"/>
    <x v="1"/>
    <n v="7"/>
    <n v="4"/>
    <s v="Medical"/>
    <n v="1"/>
    <n v="102"/>
    <n v="1"/>
    <s v="Male"/>
    <n v="30"/>
    <n v="3"/>
    <n v="3"/>
    <x v="7"/>
    <n v="3"/>
    <s v="Single"/>
    <n v="13664"/>
    <n v="25258"/>
    <n v="4"/>
    <s v="Y"/>
    <s v="No"/>
    <n v="13"/>
    <n v="3"/>
    <n v="1"/>
    <n v="80"/>
    <n v="0"/>
    <n v="16"/>
    <n v="3"/>
    <n v="4"/>
    <n v="5"/>
    <n v="2"/>
    <n v="0"/>
    <n v="2"/>
    <s v="OK"/>
    <s v="OK"/>
    <s v="OK"/>
    <s v="OK"/>
    <x v="0"/>
    <n v="0.4"/>
    <n v="0.6"/>
    <n v="0.4"/>
  </r>
  <r>
    <n v="46"/>
    <s v="No"/>
    <s v="Travel_Rarely"/>
    <n v="945"/>
    <x v="2"/>
    <n v="5"/>
    <n v="2"/>
    <s v="Medical"/>
    <n v="1"/>
    <n v="103"/>
    <n v="2"/>
    <s v="Male"/>
    <n v="80"/>
    <n v="3"/>
    <n v="2"/>
    <x v="8"/>
    <n v="2"/>
    <s v="Divorced"/>
    <n v="5021"/>
    <n v="10425"/>
    <n v="8"/>
    <s v="Y"/>
    <s v="Yes"/>
    <n v="22"/>
    <n v="4"/>
    <n v="4"/>
    <n v="80"/>
    <n v="1"/>
    <n v="16"/>
    <n v="2"/>
    <n v="3"/>
    <n v="4"/>
    <n v="2"/>
    <n v="0"/>
    <n v="2"/>
    <s v="OK"/>
    <s v="OK"/>
    <s v="OK"/>
    <s v="OK"/>
    <x v="0"/>
    <n v="0.5"/>
    <n v="0.5"/>
    <n v="0.5"/>
  </r>
  <r>
    <n v="30"/>
    <s v="No"/>
    <s v="Travel_Rarely"/>
    <n v="852"/>
    <x v="1"/>
    <n v="1"/>
    <n v="1"/>
    <s v="Life Sciences"/>
    <n v="1"/>
    <n v="104"/>
    <n v="4"/>
    <s v="Male"/>
    <n v="55"/>
    <n v="2"/>
    <n v="2"/>
    <x v="2"/>
    <n v="4"/>
    <s v="Married"/>
    <n v="5126"/>
    <n v="15998"/>
    <n v="1"/>
    <s v="Y"/>
    <s v="Yes"/>
    <n v="12"/>
    <n v="3"/>
    <n v="3"/>
    <n v="80"/>
    <n v="2"/>
    <n v="10"/>
    <n v="1"/>
    <n v="2"/>
    <n v="10"/>
    <n v="8"/>
    <n v="3"/>
    <n v="0"/>
    <s v="OK"/>
    <s v="OK"/>
    <s v="OK"/>
    <s v="OK"/>
    <x v="27"/>
    <n v="0.8"/>
    <n v="0.1"/>
    <n v="0"/>
  </r>
  <r>
    <n v="35"/>
    <s v="No"/>
    <s v="Travel_Rarely"/>
    <n v="1214"/>
    <x v="1"/>
    <n v="1"/>
    <n v="3"/>
    <s v="Medical"/>
    <n v="1"/>
    <n v="105"/>
    <n v="2"/>
    <s v="Male"/>
    <n v="30"/>
    <n v="2"/>
    <n v="1"/>
    <x v="1"/>
    <n v="3"/>
    <s v="Single"/>
    <n v="2859"/>
    <n v="26278"/>
    <n v="1"/>
    <s v="Y"/>
    <s v="No"/>
    <n v="18"/>
    <n v="3"/>
    <n v="1"/>
    <n v="80"/>
    <n v="0"/>
    <n v="6"/>
    <n v="3"/>
    <n v="3"/>
    <n v="6"/>
    <n v="4"/>
    <n v="0"/>
    <n v="4"/>
    <s v="OK"/>
    <s v="OK"/>
    <s v="OK"/>
    <s v="OK"/>
    <x v="0"/>
    <n v="0.66666666666666663"/>
    <n v="0.5"/>
    <n v="0.66666666666666663"/>
  </r>
  <r>
    <n v="55"/>
    <s v="No"/>
    <s v="Travel_Rarely"/>
    <n v="111"/>
    <x v="0"/>
    <n v="1"/>
    <n v="2"/>
    <s v="Life Sciences"/>
    <n v="1"/>
    <n v="106"/>
    <n v="1"/>
    <s v="Male"/>
    <n v="70"/>
    <n v="3"/>
    <n v="3"/>
    <x v="0"/>
    <n v="4"/>
    <s v="Married"/>
    <n v="10239"/>
    <n v="18092"/>
    <n v="3"/>
    <s v="Y"/>
    <s v="No"/>
    <n v="14"/>
    <n v="3"/>
    <n v="4"/>
    <n v="80"/>
    <n v="1"/>
    <n v="24"/>
    <n v="4"/>
    <n v="3"/>
    <n v="1"/>
    <n v="0"/>
    <n v="1"/>
    <n v="0"/>
    <s v="OK"/>
    <s v="OK"/>
    <s v="OK"/>
    <s v="OK"/>
    <x v="3"/>
    <n v="0"/>
    <n v="4"/>
    <n v="0"/>
  </r>
  <r>
    <n v="38"/>
    <s v="No"/>
    <s v="Non-Travel"/>
    <n v="573"/>
    <x v="1"/>
    <n v="6"/>
    <n v="3"/>
    <s v="Medical"/>
    <n v="1"/>
    <n v="107"/>
    <n v="2"/>
    <s v="Female"/>
    <n v="79"/>
    <n v="1"/>
    <n v="2"/>
    <x v="1"/>
    <n v="4"/>
    <s v="Divorced"/>
    <n v="5329"/>
    <n v="15717"/>
    <n v="7"/>
    <s v="Y"/>
    <s v="Yes"/>
    <n v="12"/>
    <n v="3"/>
    <n v="4"/>
    <n v="80"/>
    <n v="3"/>
    <n v="17"/>
    <n v="3"/>
    <n v="3"/>
    <n v="13"/>
    <n v="11"/>
    <n v="1"/>
    <n v="9"/>
    <s v="OK"/>
    <s v="OK"/>
    <s v="OK"/>
    <s v="OK"/>
    <x v="28"/>
    <n v="0.84615384615384615"/>
    <n v="0.23076923076923078"/>
    <n v="0.69230769230769229"/>
  </r>
  <r>
    <n v="34"/>
    <s v="No"/>
    <s v="Travel_Rarely"/>
    <n v="1153"/>
    <x v="1"/>
    <n v="1"/>
    <n v="2"/>
    <s v="Medical"/>
    <n v="1"/>
    <n v="110"/>
    <n v="1"/>
    <s v="Male"/>
    <n v="94"/>
    <n v="3"/>
    <n v="2"/>
    <x v="3"/>
    <n v="2"/>
    <s v="Married"/>
    <n v="4325"/>
    <n v="17736"/>
    <n v="1"/>
    <s v="Y"/>
    <s v="No"/>
    <n v="15"/>
    <n v="3"/>
    <n v="3"/>
    <n v="80"/>
    <n v="0"/>
    <n v="5"/>
    <n v="2"/>
    <n v="3"/>
    <n v="5"/>
    <n v="2"/>
    <n v="1"/>
    <n v="3"/>
    <s v="OK"/>
    <s v="OK"/>
    <s v="OK"/>
    <s v="OK"/>
    <x v="16"/>
    <n v="0.4"/>
    <n v="0.4"/>
    <n v="0.6"/>
  </r>
  <r>
    <n v="56"/>
    <s v="No"/>
    <s v="Travel_Rarely"/>
    <n v="1400"/>
    <x v="1"/>
    <n v="7"/>
    <n v="3"/>
    <s v="Life Sciences"/>
    <n v="1"/>
    <n v="112"/>
    <n v="4"/>
    <s v="Male"/>
    <n v="49"/>
    <n v="1"/>
    <n v="3"/>
    <x v="3"/>
    <n v="4"/>
    <s v="Single"/>
    <n v="7260"/>
    <n v="21698"/>
    <n v="4"/>
    <s v="Y"/>
    <s v="No"/>
    <n v="11"/>
    <n v="3"/>
    <n v="1"/>
    <n v="80"/>
    <n v="0"/>
    <n v="37"/>
    <n v="3"/>
    <n v="2"/>
    <n v="6"/>
    <n v="4"/>
    <n v="0"/>
    <n v="2"/>
    <s v="OK"/>
    <s v="OK"/>
    <s v="OK"/>
    <s v="OK"/>
    <x v="0"/>
    <n v="0.66666666666666663"/>
    <n v="0.5"/>
    <n v="0.33333333333333331"/>
  </r>
  <r>
    <n v="23"/>
    <s v="No"/>
    <s v="Travel_Rarely"/>
    <n v="541"/>
    <x v="0"/>
    <n v="2"/>
    <n v="1"/>
    <s v="Technical Degree"/>
    <n v="1"/>
    <n v="113"/>
    <n v="3"/>
    <s v="Male"/>
    <n v="62"/>
    <n v="3"/>
    <n v="1"/>
    <x v="6"/>
    <n v="1"/>
    <s v="Divorced"/>
    <n v="2322"/>
    <n v="9518"/>
    <n v="3"/>
    <s v="Y"/>
    <s v="No"/>
    <n v="13"/>
    <n v="3"/>
    <n v="3"/>
    <n v="80"/>
    <n v="1"/>
    <n v="3"/>
    <n v="3"/>
    <n v="3"/>
    <n v="0"/>
    <n v="0"/>
    <n v="0"/>
    <n v="0"/>
    <s v="OK"/>
    <s v="OK"/>
    <s v="OK"/>
    <s v="OK"/>
    <x v="0"/>
    <n v="0"/>
    <n v="0"/>
    <n v="0"/>
  </r>
  <r>
    <n v="51"/>
    <s v="No"/>
    <s v="Travel_Rarely"/>
    <n v="432"/>
    <x v="1"/>
    <n v="9"/>
    <n v="4"/>
    <s v="Life Sciences"/>
    <n v="1"/>
    <n v="116"/>
    <n v="4"/>
    <s v="Male"/>
    <n v="96"/>
    <n v="3"/>
    <n v="1"/>
    <x v="2"/>
    <n v="4"/>
    <s v="Married"/>
    <n v="2075"/>
    <n v="18725"/>
    <n v="3"/>
    <s v="Y"/>
    <s v="No"/>
    <n v="23"/>
    <n v="4"/>
    <n v="2"/>
    <n v="80"/>
    <n v="2"/>
    <n v="10"/>
    <n v="4"/>
    <n v="3"/>
    <n v="4"/>
    <n v="2"/>
    <n v="0"/>
    <n v="3"/>
    <s v="OK"/>
    <s v="OK"/>
    <s v="OK"/>
    <s v="OK"/>
    <x v="0"/>
    <n v="0.5"/>
    <n v="1"/>
    <n v="0.75"/>
  </r>
  <r>
    <n v="30"/>
    <s v="No"/>
    <s v="Travel_Rarely"/>
    <n v="288"/>
    <x v="1"/>
    <n v="2"/>
    <n v="3"/>
    <s v="Life Sciences"/>
    <n v="1"/>
    <n v="117"/>
    <n v="3"/>
    <s v="Male"/>
    <n v="99"/>
    <n v="2"/>
    <n v="2"/>
    <x v="4"/>
    <n v="4"/>
    <s v="Married"/>
    <n v="4152"/>
    <n v="15830"/>
    <n v="1"/>
    <s v="Y"/>
    <s v="No"/>
    <n v="19"/>
    <n v="3"/>
    <n v="1"/>
    <n v="80"/>
    <n v="3"/>
    <n v="11"/>
    <n v="3"/>
    <n v="3"/>
    <n v="11"/>
    <n v="10"/>
    <n v="10"/>
    <n v="8"/>
    <s v="OK"/>
    <s v="OK"/>
    <s v="OK"/>
    <s v="OK"/>
    <x v="29"/>
    <n v="0.90909090909090906"/>
    <n v="0.27272727272727271"/>
    <n v="0.72727272727272729"/>
  </r>
  <r>
    <n v="46"/>
    <s v="Yes"/>
    <s v="Travel_Rarely"/>
    <n v="669"/>
    <x v="0"/>
    <n v="9"/>
    <n v="2"/>
    <s v="Medical"/>
    <n v="1"/>
    <n v="118"/>
    <n v="3"/>
    <s v="Male"/>
    <n v="64"/>
    <n v="2"/>
    <n v="3"/>
    <x v="0"/>
    <n v="4"/>
    <s v="Single"/>
    <n v="9619"/>
    <n v="13596"/>
    <n v="1"/>
    <s v="Y"/>
    <s v="No"/>
    <n v="16"/>
    <n v="3"/>
    <n v="4"/>
    <n v="80"/>
    <n v="0"/>
    <n v="9"/>
    <n v="3"/>
    <n v="3"/>
    <n v="9"/>
    <n v="8"/>
    <n v="4"/>
    <n v="7"/>
    <s v="OK"/>
    <s v="OK"/>
    <s v="OK"/>
    <s v="OK"/>
    <x v="14"/>
    <n v="0.88888888888888884"/>
    <n v="0.33333333333333331"/>
    <n v="0.77777777777777779"/>
  </r>
  <r>
    <n v="40"/>
    <s v="No"/>
    <s v="Travel_Frequently"/>
    <n v="530"/>
    <x v="1"/>
    <n v="1"/>
    <n v="4"/>
    <s v="Life Sciences"/>
    <n v="1"/>
    <n v="119"/>
    <n v="3"/>
    <s v="Male"/>
    <n v="78"/>
    <n v="2"/>
    <n v="4"/>
    <x v="4"/>
    <n v="2"/>
    <s v="Married"/>
    <n v="13503"/>
    <n v="14115"/>
    <n v="1"/>
    <s v="Y"/>
    <s v="No"/>
    <n v="22"/>
    <n v="4"/>
    <n v="4"/>
    <n v="80"/>
    <n v="1"/>
    <n v="22"/>
    <n v="3"/>
    <n v="2"/>
    <n v="22"/>
    <n v="3"/>
    <n v="11"/>
    <n v="11"/>
    <s v="OK"/>
    <s v="OK"/>
    <s v="OK"/>
    <s v="OK"/>
    <x v="7"/>
    <n v="0.13636363636363635"/>
    <n v="0.13636363636363635"/>
    <n v="0.5"/>
  </r>
  <r>
    <n v="51"/>
    <s v="No"/>
    <s v="Travel_Rarely"/>
    <n v="632"/>
    <x v="0"/>
    <n v="21"/>
    <n v="4"/>
    <s v="Marketing"/>
    <n v="1"/>
    <n v="120"/>
    <n v="3"/>
    <s v="Male"/>
    <n v="71"/>
    <n v="3"/>
    <n v="2"/>
    <x v="0"/>
    <n v="4"/>
    <s v="Single"/>
    <n v="5441"/>
    <n v="8423"/>
    <n v="0"/>
    <s v="Y"/>
    <s v="Yes"/>
    <n v="22"/>
    <n v="4"/>
    <n v="4"/>
    <n v="80"/>
    <n v="0"/>
    <n v="11"/>
    <n v="2"/>
    <n v="1"/>
    <n v="10"/>
    <n v="7"/>
    <n v="1"/>
    <n v="0"/>
    <s v="OK"/>
    <s v="OK"/>
    <s v="OK"/>
    <s v="OK"/>
    <x v="1"/>
    <n v="0.7"/>
    <n v="0.2"/>
    <n v="0"/>
  </r>
  <r>
    <n v="30"/>
    <s v="No"/>
    <s v="Travel_Rarely"/>
    <n v="1334"/>
    <x v="0"/>
    <n v="4"/>
    <n v="2"/>
    <s v="Medical"/>
    <n v="1"/>
    <n v="121"/>
    <n v="3"/>
    <s v="Female"/>
    <n v="63"/>
    <n v="2"/>
    <n v="2"/>
    <x v="0"/>
    <n v="2"/>
    <s v="Divorced"/>
    <n v="5209"/>
    <n v="19760"/>
    <n v="1"/>
    <s v="Y"/>
    <s v="Yes"/>
    <n v="12"/>
    <n v="3"/>
    <n v="2"/>
    <n v="80"/>
    <n v="3"/>
    <n v="11"/>
    <n v="4"/>
    <n v="2"/>
    <n v="11"/>
    <n v="8"/>
    <n v="2"/>
    <n v="7"/>
    <s v="OK"/>
    <s v="OK"/>
    <s v="OK"/>
    <s v="OK"/>
    <x v="30"/>
    <n v="0.72727272727272729"/>
    <n v="0.36363636363636365"/>
    <n v="0.63636363636363635"/>
  </r>
  <r>
    <n v="46"/>
    <s v="No"/>
    <s v="Travel_Frequently"/>
    <n v="638"/>
    <x v="1"/>
    <n v="1"/>
    <n v="3"/>
    <s v="Medical"/>
    <n v="1"/>
    <n v="124"/>
    <n v="3"/>
    <s v="Male"/>
    <n v="40"/>
    <n v="2"/>
    <n v="3"/>
    <x v="4"/>
    <n v="1"/>
    <s v="Married"/>
    <n v="10673"/>
    <n v="3142"/>
    <n v="2"/>
    <s v="Y"/>
    <s v="Yes"/>
    <n v="13"/>
    <n v="3"/>
    <n v="3"/>
    <n v="80"/>
    <n v="1"/>
    <n v="21"/>
    <n v="5"/>
    <n v="2"/>
    <n v="10"/>
    <n v="9"/>
    <n v="9"/>
    <n v="5"/>
    <s v="OK"/>
    <s v="OK"/>
    <s v="OK"/>
    <s v="OK"/>
    <x v="22"/>
    <n v="0.9"/>
    <n v="0.5"/>
    <n v="0.5"/>
  </r>
  <r>
    <n v="32"/>
    <s v="No"/>
    <s v="Travel_Rarely"/>
    <n v="1093"/>
    <x v="0"/>
    <n v="6"/>
    <n v="4"/>
    <s v="Medical"/>
    <n v="1"/>
    <n v="125"/>
    <n v="2"/>
    <s v="Male"/>
    <n v="87"/>
    <n v="3"/>
    <n v="2"/>
    <x v="0"/>
    <n v="3"/>
    <s v="Single"/>
    <n v="5010"/>
    <n v="24301"/>
    <n v="1"/>
    <s v="Y"/>
    <s v="No"/>
    <n v="16"/>
    <n v="3"/>
    <n v="1"/>
    <n v="80"/>
    <n v="0"/>
    <n v="12"/>
    <n v="0"/>
    <n v="3"/>
    <n v="11"/>
    <n v="8"/>
    <n v="5"/>
    <n v="7"/>
    <s v="OK"/>
    <s v="OK"/>
    <s v="OK"/>
    <s v="OK"/>
    <x v="31"/>
    <n v="0.72727272727272729"/>
    <n v="0"/>
    <n v="0.63636363636363635"/>
  </r>
  <r>
    <n v="54"/>
    <s v="No"/>
    <s v="Travel_Rarely"/>
    <n v="1217"/>
    <x v="1"/>
    <n v="2"/>
    <n v="4"/>
    <s v="Technical Degree"/>
    <n v="1"/>
    <n v="126"/>
    <n v="1"/>
    <s v="Female"/>
    <n v="60"/>
    <n v="3"/>
    <n v="3"/>
    <x v="7"/>
    <n v="3"/>
    <s v="Married"/>
    <n v="13549"/>
    <n v="24001"/>
    <n v="9"/>
    <s v="Y"/>
    <s v="No"/>
    <n v="12"/>
    <n v="3"/>
    <n v="1"/>
    <n v="80"/>
    <n v="1"/>
    <n v="16"/>
    <n v="5"/>
    <n v="1"/>
    <n v="4"/>
    <n v="3"/>
    <n v="0"/>
    <n v="3"/>
    <s v="OK"/>
    <s v="OK"/>
    <s v="OK"/>
    <s v="OK"/>
    <x v="0"/>
    <n v="0.75"/>
    <n v="1.25"/>
    <n v="0.75"/>
  </r>
  <r>
    <n v="24"/>
    <s v="No"/>
    <s v="Travel_Rarely"/>
    <n v="1353"/>
    <x v="0"/>
    <n v="3"/>
    <n v="2"/>
    <s v="Other"/>
    <n v="1"/>
    <n v="128"/>
    <n v="1"/>
    <s v="Female"/>
    <n v="33"/>
    <n v="3"/>
    <n v="2"/>
    <x v="0"/>
    <n v="3"/>
    <s v="Married"/>
    <n v="4999"/>
    <n v="17519"/>
    <n v="0"/>
    <s v="Y"/>
    <s v="No"/>
    <n v="21"/>
    <n v="4"/>
    <n v="1"/>
    <n v="80"/>
    <n v="1"/>
    <n v="4"/>
    <n v="2"/>
    <n v="2"/>
    <n v="3"/>
    <n v="2"/>
    <n v="0"/>
    <n v="2"/>
    <s v="OK"/>
    <s v="OK"/>
    <s v="OK"/>
    <s v="OK"/>
    <x v="0"/>
    <n v="0.66666666666666663"/>
    <n v="0.66666666666666663"/>
    <n v="0.66666666666666663"/>
  </r>
  <r>
    <n v="28"/>
    <s v="No"/>
    <s v="Non-Travel"/>
    <n v="120"/>
    <x v="0"/>
    <n v="4"/>
    <n v="3"/>
    <s v="Medical"/>
    <n v="1"/>
    <n v="129"/>
    <n v="2"/>
    <s v="Male"/>
    <n v="43"/>
    <n v="3"/>
    <n v="2"/>
    <x v="0"/>
    <n v="3"/>
    <s v="Married"/>
    <n v="4221"/>
    <n v="8863"/>
    <n v="1"/>
    <s v="Y"/>
    <s v="No"/>
    <n v="15"/>
    <n v="3"/>
    <n v="2"/>
    <n v="80"/>
    <n v="0"/>
    <n v="5"/>
    <n v="3"/>
    <n v="4"/>
    <n v="5"/>
    <n v="4"/>
    <n v="0"/>
    <n v="4"/>
    <s v="OK"/>
    <s v="OK"/>
    <s v="OK"/>
    <s v="OK"/>
    <x v="0"/>
    <n v="0.8"/>
    <n v="0.6"/>
    <n v="0.8"/>
  </r>
  <r>
    <n v="58"/>
    <s v="No"/>
    <s v="Travel_Rarely"/>
    <n v="682"/>
    <x v="0"/>
    <n v="10"/>
    <n v="4"/>
    <s v="Medical"/>
    <n v="1"/>
    <n v="131"/>
    <n v="4"/>
    <s v="Male"/>
    <n v="37"/>
    <n v="3"/>
    <n v="4"/>
    <x v="0"/>
    <n v="3"/>
    <s v="Single"/>
    <n v="13872"/>
    <n v="24409"/>
    <n v="0"/>
    <s v="Y"/>
    <s v="No"/>
    <n v="13"/>
    <n v="3"/>
    <n v="3"/>
    <n v="80"/>
    <n v="0"/>
    <n v="38"/>
    <n v="1"/>
    <n v="2"/>
    <n v="37"/>
    <n v="10"/>
    <n v="1"/>
    <n v="8"/>
    <s v="OK"/>
    <s v="OK"/>
    <s v="OK"/>
    <s v="OK"/>
    <x v="32"/>
    <n v="0.27027027027027029"/>
    <n v="2.7027027027027029E-2"/>
    <n v="0.21621621621621623"/>
  </r>
  <r>
    <n v="44"/>
    <s v="No"/>
    <s v="Non-Travel"/>
    <n v="489"/>
    <x v="1"/>
    <n v="23"/>
    <n v="3"/>
    <s v="Medical"/>
    <n v="1"/>
    <n v="132"/>
    <n v="2"/>
    <s v="Male"/>
    <n v="67"/>
    <n v="3"/>
    <n v="2"/>
    <x v="2"/>
    <n v="2"/>
    <s v="Married"/>
    <n v="2042"/>
    <n v="25043"/>
    <n v="4"/>
    <s v="Y"/>
    <s v="No"/>
    <n v="12"/>
    <n v="3"/>
    <n v="3"/>
    <n v="80"/>
    <n v="1"/>
    <n v="17"/>
    <n v="3"/>
    <n v="4"/>
    <n v="3"/>
    <n v="2"/>
    <n v="1"/>
    <n v="2"/>
    <s v="OK"/>
    <s v="OK"/>
    <s v="OK"/>
    <s v="OK"/>
    <x v="9"/>
    <n v="0.66666666666666663"/>
    <n v="1"/>
    <n v="0.66666666666666663"/>
  </r>
  <r>
    <n v="37"/>
    <s v="Yes"/>
    <s v="Travel_Rarely"/>
    <n v="807"/>
    <x v="2"/>
    <n v="6"/>
    <n v="4"/>
    <s v="Human Resources"/>
    <n v="1"/>
    <n v="133"/>
    <n v="3"/>
    <s v="Male"/>
    <n v="63"/>
    <n v="3"/>
    <n v="1"/>
    <x v="8"/>
    <n v="1"/>
    <s v="Divorced"/>
    <n v="2073"/>
    <n v="23648"/>
    <n v="4"/>
    <s v="Y"/>
    <s v="Yes"/>
    <n v="22"/>
    <n v="4"/>
    <n v="4"/>
    <n v="80"/>
    <n v="0"/>
    <n v="7"/>
    <n v="3"/>
    <n v="3"/>
    <n v="3"/>
    <n v="2"/>
    <n v="0"/>
    <n v="2"/>
    <s v="OK"/>
    <s v="OK"/>
    <s v="OK"/>
    <s v="OK"/>
    <x v="0"/>
    <n v="0.66666666666666663"/>
    <n v="1"/>
    <n v="0.66666666666666663"/>
  </r>
  <r>
    <n v="32"/>
    <s v="No"/>
    <s v="Travel_Rarely"/>
    <n v="827"/>
    <x v="1"/>
    <n v="1"/>
    <n v="1"/>
    <s v="Life Sciences"/>
    <n v="1"/>
    <n v="134"/>
    <n v="4"/>
    <s v="Male"/>
    <n v="71"/>
    <n v="3"/>
    <n v="1"/>
    <x v="1"/>
    <n v="1"/>
    <s v="Single"/>
    <n v="2956"/>
    <n v="15178"/>
    <n v="1"/>
    <s v="Y"/>
    <s v="No"/>
    <n v="13"/>
    <n v="3"/>
    <n v="4"/>
    <n v="80"/>
    <n v="0"/>
    <n v="1"/>
    <n v="2"/>
    <n v="3"/>
    <n v="1"/>
    <n v="0"/>
    <n v="0"/>
    <n v="0"/>
    <s v="OK"/>
    <s v="OK"/>
    <s v="OK"/>
    <s v="OK"/>
    <x v="0"/>
    <n v="0"/>
    <n v="2"/>
    <n v="0"/>
  </r>
  <r>
    <n v="20"/>
    <s v="Yes"/>
    <s v="Travel_Frequently"/>
    <n v="871"/>
    <x v="1"/>
    <n v="6"/>
    <n v="3"/>
    <s v="Life Sciences"/>
    <n v="1"/>
    <n v="137"/>
    <n v="4"/>
    <s v="Female"/>
    <n v="66"/>
    <n v="2"/>
    <n v="1"/>
    <x v="2"/>
    <n v="4"/>
    <s v="Single"/>
    <n v="2926"/>
    <n v="19783"/>
    <n v="1"/>
    <s v="Y"/>
    <s v="Yes"/>
    <n v="18"/>
    <n v="3"/>
    <n v="2"/>
    <n v="80"/>
    <n v="0"/>
    <n v="1"/>
    <n v="5"/>
    <n v="3"/>
    <n v="1"/>
    <n v="0"/>
    <n v="1"/>
    <n v="0"/>
    <s v="OK"/>
    <s v="OK"/>
    <s v="OK"/>
    <s v="OK"/>
    <x v="3"/>
    <n v="0"/>
    <n v="5"/>
    <n v="0"/>
  </r>
  <r>
    <n v="34"/>
    <s v="No"/>
    <s v="Travel_Rarely"/>
    <n v="665"/>
    <x v="1"/>
    <n v="6"/>
    <n v="4"/>
    <s v="Other"/>
    <n v="1"/>
    <n v="138"/>
    <n v="1"/>
    <s v="Female"/>
    <n v="41"/>
    <n v="3"/>
    <n v="2"/>
    <x v="1"/>
    <n v="3"/>
    <s v="Single"/>
    <n v="4809"/>
    <n v="12482"/>
    <n v="1"/>
    <s v="Y"/>
    <s v="No"/>
    <n v="14"/>
    <n v="3"/>
    <n v="3"/>
    <n v="80"/>
    <n v="0"/>
    <n v="16"/>
    <n v="3"/>
    <n v="3"/>
    <n v="16"/>
    <n v="13"/>
    <n v="2"/>
    <n v="10"/>
    <s v="OK"/>
    <s v="OK"/>
    <s v="OK"/>
    <s v="OK"/>
    <x v="33"/>
    <n v="0.8125"/>
    <n v="0.1875"/>
    <n v="0.625"/>
  </r>
  <r>
    <n v="37"/>
    <s v="No"/>
    <s v="Non-Travel"/>
    <n v="1040"/>
    <x v="1"/>
    <n v="2"/>
    <n v="2"/>
    <s v="Life Sciences"/>
    <n v="1"/>
    <n v="139"/>
    <n v="3"/>
    <s v="Male"/>
    <n v="100"/>
    <n v="2"/>
    <n v="2"/>
    <x v="4"/>
    <n v="4"/>
    <s v="Divorced"/>
    <n v="5163"/>
    <n v="15850"/>
    <n v="5"/>
    <s v="Y"/>
    <s v="No"/>
    <n v="14"/>
    <n v="3"/>
    <n v="4"/>
    <n v="80"/>
    <n v="1"/>
    <n v="17"/>
    <n v="2"/>
    <n v="4"/>
    <n v="1"/>
    <n v="0"/>
    <n v="0"/>
    <n v="0"/>
    <s v="OK"/>
    <s v="OK"/>
    <s v="OK"/>
    <s v="OK"/>
    <x v="0"/>
    <n v="0"/>
    <n v="2"/>
    <n v="0"/>
  </r>
  <r>
    <n v="59"/>
    <s v="No"/>
    <s v="Non-Travel"/>
    <n v="1420"/>
    <x v="2"/>
    <n v="2"/>
    <n v="4"/>
    <s v="Human Resources"/>
    <n v="1"/>
    <n v="140"/>
    <n v="3"/>
    <s v="Female"/>
    <n v="32"/>
    <n v="2"/>
    <n v="5"/>
    <x v="5"/>
    <n v="4"/>
    <s v="Married"/>
    <n v="18844"/>
    <n v="21922"/>
    <n v="9"/>
    <s v="Y"/>
    <s v="No"/>
    <n v="21"/>
    <n v="4"/>
    <n v="4"/>
    <n v="80"/>
    <n v="1"/>
    <n v="30"/>
    <n v="3"/>
    <n v="3"/>
    <n v="3"/>
    <n v="2"/>
    <n v="2"/>
    <n v="2"/>
    <s v="OK"/>
    <s v="OK"/>
    <s v="OK"/>
    <s v="OK"/>
    <x v="34"/>
    <n v="0.66666666666666663"/>
    <n v="1"/>
    <n v="0.66666666666666663"/>
  </r>
  <r>
    <n v="50"/>
    <s v="No"/>
    <s v="Travel_Frequently"/>
    <n v="1115"/>
    <x v="1"/>
    <n v="1"/>
    <n v="3"/>
    <s v="Life Sciences"/>
    <n v="1"/>
    <n v="141"/>
    <n v="1"/>
    <s v="Female"/>
    <n v="73"/>
    <n v="3"/>
    <n v="5"/>
    <x v="7"/>
    <n v="2"/>
    <s v="Married"/>
    <n v="18172"/>
    <n v="9755"/>
    <n v="3"/>
    <s v="Y"/>
    <s v="Yes"/>
    <n v="19"/>
    <n v="3"/>
    <n v="1"/>
    <n v="80"/>
    <n v="0"/>
    <n v="28"/>
    <n v="1"/>
    <n v="2"/>
    <n v="8"/>
    <n v="3"/>
    <n v="0"/>
    <n v="7"/>
    <s v="OK"/>
    <s v="OK"/>
    <s v="OK"/>
    <s v="OK"/>
    <x v="0"/>
    <n v="0.375"/>
    <n v="0.125"/>
    <n v="0.875"/>
  </r>
  <r>
    <n v="25"/>
    <s v="Yes"/>
    <s v="Travel_Rarely"/>
    <n v="240"/>
    <x v="0"/>
    <n v="5"/>
    <n v="3"/>
    <s v="Marketing"/>
    <n v="1"/>
    <n v="142"/>
    <n v="3"/>
    <s v="Male"/>
    <n v="46"/>
    <n v="2"/>
    <n v="2"/>
    <x v="0"/>
    <n v="3"/>
    <s v="Single"/>
    <n v="5744"/>
    <n v="26959"/>
    <n v="1"/>
    <s v="Y"/>
    <s v="Yes"/>
    <n v="11"/>
    <n v="3"/>
    <n v="4"/>
    <n v="80"/>
    <n v="0"/>
    <n v="6"/>
    <n v="1"/>
    <n v="3"/>
    <n v="6"/>
    <n v="4"/>
    <n v="0"/>
    <n v="3"/>
    <s v="OK"/>
    <s v="OK"/>
    <s v="OK"/>
    <s v="OK"/>
    <x v="0"/>
    <n v="0.66666666666666663"/>
    <n v="0.16666666666666666"/>
    <n v="0.5"/>
  </r>
  <r>
    <n v="25"/>
    <s v="No"/>
    <s v="Travel_Rarely"/>
    <n v="1280"/>
    <x v="1"/>
    <n v="7"/>
    <n v="1"/>
    <s v="Medical"/>
    <n v="1"/>
    <n v="143"/>
    <n v="4"/>
    <s v="Male"/>
    <n v="64"/>
    <n v="2"/>
    <n v="1"/>
    <x v="1"/>
    <n v="4"/>
    <s v="Married"/>
    <n v="2889"/>
    <n v="26897"/>
    <n v="1"/>
    <s v="Y"/>
    <s v="No"/>
    <n v="11"/>
    <n v="3"/>
    <n v="3"/>
    <n v="80"/>
    <n v="2"/>
    <n v="2"/>
    <n v="2"/>
    <n v="3"/>
    <n v="2"/>
    <n v="2"/>
    <n v="2"/>
    <n v="1"/>
    <s v="OK"/>
    <s v="OK"/>
    <s v="OK"/>
    <s v="OK"/>
    <x v="3"/>
    <n v="1"/>
    <n v="1"/>
    <n v="0.5"/>
  </r>
  <r>
    <n v="22"/>
    <s v="No"/>
    <s v="Travel_Rarely"/>
    <n v="534"/>
    <x v="1"/>
    <n v="15"/>
    <n v="3"/>
    <s v="Medical"/>
    <n v="1"/>
    <n v="144"/>
    <n v="2"/>
    <s v="Female"/>
    <n v="59"/>
    <n v="3"/>
    <n v="1"/>
    <x v="2"/>
    <n v="4"/>
    <s v="Single"/>
    <n v="2871"/>
    <n v="23785"/>
    <n v="1"/>
    <s v="Y"/>
    <s v="No"/>
    <n v="15"/>
    <n v="3"/>
    <n v="3"/>
    <n v="80"/>
    <n v="0"/>
    <n v="1"/>
    <n v="5"/>
    <n v="3"/>
    <n v="0"/>
    <n v="0"/>
    <n v="0"/>
    <n v="0"/>
    <s v="OK"/>
    <s v="OK"/>
    <s v="OK"/>
    <s v="OK"/>
    <x v="0"/>
    <n v="0"/>
    <n v="0"/>
    <n v="0"/>
  </r>
  <r>
    <n v="51"/>
    <s v="No"/>
    <s v="Travel_Frequently"/>
    <n v="1456"/>
    <x v="1"/>
    <n v="1"/>
    <n v="4"/>
    <s v="Medical"/>
    <n v="1"/>
    <n v="145"/>
    <n v="1"/>
    <s v="Female"/>
    <n v="30"/>
    <n v="2"/>
    <n v="3"/>
    <x v="4"/>
    <n v="1"/>
    <s v="Single"/>
    <n v="7484"/>
    <n v="25796"/>
    <n v="3"/>
    <s v="Y"/>
    <s v="No"/>
    <n v="20"/>
    <n v="4"/>
    <n v="3"/>
    <n v="80"/>
    <n v="0"/>
    <n v="23"/>
    <n v="1"/>
    <n v="2"/>
    <n v="13"/>
    <n v="12"/>
    <n v="12"/>
    <n v="8"/>
    <s v="OK"/>
    <s v="OK"/>
    <s v="OK"/>
    <s v="OK"/>
    <x v="35"/>
    <n v="0.92307692307692313"/>
    <n v="7.6923076923076927E-2"/>
    <n v="0.61538461538461542"/>
  </r>
  <r>
    <n v="34"/>
    <s v="Yes"/>
    <s v="Travel_Frequently"/>
    <n v="658"/>
    <x v="1"/>
    <n v="7"/>
    <n v="3"/>
    <s v="Life Sciences"/>
    <n v="1"/>
    <n v="147"/>
    <n v="1"/>
    <s v="Male"/>
    <n v="66"/>
    <n v="1"/>
    <n v="2"/>
    <x v="2"/>
    <n v="3"/>
    <s v="Single"/>
    <n v="6074"/>
    <n v="22887"/>
    <n v="1"/>
    <s v="Y"/>
    <s v="Yes"/>
    <n v="24"/>
    <n v="4"/>
    <n v="4"/>
    <n v="80"/>
    <n v="0"/>
    <n v="9"/>
    <n v="3"/>
    <n v="3"/>
    <n v="9"/>
    <n v="7"/>
    <n v="0"/>
    <n v="6"/>
    <s v="OK"/>
    <s v="OK"/>
    <s v="OK"/>
    <s v="OK"/>
    <x v="0"/>
    <n v="0.77777777777777779"/>
    <n v="0.33333333333333331"/>
    <n v="0.66666666666666663"/>
  </r>
  <r>
    <n v="54"/>
    <s v="No"/>
    <s v="Non-Travel"/>
    <n v="142"/>
    <x v="2"/>
    <n v="26"/>
    <n v="3"/>
    <s v="Human Resources"/>
    <n v="1"/>
    <n v="148"/>
    <n v="4"/>
    <s v="Female"/>
    <n v="30"/>
    <n v="4"/>
    <n v="4"/>
    <x v="5"/>
    <n v="4"/>
    <s v="Single"/>
    <n v="17328"/>
    <n v="13871"/>
    <n v="2"/>
    <s v="Y"/>
    <s v="Yes"/>
    <n v="12"/>
    <n v="3"/>
    <n v="3"/>
    <n v="80"/>
    <n v="0"/>
    <n v="23"/>
    <n v="3"/>
    <n v="3"/>
    <n v="5"/>
    <n v="3"/>
    <n v="4"/>
    <n v="4"/>
    <s v="OK"/>
    <s v="OK"/>
    <s v="OK"/>
    <s v="OK"/>
    <x v="6"/>
    <n v="0.6"/>
    <n v="0.6"/>
    <n v="0.8"/>
  </r>
  <r>
    <n v="24"/>
    <s v="No"/>
    <s v="Travel_Rarely"/>
    <n v="1127"/>
    <x v="1"/>
    <n v="18"/>
    <n v="1"/>
    <s v="Life Sciences"/>
    <n v="1"/>
    <n v="150"/>
    <n v="2"/>
    <s v="Male"/>
    <n v="52"/>
    <n v="3"/>
    <n v="1"/>
    <x v="2"/>
    <n v="3"/>
    <s v="Married"/>
    <n v="2774"/>
    <n v="13257"/>
    <n v="0"/>
    <s v="Y"/>
    <s v="No"/>
    <n v="12"/>
    <n v="3"/>
    <n v="3"/>
    <n v="80"/>
    <n v="1"/>
    <n v="6"/>
    <n v="2"/>
    <n v="3"/>
    <n v="5"/>
    <n v="3"/>
    <n v="1"/>
    <n v="2"/>
    <s v="OK"/>
    <s v="OK"/>
    <s v="OK"/>
    <s v="OK"/>
    <x v="16"/>
    <n v="0.6"/>
    <n v="0.4"/>
    <n v="0.4"/>
  </r>
  <r>
    <n v="34"/>
    <s v="No"/>
    <s v="Travel_Rarely"/>
    <n v="1031"/>
    <x v="1"/>
    <n v="6"/>
    <n v="4"/>
    <s v="Life Sciences"/>
    <n v="1"/>
    <n v="151"/>
    <n v="3"/>
    <s v="Female"/>
    <n v="45"/>
    <n v="2"/>
    <n v="2"/>
    <x v="1"/>
    <n v="2"/>
    <s v="Divorced"/>
    <n v="4505"/>
    <n v="15000"/>
    <n v="6"/>
    <s v="Y"/>
    <s v="No"/>
    <n v="15"/>
    <n v="3"/>
    <n v="3"/>
    <n v="80"/>
    <n v="1"/>
    <n v="12"/>
    <n v="3"/>
    <n v="3"/>
    <n v="1"/>
    <n v="0"/>
    <n v="0"/>
    <n v="0"/>
    <s v="OK"/>
    <s v="OK"/>
    <s v="OK"/>
    <s v="OK"/>
    <x v="0"/>
    <n v="0"/>
    <n v="3"/>
    <n v="0"/>
  </r>
  <r>
    <n v="37"/>
    <s v="No"/>
    <s v="Travel_Rarely"/>
    <n v="1189"/>
    <x v="0"/>
    <n v="3"/>
    <n v="3"/>
    <s v="Life Sciences"/>
    <n v="1"/>
    <n v="152"/>
    <n v="3"/>
    <s v="Male"/>
    <n v="87"/>
    <n v="3"/>
    <n v="3"/>
    <x v="0"/>
    <n v="4"/>
    <s v="Single"/>
    <n v="7428"/>
    <n v="14506"/>
    <n v="2"/>
    <s v="Y"/>
    <s v="No"/>
    <n v="12"/>
    <n v="3"/>
    <n v="1"/>
    <n v="80"/>
    <n v="0"/>
    <n v="12"/>
    <n v="3"/>
    <n v="3"/>
    <n v="5"/>
    <n v="3"/>
    <n v="1"/>
    <n v="3"/>
    <s v="OK"/>
    <s v="OK"/>
    <s v="OK"/>
    <s v="OK"/>
    <x v="16"/>
    <n v="0.6"/>
    <n v="0.6"/>
    <n v="0.6"/>
  </r>
  <r>
    <n v="34"/>
    <s v="No"/>
    <s v="Travel_Rarely"/>
    <n v="1354"/>
    <x v="1"/>
    <n v="5"/>
    <n v="3"/>
    <s v="Medical"/>
    <n v="1"/>
    <n v="153"/>
    <n v="3"/>
    <s v="Female"/>
    <n v="45"/>
    <n v="2"/>
    <n v="3"/>
    <x v="5"/>
    <n v="1"/>
    <s v="Single"/>
    <n v="11631"/>
    <n v="5615"/>
    <n v="2"/>
    <s v="Y"/>
    <s v="No"/>
    <n v="12"/>
    <n v="3"/>
    <n v="4"/>
    <n v="80"/>
    <n v="0"/>
    <n v="14"/>
    <n v="6"/>
    <n v="3"/>
    <n v="11"/>
    <n v="10"/>
    <n v="5"/>
    <n v="8"/>
    <s v="OK"/>
    <s v="OK"/>
    <s v="OK"/>
    <s v="OK"/>
    <x v="31"/>
    <n v="0.90909090909090906"/>
    <n v="0.54545454545454541"/>
    <n v="0.72727272727272729"/>
  </r>
  <r>
    <n v="36"/>
    <s v="No"/>
    <s v="Travel_Frequently"/>
    <n v="1467"/>
    <x v="0"/>
    <n v="11"/>
    <n v="2"/>
    <s v="Technical Degree"/>
    <n v="1"/>
    <n v="154"/>
    <n v="2"/>
    <s v="Female"/>
    <n v="92"/>
    <n v="3"/>
    <n v="3"/>
    <x v="0"/>
    <n v="4"/>
    <s v="Married"/>
    <n v="9738"/>
    <n v="22952"/>
    <n v="0"/>
    <s v="Y"/>
    <s v="No"/>
    <n v="14"/>
    <n v="3"/>
    <n v="3"/>
    <n v="80"/>
    <n v="1"/>
    <n v="10"/>
    <n v="6"/>
    <n v="3"/>
    <n v="9"/>
    <n v="7"/>
    <n v="2"/>
    <n v="8"/>
    <s v="OK"/>
    <s v="OK"/>
    <s v="OK"/>
    <s v="OK"/>
    <x v="36"/>
    <n v="0.77777777777777779"/>
    <n v="0.66666666666666663"/>
    <n v="0.88888888888888884"/>
  </r>
  <r>
    <n v="36"/>
    <s v="No"/>
    <s v="Travel_Rarely"/>
    <n v="922"/>
    <x v="1"/>
    <n v="3"/>
    <n v="2"/>
    <s v="Life Sciences"/>
    <n v="1"/>
    <n v="155"/>
    <n v="1"/>
    <s v="Female"/>
    <n v="39"/>
    <n v="3"/>
    <n v="1"/>
    <x v="2"/>
    <n v="4"/>
    <s v="Divorced"/>
    <n v="2835"/>
    <n v="2561"/>
    <n v="5"/>
    <s v="Y"/>
    <s v="No"/>
    <n v="22"/>
    <n v="4"/>
    <n v="1"/>
    <n v="80"/>
    <n v="1"/>
    <n v="7"/>
    <n v="2"/>
    <n v="3"/>
    <n v="1"/>
    <n v="0"/>
    <n v="0"/>
    <n v="0"/>
    <s v="OK"/>
    <s v="OK"/>
    <s v="OK"/>
    <s v="OK"/>
    <x v="0"/>
    <n v="0"/>
    <n v="2"/>
    <n v="0"/>
  </r>
  <r>
    <n v="43"/>
    <s v="No"/>
    <s v="Travel_Frequently"/>
    <n v="394"/>
    <x v="0"/>
    <n v="26"/>
    <n v="2"/>
    <s v="Life Sciences"/>
    <n v="1"/>
    <n v="158"/>
    <n v="3"/>
    <s v="Male"/>
    <n v="92"/>
    <n v="3"/>
    <n v="4"/>
    <x v="5"/>
    <n v="4"/>
    <s v="Married"/>
    <n v="16959"/>
    <n v="19494"/>
    <n v="1"/>
    <s v="Y"/>
    <s v="Yes"/>
    <n v="12"/>
    <n v="3"/>
    <n v="4"/>
    <n v="80"/>
    <n v="2"/>
    <n v="25"/>
    <n v="3"/>
    <n v="4"/>
    <n v="25"/>
    <n v="12"/>
    <n v="4"/>
    <n v="12"/>
    <s v="OK"/>
    <s v="OK"/>
    <s v="OK"/>
    <s v="OK"/>
    <x v="37"/>
    <n v="0.48"/>
    <n v="0.12"/>
    <n v="0.48"/>
  </r>
  <r>
    <n v="30"/>
    <s v="No"/>
    <s v="Travel_Frequently"/>
    <n v="1312"/>
    <x v="1"/>
    <n v="23"/>
    <n v="3"/>
    <s v="Life Sciences"/>
    <n v="1"/>
    <n v="159"/>
    <n v="1"/>
    <s v="Male"/>
    <n v="96"/>
    <n v="1"/>
    <n v="1"/>
    <x v="1"/>
    <n v="3"/>
    <s v="Divorced"/>
    <n v="2613"/>
    <n v="22310"/>
    <n v="1"/>
    <s v="Y"/>
    <s v="No"/>
    <n v="25"/>
    <n v="4"/>
    <n v="3"/>
    <n v="80"/>
    <n v="3"/>
    <n v="10"/>
    <n v="2"/>
    <n v="2"/>
    <n v="10"/>
    <n v="7"/>
    <n v="0"/>
    <n v="9"/>
    <s v="OK"/>
    <s v="OK"/>
    <s v="OK"/>
    <s v="OK"/>
    <x v="0"/>
    <n v="0.7"/>
    <n v="0.2"/>
    <n v="0.9"/>
  </r>
  <r>
    <n v="33"/>
    <s v="No"/>
    <s v="Non-Travel"/>
    <n v="750"/>
    <x v="0"/>
    <n v="22"/>
    <n v="2"/>
    <s v="Marketing"/>
    <n v="1"/>
    <n v="160"/>
    <n v="3"/>
    <s v="Male"/>
    <n v="95"/>
    <n v="3"/>
    <n v="2"/>
    <x v="0"/>
    <n v="2"/>
    <s v="Married"/>
    <n v="6146"/>
    <n v="15480"/>
    <n v="0"/>
    <s v="Y"/>
    <s v="No"/>
    <n v="13"/>
    <n v="3"/>
    <n v="1"/>
    <n v="80"/>
    <n v="1"/>
    <n v="8"/>
    <n v="2"/>
    <n v="4"/>
    <n v="7"/>
    <n v="7"/>
    <n v="0"/>
    <n v="7"/>
    <s v="OK"/>
    <s v="OK"/>
    <s v="OK"/>
    <s v="OK"/>
    <x v="0"/>
    <n v="1"/>
    <n v="0.2857142857142857"/>
    <n v="1"/>
  </r>
  <r>
    <n v="56"/>
    <s v="Yes"/>
    <s v="Travel_Rarely"/>
    <n v="441"/>
    <x v="1"/>
    <n v="14"/>
    <n v="4"/>
    <s v="Life Sciences"/>
    <n v="1"/>
    <n v="161"/>
    <n v="2"/>
    <s v="Female"/>
    <n v="72"/>
    <n v="3"/>
    <n v="1"/>
    <x v="1"/>
    <n v="2"/>
    <s v="Married"/>
    <n v="4963"/>
    <n v="4510"/>
    <n v="9"/>
    <s v="Y"/>
    <s v="Yes"/>
    <n v="18"/>
    <n v="3"/>
    <n v="1"/>
    <n v="80"/>
    <n v="3"/>
    <n v="7"/>
    <n v="2"/>
    <n v="3"/>
    <n v="5"/>
    <n v="4"/>
    <n v="4"/>
    <n v="3"/>
    <s v="OK"/>
    <s v="OK"/>
    <s v="OK"/>
    <s v="OK"/>
    <x v="6"/>
    <n v="0.8"/>
    <n v="0.4"/>
    <n v="0.6"/>
  </r>
  <r>
    <n v="51"/>
    <s v="No"/>
    <s v="Travel_Rarely"/>
    <n v="684"/>
    <x v="1"/>
    <n v="6"/>
    <n v="3"/>
    <s v="Life Sciences"/>
    <n v="1"/>
    <n v="162"/>
    <n v="1"/>
    <s v="Male"/>
    <n v="51"/>
    <n v="3"/>
    <n v="5"/>
    <x v="7"/>
    <n v="3"/>
    <s v="Single"/>
    <n v="19537"/>
    <n v="6462"/>
    <n v="7"/>
    <s v="Y"/>
    <s v="No"/>
    <n v="13"/>
    <n v="3"/>
    <n v="3"/>
    <n v="80"/>
    <n v="0"/>
    <n v="23"/>
    <n v="5"/>
    <n v="3"/>
    <n v="20"/>
    <n v="18"/>
    <n v="15"/>
    <n v="15"/>
    <s v="OK"/>
    <s v="OK"/>
    <s v="OK"/>
    <s v="OK"/>
    <x v="38"/>
    <n v="0.9"/>
    <n v="0.25"/>
    <n v="0.75"/>
  </r>
  <r>
    <n v="31"/>
    <s v="Yes"/>
    <s v="Travel_Rarely"/>
    <n v="249"/>
    <x v="0"/>
    <n v="6"/>
    <n v="4"/>
    <s v="Life Sciences"/>
    <n v="1"/>
    <n v="163"/>
    <n v="2"/>
    <s v="Male"/>
    <n v="76"/>
    <n v="1"/>
    <n v="2"/>
    <x v="0"/>
    <n v="3"/>
    <s v="Married"/>
    <n v="6172"/>
    <n v="20739"/>
    <n v="4"/>
    <s v="Y"/>
    <s v="Yes"/>
    <n v="18"/>
    <n v="3"/>
    <n v="2"/>
    <n v="80"/>
    <n v="0"/>
    <n v="12"/>
    <n v="3"/>
    <n v="2"/>
    <n v="7"/>
    <n v="7"/>
    <n v="7"/>
    <n v="7"/>
    <s v="OK"/>
    <s v="OK"/>
    <s v="OK"/>
    <s v="OK"/>
    <x v="3"/>
    <n v="1"/>
    <n v="0.42857142857142855"/>
    <n v="1"/>
  </r>
  <r>
    <n v="26"/>
    <s v="No"/>
    <s v="Travel_Rarely"/>
    <n v="841"/>
    <x v="1"/>
    <n v="6"/>
    <n v="3"/>
    <s v="Other"/>
    <n v="1"/>
    <n v="164"/>
    <n v="3"/>
    <s v="Female"/>
    <n v="46"/>
    <n v="2"/>
    <n v="1"/>
    <x v="1"/>
    <n v="2"/>
    <s v="Married"/>
    <n v="2368"/>
    <n v="23300"/>
    <n v="1"/>
    <s v="Y"/>
    <s v="No"/>
    <n v="19"/>
    <n v="3"/>
    <n v="3"/>
    <n v="80"/>
    <n v="0"/>
    <n v="5"/>
    <n v="3"/>
    <n v="2"/>
    <n v="5"/>
    <n v="4"/>
    <n v="4"/>
    <n v="3"/>
    <s v="OK"/>
    <s v="OK"/>
    <s v="OK"/>
    <s v="OK"/>
    <x v="6"/>
    <n v="0.8"/>
    <n v="0.6"/>
    <n v="0.6"/>
  </r>
  <r>
    <n v="58"/>
    <s v="Yes"/>
    <s v="Travel_Rarely"/>
    <n v="147"/>
    <x v="1"/>
    <n v="23"/>
    <n v="4"/>
    <s v="Medical"/>
    <n v="1"/>
    <n v="165"/>
    <n v="4"/>
    <s v="Female"/>
    <n v="94"/>
    <n v="3"/>
    <n v="3"/>
    <x v="4"/>
    <n v="4"/>
    <s v="Married"/>
    <n v="10312"/>
    <n v="3465"/>
    <n v="1"/>
    <s v="Y"/>
    <s v="No"/>
    <n v="12"/>
    <n v="3"/>
    <n v="4"/>
    <n v="80"/>
    <n v="1"/>
    <n v="40"/>
    <n v="3"/>
    <n v="2"/>
    <n v="40"/>
    <n v="10"/>
    <n v="15"/>
    <n v="6"/>
    <s v="OK"/>
    <s v="OK"/>
    <s v="OK"/>
    <s v="OK"/>
    <x v="2"/>
    <n v="0.25"/>
    <n v="7.4999999999999997E-2"/>
    <n v="0.15"/>
  </r>
  <r>
    <n v="19"/>
    <s v="Yes"/>
    <s v="Travel_Rarely"/>
    <n v="528"/>
    <x v="0"/>
    <n v="22"/>
    <n v="1"/>
    <s v="Marketing"/>
    <n v="1"/>
    <n v="167"/>
    <n v="4"/>
    <s v="Male"/>
    <n v="50"/>
    <n v="3"/>
    <n v="1"/>
    <x v="6"/>
    <n v="3"/>
    <s v="Single"/>
    <n v="1675"/>
    <n v="26820"/>
    <n v="1"/>
    <s v="Y"/>
    <s v="Yes"/>
    <n v="19"/>
    <n v="3"/>
    <n v="4"/>
    <n v="80"/>
    <n v="0"/>
    <n v="0"/>
    <n v="2"/>
    <n v="2"/>
    <n v="0"/>
    <n v="0"/>
    <n v="0"/>
    <n v="0"/>
    <s v="OK"/>
    <s v="OK"/>
    <s v="OK"/>
    <s v="OK"/>
    <x v="0"/>
    <n v="0"/>
    <n v="0"/>
    <n v="0"/>
  </r>
  <r>
    <n v="22"/>
    <s v="No"/>
    <s v="Travel_Rarely"/>
    <n v="594"/>
    <x v="1"/>
    <n v="2"/>
    <n v="1"/>
    <s v="Technical Degree"/>
    <n v="1"/>
    <n v="169"/>
    <n v="3"/>
    <s v="Male"/>
    <n v="100"/>
    <n v="3"/>
    <n v="1"/>
    <x v="2"/>
    <n v="4"/>
    <s v="Married"/>
    <n v="2523"/>
    <n v="19299"/>
    <n v="0"/>
    <s v="Y"/>
    <s v="No"/>
    <n v="14"/>
    <n v="3"/>
    <n v="3"/>
    <n v="80"/>
    <n v="1"/>
    <n v="3"/>
    <n v="2"/>
    <n v="3"/>
    <n v="2"/>
    <n v="1"/>
    <n v="2"/>
    <n v="1"/>
    <s v="OK"/>
    <s v="OK"/>
    <s v="OK"/>
    <s v="OK"/>
    <x v="3"/>
    <n v="0.5"/>
    <n v="1"/>
    <n v="0.5"/>
  </r>
  <r>
    <n v="49"/>
    <s v="No"/>
    <s v="Travel_Rarely"/>
    <n v="470"/>
    <x v="1"/>
    <n v="20"/>
    <n v="4"/>
    <s v="Medical"/>
    <n v="1"/>
    <n v="170"/>
    <n v="3"/>
    <s v="Female"/>
    <n v="96"/>
    <n v="3"/>
    <n v="2"/>
    <x v="3"/>
    <n v="1"/>
    <s v="Married"/>
    <n v="6567"/>
    <n v="5549"/>
    <n v="1"/>
    <s v="Y"/>
    <s v="No"/>
    <n v="14"/>
    <n v="3"/>
    <n v="3"/>
    <n v="80"/>
    <n v="0"/>
    <n v="16"/>
    <n v="2"/>
    <n v="2"/>
    <n v="15"/>
    <n v="11"/>
    <n v="5"/>
    <n v="11"/>
    <s v="OK"/>
    <s v="OK"/>
    <s v="OK"/>
    <s v="OK"/>
    <x v="9"/>
    <n v="0.73333333333333328"/>
    <n v="0.13333333333333333"/>
    <n v="0.73333333333333328"/>
  </r>
  <r>
    <n v="43"/>
    <s v="No"/>
    <s v="Travel_Frequently"/>
    <n v="957"/>
    <x v="1"/>
    <n v="28"/>
    <n v="3"/>
    <s v="Medical"/>
    <n v="1"/>
    <n v="171"/>
    <n v="2"/>
    <s v="Female"/>
    <n v="72"/>
    <n v="4"/>
    <n v="1"/>
    <x v="1"/>
    <n v="3"/>
    <s v="Single"/>
    <n v="4739"/>
    <n v="16090"/>
    <n v="4"/>
    <s v="Y"/>
    <s v="No"/>
    <n v="12"/>
    <n v="3"/>
    <n v="4"/>
    <n v="80"/>
    <n v="0"/>
    <n v="18"/>
    <n v="2"/>
    <n v="3"/>
    <n v="3"/>
    <n v="2"/>
    <n v="1"/>
    <n v="2"/>
    <s v="OK"/>
    <s v="OK"/>
    <s v="OK"/>
    <s v="OK"/>
    <x v="9"/>
    <n v="0.66666666666666663"/>
    <n v="0.66666666666666663"/>
    <n v="0.66666666666666663"/>
  </r>
  <r>
    <n v="50"/>
    <s v="No"/>
    <s v="Travel_Frequently"/>
    <n v="809"/>
    <x v="0"/>
    <n v="12"/>
    <n v="3"/>
    <s v="Marketing"/>
    <n v="1"/>
    <n v="174"/>
    <n v="3"/>
    <s v="Female"/>
    <n v="77"/>
    <n v="3"/>
    <n v="3"/>
    <x v="0"/>
    <n v="4"/>
    <s v="Single"/>
    <n v="9208"/>
    <n v="6645"/>
    <n v="4"/>
    <s v="Y"/>
    <s v="No"/>
    <n v="11"/>
    <n v="3"/>
    <n v="4"/>
    <n v="80"/>
    <n v="0"/>
    <n v="16"/>
    <n v="3"/>
    <n v="3"/>
    <n v="2"/>
    <n v="2"/>
    <n v="2"/>
    <n v="1"/>
    <s v="OK"/>
    <s v="OK"/>
    <s v="OK"/>
    <s v="OK"/>
    <x v="3"/>
    <n v="1"/>
    <n v="1.5"/>
    <n v="0.5"/>
  </r>
  <r>
    <n v="31"/>
    <s v="Yes"/>
    <s v="Travel_Rarely"/>
    <n v="542"/>
    <x v="0"/>
    <n v="20"/>
    <n v="3"/>
    <s v="Life Sciences"/>
    <n v="1"/>
    <n v="175"/>
    <n v="2"/>
    <s v="Female"/>
    <n v="71"/>
    <n v="1"/>
    <n v="2"/>
    <x v="0"/>
    <n v="3"/>
    <s v="Married"/>
    <n v="4559"/>
    <n v="24788"/>
    <n v="3"/>
    <s v="Y"/>
    <s v="Yes"/>
    <n v="11"/>
    <n v="3"/>
    <n v="3"/>
    <n v="80"/>
    <n v="1"/>
    <n v="4"/>
    <n v="2"/>
    <n v="3"/>
    <n v="2"/>
    <n v="2"/>
    <n v="2"/>
    <n v="2"/>
    <s v="OK"/>
    <s v="OK"/>
    <s v="OK"/>
    <s v="OK"/>
    <x v="3"/>
    <n v="1"/>
    <n v="1"/>
    <n v="1"/>
  </r>
  <r>
    <n v="41"/>
    <s v="No"/>
    <s v="Travel_Rarely"/>
    <n v="802"/>
    <x v="0"/>
    <n v="9"/>
    <n v="1"/>
    <s v="Life Sciences"/>
    <n v="1"/>
    <n v="176"/>
    <n v="3"/>
    <s v="Male"/>
    <n v="96"/>
    <n v="3"/>
    <n v="3"/>
    <x v="0"/>
    <n v="3"/>
    <s v="Divorced"/>
    <n v="8189"/>
    <n v="21196"/>
    <n v="3"/>
    <s v="Y"/>
    <s v="Yes"/>
    <n v="13"/>
    <n v="3"/>
    <n v="3"/>
    <n v="80"/>
    <n v="1"/>
    <n v="12"/>
    <n v="2"/>
    <n v="3"/>
    <n v="9"/>
    <n v="7"/>
    <n v="0"/>
    <n v="7"/>
    <s v="OK"/>
    <s v="OK"/>
    <s v="OK"/>
    <s v="OK"/>
    <x v="0"/>
    <n v="0.77777777777777779"/>
    <n v="0.22222222222222221"/>
    <n v="0.77777777777777779"/>
  </r>
  <r>
    <n v="26"/>
    <s v="No"/>
    <s v="Travel_Rarely"/>
    <n v="1355"/>
    <x v="2"/>
    <n v="25"/>
    <n v="1"/>
    <s v="Life Sciences"/>
    <n v="1"/>
    <n v="177"/>
    <n v="3"/>
    <s v="Female"/>
    <n v="61"/>
    <n v="3"/>
    <n v="1"/>
    <x v="8"/>
    <n v="3"/>
    <s v="Married"/>
    <n v="2942"/>
    <n v="8916"/>
    <n v="1"/>
    <s v="Y"/>
    <s v="No"/>
    <n v="23"/>
    <n v="4"/>
    <n v="4"/>
    <n v="80"/>
    <n v="1"/>
    <n v="8"/>
    <n v="3"/>
    <n v="3"/>
    <n v="8"/>
    <n v="7"/>
    <n v="5"/>
    <n v="7"/>
    <s v="OK"/>
    <s v="OK"/>
    <s v="OK"/>
    <s v="OK"/>
    <x v="39"/>
    <n v="0.875"/>
    <n v="0.375"/>
    <n v="0.875"/>
  </r>
  <r>
    <n v="36"/>
    <s v="No"/>
    <s v="Travel_Rarely"/>
    <n v="216"/>
    <x v="1"/>
    <n v="6"/>
    <n v="2"/>
    <s v="Medical"/>
    <n v="1"/>
    <n v="178"/>
    <n v="2"/>
    <s v="Male"/>
    <n v="84"/>
    <n v="3"/>
    <n v="2"/>
    <x v="3"/>
    <n v="2"/>
    <s v="Divorced"/>
    <n v="4941"/>
    <n v="2819"/>
    <n v="6"/>
    <s v="Y"/>
    <s v="No"/>
    <n v="20"/>
    <n v="4"/>
    <n v="4"/>
    <n v="80"/>
    <n v="2"/>
    <n v="7"/>
    <n v="0"/>
    <n v="3"/>
    <n v="3"/>
    <n v="2"/>
    <n v="0"/>
    <n v="1"/>
    <s v="OK"/>
    <s v="OK"/>
    <s v="OK"/>
    <s v="OK"/>
    <x v="0"/>
    <n v="0.66666666666666663"/>
    <n v="0"/>
    <n v="0.33333333333333331"/>
  </r>
  <r>
    <n v="51"/>
    <s v="Yes"/>
    <s v="Travel_Frequently"/>
    <n v="1150"/>
    <x v="1"/>
    <n v="8"/>
    <n v="4"/>
    <s v="Life Sciences"/>
    <n v="1"/>
    <n v="179"/>
    <n v="1"/>
    <s v="Male"/>
    <n v="53"/>
    <n v="1"/>
    <n v="3"/>
    <x v="3"/>
    <n v="4"/>
    <s v="Single"/>
    <n v="10650"/>
    <n v="25150"/>
    <n v="2"/>
    <s v="Y"/>
    <s v="No"/>
    <n v="15"/>
    <n v="3"/>
    <n v="4"/>
    <n v="80"/>
    <n v="0"/>
    <n v="18"/>
    <n v="2"/>
    <n v="3"/>
    <n v="4"/>
    <n v="2"/>
    <n v="0"/>
    <n v="3"/>
    <s v="OK"/>
    <s v="OK"/>
    <s v="OK"/>
    <s v="OK"/>
    <x v="0"/>
    <n v="0.5"/>
    <n v="0.5"/>
    <n v="0.75"/>
  </r>
  <r>
    <n v="39"/>
    <s v="No"/>
    <s v="Travel_Rarely"/>
    <n v="1329"/>
    <x v="0"/>
    <n v="4"/>
    <n v="4"/>
    <s v="Life Sciences"/>
    <n v="1"/>
    <n v="182"/>
    <n v="4"/>
    <s v="Female"/>
    <n v="47"/>
    <n v="2"/>
    <n v="2"/>
    <x v="0"/>
    <n v="3"/>
    <s v="Married"/>
    <n v="5902"/>
    <n v="14590"/>
    <n v="4"/>
    <s v="Y"/>
    <s v="No"/>
    <n v="14"/>
    <n v="3"/>
    <n v="3"/>
    <n v="80"/>
    <n v="1"/>
    <n v="17"/>
    <n v="1"/>
    <n v="4"/>
    <n v="15"/>
    <n v="11"/>
    <n v="5"/>
    <n v="9"/>
    <s v="OK"/>
    <s v="OK"/>
    <s v="OK"/>
    <s v="OK"/>
    <x v="9"/>
    <n v="0.73333333333333328"/>
    <n v="6.6666666666666666E-2"/>
    <n v="0.6"/>
  </r>
  <r>
    <n v="25"/>
    <s v="No"/>
    <s v="Travel_Rarely"/>
    <n v="959"/>
    <x v="0"/>
    <n v="28"/>
    <n v="3"/>
    <s v="Life Sciences"/>
    <n v="1"/>
    <n v="183"/>
    <n v="1"/>
    <s v="Male"/>
    <n v="41"/>
    <n v="2"/>
    <n v="2"/>
    <x v="0"/>
    <n v="3"/>
    <s v="Married"/>
    <n v="8639"/>
    <n v="24835"/>
    <n v="2"/>
    <s v="Y"/>
    <s v="No"/>
    <n v="18"/>
    <n v="3"/>
    <n v="4"/>
    <n v="80"/>
    <n v="0"/>
    <n v="6"/>
    <n v="3"/>
    <n v="3"/>
    <n v="2"/>
    <n v="2"/>
    <n v="2"/>
    <n v="2"/>
    <s v="OK"/>
    <s v="OK"/>
    <s v="OK"/>
    <s v="OK"/>
    <x v="3"/>
    <n v="1"/>
    <n v="1.5"/>
    <n v="1"/>
  </r>
  <r>
    <n v="30"/>
    <s v="No"/>
    <s v="Travel_Rarely"/>
    <n v="1240"/>
    <x v="2"/>
    <n v="9"/>
    <n v="3"/>
    <s v="Human Resources"/>
    <n v="1"/>
    <n v="184"/>
    <n v="3"/>
    <s v="Male"/>
    <n v="48"/>
    <n v="3"/>
    <n v="2"/>
    <x v="8"/>
    <n v="4"/>
    <s v="Married"/>
    <n v="6347"/>
    <n v="13982"/>
    <n v="0"/>
    <s v="Y"/>
    <s v="Yes"/>
    <n v="19"/>
    <n v="3"/>
    <n v="4"/>
    <n v="80"/>
    <n v="0"/>
    <n v="12"/>
    <n v="2"/>
    <n v="1"/>
    <n v="11"/>
    <n v="9"/>
    <n v="4"/>
    <n v="7"/>
    <s v="OK"/>
    <s v="OK"/>
    <s v="OK"/>
    <s v="OK"/>
    <x v="40"/>
    <n v="0.81818181818181823"/>
    <n v="0.18181818181818182"/>
    <n v="0.63636363636363635"/>
  </r>
  <r>
    <n v="32"/>
    <s v="Yes"/>
    <s v="Travel_Rarely"/>
    <n v="1033"/>
    <x v="1"/>
    <n v="9"/>
    <n v="3"/>
    <s v="Medical"/>
    <n v="1"/>
    <n v="190"/>
    <n v="1"/>
    <s v="Female"/>
    <n v="41"/>
    <n v="3"/>
    <n v="1"/>
    <x v="2"/>
    <n v="1"/>
    <s v="Single"/>
    <n v="4200"/>
    <n v="10224"/>
    <n v="7"/>
    <s v="Y"/>
    <s v="No"/>
    <n v="22"/>
    <n v="4"/>
    <n v="1"/>
    <n v="80"/>
    <n v="0"/>
    <n v="10"/>
    <n v="2"/>
    <n v="4"/>
    <n v="5"/>
    <n v="4"/>
    <n v="0"/>
    <n v="4"/>
    <s v="OK"/>
    <s v="OK"/>
    <s v="OK"/>
    <s v="OK"/>
    <x v="0"/>
    <n v="0.8"/>
    <n v="0.4"/>
    <n v="0.8"/>
  </r>
  <r>
    <n v="45"/>
    <s v="No"/>
    <s v="Travel_Rarely"/>
    <n v="1316"/>
    <x v="1"/>
    <n v="29"/>
    <n v="3"/>
    <s v="Medical"/>
    <n v="1"/>
    <n v="192"/>
    <n v="3"/>
    <s v="Male"/>
    <n v="83"/>
    <n v="3"/>
    <n v="1"/>
    <x v="1"/>
    <n v="4"/>
    <s v="Single"/>
    <n v="3452"/>
    <n v="9752"/>
    <n v="5"/>
    <s v="Y"/>
    <s v="No"/>
    <n v="13"/>
    <n v="3"/>
    <n v="2"/>
    <n v="80"/>
    <n v="0"/>
    <n v="9"/>
    <n v="2"/>
    <n v="2"/>
    <n v="6"/>
    <n v="5"/>
    <n v="0"/>
    <n v="3"/>
    <s v="OK"/>
    <s v="OK"/>
    <s v="OK"/>
    <s v="OK"/>
    <x v="0"/>
    <n v="0.83333333333333337"/>
    <n v="0.33333333333333331"/>
    <n v="0.5"/>
  </r>
  <r>
    <n v="38"/>
    <s v="No"/>
    <s v="Travel_Rarely"/>
    <n v="364"/>
    <x v="1"/>
    <n v="3"/>
    <n v="5"/>
    <s v="Technical Degree"/>
    <n v="1"/>
    <n v="193"/>
    <n v="4"/>
    <s v="Female"/>
    <n v="32"/>
    <n v="3"/>
    <n v="2"/>
    <x v="1"/>
    <n v="3"/>
    <s v="Single"/>
    <n v="4317"/>
    <n v="2302"/>
    <n v="3"/>
    <s v="Y"/>
    <s v="Yes"/>
    <n v="20"/>
    <n v="4"/>
    <n v="2"/>
    <n v="80"/>
    <n v="0"/>
    <n v="19"/>
    <n v="2"/>
    <n v="3"/>
    <n v="3"/>
    <n v="2"/>
    <n v="2"/>
    <n v="2"/>
    <s v="OK"/>
    <s v="OK"/>
    <s v="OK"/>
    <s v="OK"/>
    <x v="34"/>
    <n v="0.66666666666666663"/>
    <n v="0.66666666666666663"/>
    <n v="0.66666666666666663"/>
  </r>
  <r>
    <n v="30"/>
    <s v="No"/>
    <s v="Travel_Rarely"/>
    <n v="438"/>
    <x v="1"/>
    <n v="18"/>
    <n v="3"/>
    <s v="Life Sciences"/>
    <n v="1"/>
    <n v="194"/>
    <n v="1"/>
    <s v="Female"/>
    <n v="75"/>
    <n v="3"/>
    <n v="1"/>
    <x v="1"/>
    <n v="3"/>
    <s v="Single"/>
    <n v="2632"/>
    <n v="23910"/>
    <n v="1"/>
    <s v="Y"/>
    <s v="No"/>
    <n v="14"/>
    <n v="3"/>
    <n v="3"/>
    <n v="80"/>
    <n v="0"/>
    <n v="5"/>
    <n v="4"/>
    <n v="2"/>
    <n v="5"/>
    <n v="4"/>
    <n v="0"/>
    <n v="4"/>
    <s v="OK"/>
    <s v="OK"/>
    <s v="OK"/>
    <s v="OK"/>
    <x v="0"/>
    <n v="0.8"/>
    <n v="0.8"/>
    <n v="0.8"/>
  </r>
  <r>
    <n v="32"/>
    <s v="No"/>
    <s v="Travel_Frequently"/>
    <n v="689"/>
    <x v="0"/>
    <n v="9"/>
    <n v="2"/>
    <s v="Medical"/>
    <n v="1"/>
    <n v="195"/>
    <n v="4"/>
    <s v="Male"/>
    <n v="35"/>
    <n v="1"/>
    <n v="2"/>
    <x v="0"/>
    <n v="4"/>
    <s v="Divorced"/>
    <n v="4668"/>
    <n v="22812"/>
    <n v="0"/>
    <s v="Y"/>
    <s v="No"/>
    <n v="17"/>
    <n v="3"/>
    <n v="4"/>
    <n v="80"/>
    <n v="3"/>
    <n v="9"/>
    <n v="2"/>
    <n v="4"/>
    <n v="8"/>
    <n v="7"/>
    <n v="0"/>
    <n v="7"/>
    <s v="OK"/>
    <s v="OK"/>
    <s v="OK"/>
    <s v="OK"/>
    <x v="0"/>
    <n v="0.875"/>
    <n v="0.25"/>
    <n v="0.875"/>
  </r>
  <r>
    <n v="30"/>
    <s v="No"/>
    <s v="Travel_Rarely"/>
    <n v="201"/>
    <x v="1"/>
    <n v="5"/>
    <n v="3"/>
    <s v="Technical Degree"/>
    <n v="1"/>
    <n v="197"/>
    <n v="4"/>
    <s v="Female"/>
    <n v="84"/>
    <n v="3"/>
    <n v="1"/>
    <x v="1"/>
    <n v="1"/>
    <s v="Divorced"/>
    <n v="3204"/>
    <n v="10415"/>
    <n v="5"/>
    <s v="Y"/>
    <s v="No"/>
    <n v="14"/>
    <n v="3"/>
    <n v="4"/>
    <n v="80"/>
    <n v="1"/>
    <n v="8"/>
    <n v="3"/>
    <n v="3"/>
    <n v="3"/>
    <n v="2"/>
    <n v="2"/>
    <n v="2"/>
    <s v="OK"/>
    <s v="OK"/>
    <s v="OK"/>
    <s v="OK"/>
    <x v="34"/>
    <n v="0.66666666666666663"/>
    <n v="1"/>
    <n v="0.66666666666666663"/>
  </r>
  <r>
    <n v="30"/>
    <s v="No"/>
    <s v="Travel_Rarely"/>
    <n v="1427"/>
    <x v="1"/>
    <n v="2"/>
    <n v="1"/>
    <s v="Medical"/>
    <n v="1"/>
    <n v="198"/>
    <n v="2"/>
    <s v="Male"/>
    <n v="35"/>
    <n v="2"/>
    <n v="1"/>
    <x v="2"/>
    <n v="4"/>
    <s v="Single"/>
    <n v="2720"/>
    <n v="11162"/>
    <n v="0"/>
    <s v="Y"/>
    <s v="No"/>
    <n v="13"/>
    <n v="3"/>
    <n v="4"/>
    <n v="80"/>
    <n v="0"/>
    <n v="6"/>
    <n v="3"/>
    <n v="3"/>
    <n v="5"/>
    <n v="3"/>
    <n v="1"/>
    <n v="2"/>
    <s v="OK"/>
    <s v="OK"/>
    <s v="OK"/>
    <s v="OK"/>
    <x v="16"/>
    <n v="0.6"/>
    <n v="0.6"/>
    <n v="0.4"/>
  </r>
  <r>
    <n v="41"/>
    <s v="No"/>
    <s v="Travel_Frequently"/>
    <n v="857"/>
    <x v="1"/>
    <n v="10"/>
    <n v="3"/>
    <s v="Life Sciences"/>
    <n v="1"/>
    <n v="199"/>
    <n v="4"/>
    <s v="Male"/>
    <n v="91"/>
    <n v="2"/>
    <n v="4"/>
    <x v="5"/>
    <n v="1"/>
    <s v="Divorced"/>
    <n v="17181"/>
    <n v="12888"/>
    <n v="4"/>
    <s v="Y"/>
    <s v="No"/>
    <n v="13"/>
    <n v="3"/>
    <n v="2"/>
    <n v="80"/>
    <n v="1"/>
    <n v="21"/>
    <n v="2"/>
    <n v="2"/>
    <n v="7"/>
    <n v="6"/>
    <n v="7"/>
    <n v="7"/>
    <s v="OK"/>
    <s v="OK"/>
    <s v="OK"/>
    <s v="OK"/>
    <x v="3"/>
    <n v="0.8571428571428571"/>
    <n v="0.2857142857142857"/>
    <n v="1"/>
  </r>
  <r>
    <n v="41"/>
    <s v="No"/>
    <s v="Travel_Rarely"/>
    <n v="933"/>
    <x v="1"/>
    <n v="9"/>
    <n v="4"/>
    <s v="Life Sciences"/>
    <n v="1"/>
    <n v="200"/>
    <n v="3"/>
    <s v="Male"/>
    <n v="94"/>
    <n v="3"/>
    <n v="1"/>
    <x v="2"/>
    <n v="1"/>
    <s v="Married"/>
    <n v="2238"/>
    <n v="6961"/>
    <n v="2"/>
    <s v="Y"/>
    <s v="No"/>
    <n v="21"/>
    <n v="4"/>
    <n v="4"/>
    <n v="80"/>
    <n v="1"/>
    <n v="7"/>
    <n v="2"/>
    <n v="3"/>
    <n v="5"/>
    <n v="0"/>
    <n v="1"/>
    <n v="4"/>
    <s v="OK"/>
    <s v="OK"/>
    <s v="OK"/>
    <s v="OK"/>
    <x v="16"/>
    <n v="0"/>
    <n v="0.4"/>
    <n v="0.8"/>
  </r>
  <r>
    <n v="19"/>
    <s v="No"/>
    <s v="Travel_Rarely"/>
    <n v="1181"/>
    <x v="1"/>
    <n v="3"/>
    <n v="1"/>
    <s v="Medical"/>
    <n v="1"/>
    <n v="201"/>
    <n v="2"/>
    <s v="Female"/>
    <n v="79"/>
    <n v="3"/>
    <n v="1"/>
    <x v="2"/>
    <n v="2"/>
    <s v="Single"/>
    <n v="1483"/>
    <n v="16102"/>
    <n v="1"/>
    <s v="Y"/>
    <s v="No"/>
    <n v="14"/>
    <n v="3"/>
    <n v="4"/>
    <n v="80"/>
    <n v="0"/>
    <n v="1"/>
    <n v="3"/>
    <n v="3"/>
    <n v="1"/>
    <n v="0"/>
    <n v="0"/>
    <n v="0"/>
    <s v="OK"/>
    <s v="OK"/>
    <s v="OK"/>
    <s v="OK"/>
    <x v="0"/>
    <n v="0"/>
    <n v="3"/>
    <n v="0"/>
  </r>
  <r>
    <n v="40"/>
    <s v="No"/>
    <s v="Travel_Frequently"/>
    <n v="1395"/>
    <x v="1"/>
    <n v="26"/>
    <n v="3"/>
    <s v="Medical"/>
    <n v="1"/>
    <n v="202"/>
    <n v="2"/>
    <s v="Female"/>
    <n v="54"/>
    <n v="3"/>
    <n v="2"/>
    <x v="1"/>
    <n v="2"/>
    <s v="Divorced"/>
    <n v="5605"/>
    <n v="8504"/>
    <n v="1"/>
    <s v="Y"/>
    <s v="No"/>
    <n v="11"/>
    <n v="3"/>
    <n v="1"/>
    <n v="80"/>
    <n v="1"/>
    <n v="20"/>
    <n v="2"/>
    <n v="3"/>
    <n v="20"/>
    <n v="7"/>
    <n v="2"/>
    <n v="13"/>
    <s v="OK"/>
    <s v="OK"/>
    <s v="OK"/>
    <s v="OK"/>
    <x v="1"/>
    <n v="0.35"/>
    <n v="0.1"/>
    <n v="0.65"/>
  </r>
  <r>
    <n v="35"/>
    <s v="No"/>
    <s v="Travel_Rarely"/>
    <n v="662"/>
    <x v="0"/>
    <n v="1"/>
    <n v="5"/>
    <s v="Marketing"/>
    <n v="1"/>
    <n v="204"/>
    <n v="3"/>
    <s v="Male"/>
    <n v="94"/>
    <n v="3"/>
    <n v="3"/>
    <x v="0"/>
    <n v="2"/>
    <s v="Married"/>
    <n v="7295"/>
    <n v="11439"/>
    <n v="1"/>
    <s v="Y"/>
    <s v="No"/>
    <n v="13"/>
    <n v="3"/>
    <n v="1"/>
    <n v="80"/>
    <n v="2"/>
    <n v="10"/>
    <n v="3"/>
    <n v="3"/>
    <n v="10"/>
    <n v="8"/>
    <n v="0"/>
    <n v="6"/>
    <s v="OK"/>
    <s v="OK"/>
    <s v="OK"/>
    <s v="OK"/>
    <x v="0"/>
    <n v="0.8"/>
    <n v="0.3"/>
    <n v="0.6"/>
  </r>
  <r>
    <n v="53"/>
    <s v="No"/>
    <s v="Travel_Rarely"/>
    <n v="1436"/>
    <x v="0"/>
    <n v="6"/>
    <n v="2"/>
    <s v="Marketing"/>
    <n v="1"/>
    <n v="205"/>
    <n v="2"/>
    <s v="Male"/>
    <n v="34"/>
    <n v="3"/>
    <n v="2"/>
    <x v="6"/>
    <n v="3"/>
    <s v="Married"/>
    <n v="2306"/>
    <n v="16047"/>
    <n v="2"/>
    <s v="Y"/>
    <s v="Yes"/>
    <n v="20"/>
    <n v="4"/>
    <n v="4"/>
    <n v="80"/>
    <n v="1"/>
    <n v="13"/>
    <n v="3"/>
    <n v="1"/>
    <n v="7"/>
    <n v="7"/>
    <n v="4"/>
    <n v="5"/>
    <s v="OK"/>
    <s v="OK"/>
    <s v="OK"/>
    <s v="OK"/>
    <x v="41"/>
    <n v="1"/>
    <n v="0.42857142857142855"/>
    <n v="0.7142857142857143"/>
  </r>
  <r>
    <n v="45"/>
    <s v="No"/>
    <s v="Travel_Rarely"/>
    <n v="194"/>
    <x v="1"/>
    <n v="9"/>
    <n v="3"/>
    <s v="Life Sciences"/>
    <n v="1"/>
    <n v="206"/>
    <n v="2"/>
    <s v="Male"/>
    <n v="60"/>
    <n v="3"/>
    <n v="2"/>
    <x v="2"/>
    <n v="2"/>
    <s v="Divorced"/>
    <n v="2348"/>
    <n v="10901"/>
    <n v="8"/>
    <s v="Y"/>
    <s v="No"/>
    <n v="18"/>
    <n v="3"/>
    <n v="3"/>
    <n v="80"/>
    <n v="1"/>
    <n v="20"/>
    <n v="2"/>
    <n v="1"/>
    <n v="17"/>
    <n v="9"/>
    <n v="0"/>
    <n v="15"/>
    <s v="OK"/>
    <s v="OK"/>
    <s v="OK"/>
    <s v="OK"/>
    <x v="0"/>
    <n v="0.52941176470588236"/>
    <n v="0.11764705882352941"/>
    <n v="0.88235294117647056"/>
  </r>
  <r>
    <n v="32"/>
    <s v="No"/>
    <s v="Travel_Frequently"/>
    <n v="967"/>
    <x v="0"/>
    <n v="8"/>
    <n v="3"/>
    <s v="Marketing"/>
    <n v="1"/>
    <n v="207"/>
    <n v="2"/>
    <s v="Female"/>
    <n v="43"/>
    <n v="3"/>
    <n v="3"/>
    <x v="0"/>
    <n v="4"/>
    <s v="Single"/>
    <n v="8998"/>
    <n v="15589"/>
    <n v="1"/>
    <s v="Y"/>
    <s v="No"/>
    <n v="14"/>
    <n v="3"/>
    <n v="4"/>
    <n v="80"/>
    <n v="0"/>
    <n v="9"/>
    <n v="2"/>
    <n v="3"/>
    <n v="9"/>
    <n v="8"/>
    <n v="3"/>
    <n v="7"/>
    <s v="OK"/>
    <s v="OK"/>
    <s v="OK"/>
    <s v="OK"/>
    <x v="9"/>
    <n v="0.88888888888888884"/>
    <n v="0.22222222222222221"/>
    <n v="0.77777777777777779"/>
  </r>
  <r>
    <n v="29"/>
    <s v="No"/>
    <s v="Non-Travel"/>
    <n v="1496"/>
    <x v="1"/>
    <n v="1"/>
    <n v="1"/>
    <s v="Technical Degree"/>
    <n v="1"/>
    <n v="208"/>
    <n v="4"/>
    <s v="Male"/>
    <n v="41"/>
    <n v="3"/>
    <n v="2"/>
    <x v="3"/>
    <n v="3"/>
    <s v="Married"/>
    <n v="4319"/>
    <n v="26283"/>
    <n v="1"/>
    <s v="Y"/>
    <s v="No"/>
    <n v="13"/>
    <n v="3"/>
    <n v="1"/>
    <n v="80"/>
    <n v="1"/>
    <n v="10"/>
    <n v="1"/>
    <n v="3"/>
    <n v="10"/>
    <n v="7"/>
    <n v="0"/>
    <n v="9"/>
    <s v="OK"/>
    <s v="OK"/>
    <s v="OK"/>
    <s v="OK"/>
    <x v="0"/>
    <n v="0.7"/>
    <n v="0.1"/>
    <n v="0.9"/>
  </r>
  <r>
    <n v="51"/>
    <s v="No"/>
    <s v="Travel_Rarely"/>
    <n v="1169"/>
    <x v="1"/>
    <n v="7"/>
    <n v="4"/>
    <s v="Medical"/>
    <n v="1"/>
    <n v="211"/>
    <n v="2"/>
    <s v="Male"/>
    <n v="34"/>
    <n v="2"/>
    <n v="2"/>
    <x v="3"/>
    <n v="3"/>
    <s v="Married"/>
    <n v="6132"/>
    <n v="13983"/>
    <n v="2"/>
    <s v="Y"/>
    <s v="No"/>
    <n v="17"/>
    <n v="3"/>
    <n v="3"/>
    <n v="80"/>
    <n v="0"/>
    <n v="10"/>
    <n v="2"/>
    <n v="3"/>
    <n v="1"/>
    <n v="0"/>
    <n v="0"/>
    <n v="0"/>
    <s v="OK"/>
    <s v="OK"/>
    <s v="OK"/>
    <s v="OK"/>
    <x v="0"/>
    <n v="0"/>
    <n v="2"/>
    <n v="0"/>
  </r>
  <r>
    <n v="58"/>
    <s v="No"/>
    <s v="Travel_Rarely"/>
    <n v="1145"/>
    <x v="1"/>
    <n v="9"/>
    <n v="3"/>
    <s v="Medical"/>
    <n v="1"/>
    <n v="214"/>
    <n v="2"/>
    <s v="Female"/>
    <n v="75"/>
    <n v="2"/>
    <n v="1"/>
    <x v="1"/>
    <n v="2"/>
    <s v="Married"/>
    <n v="3346"/>
    <n v="11873"/>
    <n v="4"/>
    <s v="Y"/>
    <s v="Yes"/>
    <n v="20"/>
    <n v="4"/>
    <n v="2"/>
    <n v="80"/>
    <n v="1"/>
    <n v="9"/>
    <n v="3"/>
    <n v="2"/>
    <n v="1"/>
    <n v="0"/>
    <n v="0"/>
    <n v="0"/>
    <s v="OK"/>
    <s v="OK"/>
    <s v="OK"/>
    <s v="OK"/>
    <x v="0"/>
    <n v="0"/>
    <n v="3"/>
    <n v="0"/>
  </r>
  <r>
    <n v="40"/>
    <s v="No"/>
    <s v="Travel_Rarely"/>
    <n v="630"/>
    <x v="0"/>
    <n v="4"/>
    <n v="4"/>
    <s v="Marketing"/>
    <n v="1"/>
    <n v="215"/>
    <n v="3"/>
    <s v="Male"/>
    <n v="67"/>
    <n v="2"/>
    <n v="3"/>
    <x v="0"/>
    <n v="4"/>
    <s v="Married"/>
    <n v="10855"/>
    <n v="8552"/>
    <n v="7"/>
    <s v="Y"/>
    <s v="No"/>
    <n v="11"/>
    <n v="3"/>
    <n v="1"/>
    <n v="80"/>
    <n v="1"/>
    <n v="15"/>
    <n v="2"/>
    <n v="2"/>
    <n v="12"/>
    <n v="11"/>
    <n v="2"/>
    <n v="11"/>
    <s v="OK"/>
    <s v="OK"/>
    <s v="OK"/>
    <s v="OK"/>
    <x v="11"/>
    <n v="0.91666666666666663"/>
    <n v="0.16666666666666666"/>
    <n v="0.91666666666666663"/>
  </r>
  <r>
    <n v="34"/>
    <s v="No"/>
    <s v="Travel_Frequently"/>
    <n v="303"/>
    <x v="0"/>
    <n v="2"/>
    <n v="4"/>
    <s v="Marketing"/>
    <n v="1"/>
    <n v="216"/>
    <n v="3"/>
    <s v="Female"/>
    <n v="75"/>
    <n v="3"/>
    <n v="1"/>
    <x v="6"/>
    <n v="3"/>
    <s v="Married"/>
    <n v="2231"/>
    <n v="11314"/>
    <n v="6"/>
    <s v="Y"/>
    <s v="No"/>
    <n v="18"/>
    <n v="3"/>
    <n v="4"/>
    <n v="80"/>
    <n v="1"/>
    <n v="6"/>
    <n v="3"/>
    <n v="3"/>
    <n v="4"/>
    <n v="3"/>
    <n v="1"/>
    <n v="2"/>
    <s v="OK"/>
    <s v="OK"/>
    <s v="OK"/>
    <s v="OK"/>
    <x v="10"/>
    <n v="0.75"/>
    <n v="0.75"/>
    <n v="0.5"/>
  </r>
  <r>
    <n v="22"/>
    <s v="No"/>
    <s v="Travel_Rarely"/>
    <n v="1256"/>
    <x v="1"/>
    <n v="19"/>
    <n v="1"/>
    <s v="Medical"/>
    <n v="1"/>
    <n v="217"/>
    <n v="3"/>
    <s v="Male"/>
    <n v="80"/>
    <n v="3"/>
    <n v="1"/>
    <x v="1"/>
    <n v="4"/>
    <s v="Married"/>
    <n v="2323"/>
    <n v="11992"/>
    <n v="1"/>
    <s v="Y"/>
    <s v="No"/>
    <n v="24"/>
    <n v="4"/>
    <n v="1"/>
    <n v="80"/>
    <n v="2"/>
    <n v="2"/>
    <n v="6"/>
    <n v="3"/>
    <n v="2"/>
    <n v="2"/>
    <n v="2"/>
    <n v="2"/>
    <s v="OK"/>
    <s v="OK"/>
    <s v="OK"/>
    <s v="OK"/>
    <x v="3"/>
    <n v="1"/>
    <n v="3"/>
    <n v="1"/>
  </r>
  <r>
    <n v="27"/>
    <s v="No"/>
    <s v="Non-Travel"/>
    <n v="691"/>
    <x v="1"/>
    <n v="9"/>
    <n v="3"/>
    <s v="Medical"/>
    <n v="1"/>
    <n v="218"/>
    <n v="4"/>
    <s v="Male"/>
    <n v="57"/>
    <n v="3"/>
    <n v="1"/>
    <x v="1"/>
    <n v="2"/>
    <s v="Divorced"/>
    <n v="2024"/>
    <n v="5970"/>
    <n v="6"/>
    <s v="Y"/>
    <s v="No"/>
    <n v="18"/>
    <n v="3"/>
    <n v="4"/>
    <n v="80"/>
    <n v="1"/>
    <n v="6"/>
    <n v="1"/>
    <n v="1"/>
    <n v="2"/>
    <n v="2"/>
    <n v="2"/>
    <n v="2"/>
    <s v="OK"/>
    <s v="OK"/>
    <s v="OK"/>
    <s v="OK"/>
    <x v="3"/>
    <n v="1"/>
    <n v="0.5"/>
    <n v="1"/>
  </r>
  <r>
    <n v="28"/>
    <s v="No"/>
    <s v="Travel_Rarely"/>
    <n v="440"/>
    <x v="1"/>
    <n v="21"/>
    <n v="3"/>
    <s v="Medical"/>
    <n v="1"/>
    <n v="221"/>
    <n v="3"/>
    <s v="Male"/>
    <n v="42"/>
    <n v="3"/>
    <n v="1"/>
    <x v="1"/>
    <n v="4"/>
    <s v="Married"/>
    <n v="2713"/>
    <n v="6672"/>
    <n v="1"/>
    <s v="Y"/>
    <s v="No"/>
    <n v="11"/>
    <n v="3"/>
    <n v="3"/>
    <n v="80"/>
    <n v="1"/>
    <n v="5"/>
    <n v="2"/>
    <n v="1"/>
    <n v="5"/>
    <n v="2"/>
    <n v="0"/>
    <n v="2"/>
    <s v="OK"/>
    <s v="OK"/>
    <s v="OK"/>
    <s v="OK"/>
    <x v="0"/>
    <n v="0.4"/>
    <n v="0.4"/>
    <n v="0.4"/>
  </r>
  <r>
    <n v="57"/>
    <s v="No"/>
    <s v="Travel_Rarely"/>
    <n v="334"/>
    <x v="1"/>
    <n v="24"/>
    <n v="2"/>
    <s v="Life Sciences"/>
    <n v="1"/>
    <n v="223"/>
    <n v="3"/>
    <s v="Male"/>
    <n v="83"/>
    <n v="4"/>
    <n v="3"/>
    <x v="4"/>
    <n v="4"/>
    <s v="Divorced"/>
    <n v="9439"/>
    <n v="23402"/>
    <n v="3"/>
    <s v="Y"/>
    <s v="Yes"/>
    <n v="16"/>
    <n v="3"/>
    <n v="2"/>
    <n v="80"/>
    <n v="1"/>
    <n v="12"/>
    <n v="2"/>
    <n v="1"/>
    <n v="5"/>
    <n v="3"/>
    <n v="1"/>
    <n v="4"/>
    <s v="OK"/>
    <s v="OK"/>
    <s v="OK"/>
    <s v="OK"/>
    <x v="16"/>
    <n v="0.6"/>
    <n v="0.4"/>
    <n v="0.8"/>
  </r>
  <r>
    <n v="27"/>
    <s v="No"/>
    <s v="Non-Travel"/>
    <n v="1450"/>
    <x v="1"/>
    <n v="3"/>
    <n v="3"/>
    <s v="Medical"/>
    <n v="1"/>
    <n v="224"/>
    <n v="3"/>
    <s v="Male"/>
    <n v="79"/>
    <n v="2"/>
    <n v="1"/>
    <x v="1"/>
    <n v="3"/>
    <s v="Divorced"/>
    <n v="2566"/>
    <n v="25326"/>
    <n v="1"/>
    <s v="Y"/>
    <s v="Yes"/>
    <n v="15"/>
    <n v="3"/>
    <n v="4"/>
    <n v="80"/>
    <n v="1"/>
    <n v="1"/>
    <n v="2"/>
    <n v="2"/>
    <n v="1"/>
    <n v="1"/>
    <n v="0"/>
    <n v="1"/>
    <s v="OK"/>
    <s v="OK"/>
    <s v="OK"/>
    <s v="OK"/>
    <x v="0"/>
    <n v="1"/>
    <n v="2"/>
    <n v="1"/>
  </r>
  <r>
    <n v="50"/>
    <s v="No"/>
    <s v="Travel_Rarely"/>
    <n v="1452"/>
    <x v="1"/>
    <n v="11"/>
    <n v="3"/>
    <s v="Life Sciences"/>
    <n v="1"/>
    <n v="226"/>
    <n v="3"/>
    <s v="Female"/>
    <n v="53"/>
    <n v="3"/>
    <n v="5"/>
    <x v="5"/>
    <n v="2"/>
    <s v="Single"/>
    <n v="19926"/>
    <n v="17053"/>
    <n v="3"/>
    <s v="Y"/>
    <s v="No"/>
    <n v="15"/>
    <n v="3"/>
    <n v="2"/>
    <n v="80"/>
    <n v="0"/>
    <n v="21"/>
    <n v="5"/>
    <n v="3"/>
    <n v="5"/>
    <n v="4"/>
    <n v="4"/>
    <n v="4"/>
    <s v="OK"/>
    <s v="OK"/>
    <s v="OK"/>
    <s v="OK"/>
    <x v="6"/>
    <n v="0.8"/>
    <n v="1"/>
    <n v="0.8"/>
  </r>
  <r>
    <n v="41"/>
    <s v="No"/>
    <s v="Travel_Rarely"/>
    <n v="465"/>
    <x v="1"/>
    <n v="14"/>
    <n v="3"/>
    <s v="Life Sciences"/>
    <n v="1"/>
    <n v="227"/>
    <n v="1"/>
    <s v="Male"/>
    <n v="56"/>
    <n v="3"/>
    <n v="1"/>
    <x v="1"/>
    <n v="3"/>
    <s v="Divorced"/>
    <n v="2451"/>
    <n v="4609"/>
    <n v="4"/>
    <s v="Y"/>
    <s v="No"/>
    <n v="12"/>
    <n v="3"/>
    <n v="1"/>
    <n v="80"/>
    <n v="1"/>
    <n v="13"/>
    <n v="2"/>
    <n v="3"/>
    <n v="9"/>
    <n v="8"/>
    <n v="1"/>
    <n v="8"/>
    <s v="OK"/>
    <s v="OK"/>
    <s v="OK"/>
    <s v="OK"/>
    <x v="5"/>
    <n v="0.88888888888888884"/>
    <n v="0.22222222222222221"/>
    <n v="0.88888888888888884"/>
  </r>
  <r>
    <n v="30"/>
    <s v="No"/>
    <s v="Travel_Rarely"/>
    <n v="1339"/>
    <x v="0"/>
    <n v="5"/>
    <n v="3"/>
    <s v="Life Sciences"/>
    <n v="1"/>
    <n v="228"/>
    <n v="2"/>
    <s v="Female"/>
    <n v="41"/>
    <n v="3"/>
    <n v="3"/>
    <x v="0"/>
    <n v="4"/>
    <s v="Married"/>
    <n v="9419"/>
    <n v="8053"/>
    <n v="2"/>
    <s v="Y"/>
    <s v="No"/>
    <n v="12"/>
    <n v="3"/>
    <n v="3"/>
    <n v="80"/>
    <n v="1"/>
    <n v="12"/>
    <n v="2"/>
    <n v="3"/>
    <n v="10"/>
    <n v="9"/>
    <n v="7"/>
    <n v="4"/>
    <s v="OK"/>
    <s v="OK"/>
    <s v="OK"/>
    <s v="OK"/>
    <x v="42"/>
    <n v="0.9"/>
    <n v="0.2"/>
    <n v="0.4"/>
  </r>
  <r>
    <n v="38"/>
    <s v="No"/>
    <s v="Travel_Rarely"/>
    <n v="702"/>
    <x v="0"/>
    <n v="1"/>
    <n v="4"/>
    <s v="Life Sciences"/>
    <n v="1"/>
    <n v="230"/>
    <n v="1"/>
    <s v="Female"/>
    <n v="59"/>
    <n v="2"/>
    <n v="2"/>
    <x v="0"/>
    <n v="4"/>
    <s v="Single"/>
    <n v="8686"/>
    <n v="12930"/>
    <n v="4"/>
    <s v="Y"/>
    <s v="No"/>
    <n v="22"/>
    <n v="4"/>
    <n v="3"/>
    <n v="80"/>
    <n v="0"/>
    <n v="12"/>
    <n v="2"/>
    <n v="4"/>
    <n v="8"/>
    <n v="3"/>
    <n v="0"/>
    <n v="7"/>
    <s v="OK"/>
    <s v="OK"/>
    <s v="OK"/>
    <s v="OK"/>
    <x v="0"/>
    <n v="0.375"/>
    <n v="0.25"/>
    <n v="0.875"/>
  </r>
  <r>
    <n v="32"/>
    <s v="No"/>
    <s v="Travel_Rarely"/>
    <n v="120"/>
    <x v="1"/>
    <n v="6"/>
    <n v="5"/>
    <s v="Life Sciences"/>
    <n v="1"/>
    <n v="231"/>
    <n v="3"/>
    <s v="Male"/>
    <n v="43"/>
    <n v="3"/>
    <n v="1"/>
    <x v="1"/>
    <n v="3"/>
    <s v="Single"/>
    <n v="3038"/>
    <n v="12430"/>
    <n v="3"/>
    <s v="Y"/>
    <s v="No"/>
    <n v="20"/>
    <n v="4"/>
    <n v="1"/>
    <n v="80"/>
    <n v="0"/>
    <n v="8"/>
    <n v="2"/>
    <n v="3"/>
    <n v="5"/>
    <n v="4"/>
    <n v="1"/>
    <n v="4"/>
    <s v="OK"/>
    <s v="OK"/>
    <s v="OK"/>
    <s v="OK"/>
    <x v="16"/>
    <n v="0.8"/>
    <n v="0.4"/>
    <n v="0.8"/>
  </r>
  <r>
    <n v="27"/>
    <s v="No"/>
    <s v="Travel_Rarely"/>
    <n v="1157"/>
    <x v="1"/>
    <n v="17"/>
    <n v="3"/>
    <s v="Technical Degree"/>
    <n v="1"/>
    <n v="233"/>
    <n v="3"/>
    <s v="Male"/>
    <n v="51"/>
    <n v="3"/>
    <n v="1"/>
    <x v="1"/>
    <n v="2"/>
    <s v="Married"/>
    <n v="3058"/>
    <n v="13364"/>
    <n v="0"/>
    <s v="Y"/>
    <s v="Yes"/>
    <n v="16"/>
    <n v="3"/>
    <n v="4"/>
    <n v="80"/>
    <n v="1"/>
    <n v="6"/>
    <n v="3"/>
    <n v="2"/>
    <n v="5"/>
    <n v="2"/>
    <n v="1"/>
    <n v="1"/>
    <s v="OK"/>
    <s v="OK"/>
    <s v="OK"/>
    <s v="OK"/>
    <x v="16"/>
    <n v="0.4"/>
    <n v="0.6"/>
    <n v="0.2"/>
  </r>
  <r>
    <n v="19"/>
    <s v="Yes"/>
    <s v="Travel_Frequently"/>
    <n v="602"/>
    <x v="0"/>
    <n v="1"/>
    <n v="1"/>
    <s v="Technical Degree"/>
    <n v="1"/>
    <n v="235"/>
    <n v="3"/>
    <s v="Female"/>
    <n v="100"/>
    <n v="1"/>
    <n v="1"/>
    <x v="6"/>
    <n v="1"/>
    <s v="Single"/>
    <n v="2325"/>
    <n v="20989"/>
    <n v="0"/>
    <s v="Y"/>
    <s v="No"/>
    <n v="21"/>
    <n v="4"/>
    <n v="1"/>
    <n v="80"/>
    <n v="0"/>
    <n v="1"/>
    <n v="5"/>
    <n v="4"/>
    <n v="0"/>
    <n v="0"/>
    <n v="0"/>
    <n v="0"/>
    <s v="OK"/>
    <s v="OK"/>
    <s v="OK"/>
    <s v="OK"/>
    <x v="0"/>
    <n v="0"/>
    <n v="0"/>
    <n v="0"/>
  </r>
  <r>
    <n v="36"/>
    <s v="No"/>
    <s v="Travel_Frequently"/>
    <n v="1480"/>
    <x v="1"/>
    <n v="3"/>
    <n v="2"/>
    <s v="Medical"/>
    <n v="1"/>
    <n v="238"/>
    <n v="4"/>
    <s v="Male"/>
    <n v="30"/>
    <n v="3"/>
    <n v="1"/>
    <x v="2"/>
    <n v="2"/>
    <s v="Single"/>
    <n v="2088"/>
    <n v="15062"/>
    <n v="4"/>
    <s v="Y"/>
    <s v="No"/>
    <n v="12"/>
    <n v="3"/>
    <n v="3"/>
    <n v="80"/>
    <n v="0"/>
    <n v="13"/>
    <n v="3"/>
    <n v="2"/>
    <n v="8"/>
    <n v="7"/>
    <n v="7"/>
    <n v="2"/>
    <s v="OK"/>
    <s v="OK"/>
    <s v="OK"/>
    <s v="OK"/>
    <x v="43"/>
    <n v="0.875"/>
    <n v="0.375"/>
    <n v="0.25"/>
  </r>
  <r>
    <n v="30"/>
    <s v="No"/>
    <s v="Non-Travel"/>
    <n v="111"/>
    <x v="1"/>
    <n v="9"/>
    <n v="3"/>
    <s v="Medical"/>
    <n v="1"/>
    <n v="239"/>
    <n v="3"/>
    <s v="Male"/>
    <n v="66"/>
    <n v="3"/>
    <n v="2"/>
    <x v="2"/>
    <n v="1"/>
    <s v="Divorced"/>
    <n v="3072"/>
    <n v="11012"/>
    <n v="1"/>
    <s v="Y"/>
    <s v="No"/>
    <n v="11"/>
    <n v="3"/>
    <n v="3"/>
    <n v="80"/>
    <n v="2"/>
    <n v="12"/>
    <n v="4"/>
    <n v="3"/>
    <n v="12"/>
    <n v="9"/>
    <n v="6"/>
    <n v="10"/>
    <s v="OK"/>
    <s v="OK"/>
    <s v="OK"/>
    <s v="OK"/>
    <x v="7"/>
    <n v="0.75"/>
    <n v="0.33333333333333331"/>
    <n v="0.83333333333333337"/>
  </r>
  <r>
    <n v="45"/>
    <s v="No"/>
    <s v="Travel_Rarely"/>
    <n v="1268"/>
    <x v="0"/>
    <n v="4"/>
    <n v="2"/>
    <s v="Life Sciences"/>
    <n v="1"/>
    <n v="240"/>
    <n v="3"/>
    <s v="Female"/>
    <n v="30"/>
    <n v="3"/>
    <n v="2"/>
    <x v="0"/>
    <n v="1"/>
    <s v="Divorced"/>
    <n v="5006"/>
    <n v="6319"/>
    <n v="4"/>
    <s v="Y"/>
    <s v="Yes"/>
    <n v="11"/>
    <n v="3"/>
    <n v="1"/>
    <n v="80"/>
    <n v="1"/>
    <n v="9"/>
    <n v="3"/>
    <n v="4"/>
    <n v="5"/>
    <n v="4"/>
    <n v="0"/>
    <n v="3"/>
    <s v="OK"/>
    <s v="OK"/>
    <s v="OK"/>
    <s v="OK"/>
    <x v="0"/>
    <n v="0.8"/>
    <n v="0.6"/>
    <n v="0.6"/>
  </r>
  <r>
    <n v="56"/>
    <s v="No"/>
    <s v="Travel_Rarely"/>
    <n v="713"/>
    <x v="1"/>
    <n v="8"/>
    <n v="3"/>
    <s v="Life Sciences"/>
    <n v="1"/>
    <n v="241"/>
    <n v="3"/>
    <s v="Female"/>
    <n v="67"/>
    <n v="3"/>
    <n v="1"/>
    <x v="1"/>
    <n v="1"/>
    <s v="Divorced"/>
    <n v="4257"/>
    <n v="13939"/>
    <n v="4"/>
    <s v="Y"/>
    <s v="Yes"/>
    <n v="18"/>
    <n v="3"/>
    <n v="3"/>
    <n v="80"/>
    <n v="1"/>
    <n v="19"/>
    <n v="3"/>
    <n v="3"/>
    <n v="2"/>
    <n v="2"/>
    <n v="2"/>
    <n v="2"/>
    <s v="OK"/>
    <s v="OK"/>
    <s v="OK"/>
    <s v="OK"/>
    <x v="3"/>
    <n v="1"/>
    <n v="1.5"/>
    <n v="1"/>
  </r>
  <r>
    <n v="33"/>
    <s v="No"/>
    <s v="Travel_Rarely"/>
    <n v="134"/>
    <x v="1"/>
    <n v="2"/>
    <n v="3"/>
    <s v="Life Sciences"/>
    <n v="1"/>
    <n v="242"/>
    <n v="3"/>
    <s v="Male"/>
    <n v="90"/>
    <n v="3"/>
    <n v="1"/>
    <x v="1"/>
    <n v="4"/>
    <s v="Single"/>
    <n v="2500"/>
    <n v="10515"/>
    <n v="0"/>
    <s v="Y"/>
    <s v="No"/>
    <n v="14"/>
    <n v="3"/>
    <n v="1"/>
    <n v="80"/>
    <n v="0"/>
    <n v="4"/>
    <n v="2"/>
    <n v="4"/>
    <n v="3"/>
    <n v="1"/>
    <n v="0"/>
    <n v="2"/>
    <s v="OK"/>
    <s v="OK"/>
    <s v="OK"/>
    <s v="OK"/>
    <x v="0"/>
    <n v="0.33333333333333331"/>
    <n v="0.66666666666666663"/>
    <n v="0.66666666666666663"/>
  </r>
  <r>
    <n v="19"/>
    <s v="Yes"/>
    <s v="Travel_Rarely"/>
    <n v="303"/>
    <x v="1"/>
    <n v="2"/>
    <n v="3"/>
    <s v="Life Sciences"/>
    <n v="1"/>
    <n v="243"/>
    <n v="2"/>
    <s v="Male"/>
    <n v="47"/>
    <n v="2"/>
    <n v="1"/>
    <x v="2"/>
    <n v="4"/>
    <s v="Single"/>
    <n v="1102"/>
    <n v="9241"/>
    <n v="1"/>
    <s v="Y"/>
    <s v="No"/>
    <n v="22"/>
    <n v="4"/>
    <n v="3"/>
    <n v="80"/>
    <n v="0"/>
    <n v="1"/>
    <n v="3"/>
    <n v="2"/>
    <n v="1"/>
    <n v="0"/>
    <n v="1"/>
    <n v="0"/>
    <s v="OK"/>
    <s v="OK"/>
    <s v="OK"/>
    <s v="OK"/>
    <x v="3"/>
    <n v="0"/>
    <n v="3"/>
    <n v="0"/>
  </r>
  <r>
    <n v="46"/>
    <s v="No"/>
    <s v="Travel_Rarely"/>
    <n v="526"/>
    <x v="0"/>
    <n v="1"/>
    <n v="2"/>
    <s v="Marketing"/>
    <n v="1"/>
    <n v="244"/>
    <n v="2"/>
    <s v="Female"/>
    <n v="92"/>
    <n v="3"/>
    <n v="3"/>
    <x v="0"/>
    <n v="1"/>
    <s v="Divorced"/>
    <n v="10453"/>
    <n v="2137"/>
    <n v="1"/>
    <s v="Y"/>
    <s v="No"/>
    <n v="25"/>
    <n v="4"/>
    <n v="3"/>
    <n v="80"/>
    <n v="3"/>
    <n v="24"/>
    <n v="2"/>
    <n v="3"/>
    <n v="24"/>
    <n v="13"/>
    <n v="15"/>
    <n v="7"/>
    <s v="OK"/>
    <s v="OK"/>
    <s v="OK"/>
    <s v="OK"/>
    <x v="39"/>
    <n v="0.54166666666666663"/>
    <n v="8.3333333333333329E-2"/>
    <n v="0.29166666666666669"/>
  </r>
  <r>
    <n v="38"/>
    <s v="No"/>
    <s v="Travel_Rarely"/>
    <n v="1380"/>
    <x v="1"/>
    <n v="9"/>
    <n v="2"/>
    <s v="Life Sciences"/>
    <n v="1"/>
    <n v="245"/>
    <n v="3"/>
    <s v="Female"/>
    <n v="75"/>
    <n v="3"/>
    <n v="1"/>
    <x v="2"/>
    <n v="4"/>
    <s v="Single"/>
    <n v="2288"/>
    <n v="6319"/>
    <n v="1"/>
    <s v="Y"/>
    <s v="No"/>
    <n v="12"/>
    <n v="3"/>
    <n v="3"/>
    <n v="80"/>
    <n v="0"/>
    <n v="2"/>
    <n v="3"/>
    <n v="3"/>
    <n v="2"/>
    <n v="2"/>
    <n v="2"/>
    <n v="1"/>
    <s v="OK"/>
    <s v="OK"/>
    <s v="OK"/>
    <s v="OK"/>
    <x v="3"/>
    <n v="1"/>
    <n v="1.5"/>
    <n v="0.5"/>
  </r>
  <r>
    <n v="31"/>
    <s v="No"/>
    <s v="Travel_Rarely"/>
    <n v="140"/>
    <x v="1"/>
    <n v="12"/>
    <n v="1"/>
    <s v="Medical"/>
    <n v="1"/>
    <n v="246"/>
    <n v="3"/>
    <s v="Female"/>
    <n v="95"/>
    <n v="3"/>
    <n v="1"/>
    <x v="1"/>
    <n v="4"/>
    <s v="Married"/>
    <n v="3929"/>
    <n v="6984"/>
    <n v="8"/>
    <s v="Y"/>
    <s v="Yes"/>
    <n v="23"/>
    <n v="4"/>
    <n v="3"/>
    <n v="80"/>
    <n v="1"/>
    <n v="7"/>
    <n v="0"/>
    <n v="3"/>
    <n v="4"/>
    <n v="2"/>
    <n v="0"/>
    <n v="2"/>
    <s v="OK"/>
    <s v="OK"/>
    <s v="OK"/>
    <s v="OK"/>
    <x v="0"/>
    <n v="0.5"/>
    <n v="0"/>
    <n v="0.5"/>
  </r>
  <r>
    <n v="34"/>
    <s v="No"/>
    <s v="Travel_Rarely"/>
    <n v="629"/>
    <x v="1"/>
    <n v="27"/>
    <n v="2"/>
    <s v="Medical"/>
    <n v="1"/>
    <n v="247"/>
    <n v="4"/>
    <s v="Female"/>
    <n v="95"/>
    <n v="3"/>
    <n v="1"/>
    <x v="1"/>
    <n v="2"/>
    <s v="Single"/>
    <n v="2311"/>
    <n v="5711"/>
    <n v="2"/>
    <s v="Y"/>
    <s v="No"/>
    <n v="15"/>
    <n v="3"/>
    <n v="4"/>
    <n v="80"/>
    <n v="0"/>
    <n v="9"/>
    <n v="3"/>
    <n v="3"/>
    <n v="3"/>
    <n v="2"/>
    <n v="1"/>
    <n v="2"/>
    <s v="OK"/>
    <s v="OK"/>
    <s v="OK"/>
    <s v="OK"/>
    <x v="9"/>
    <n v="0.66666666666666663"/>
    <n v="1"/>
    <n v="0.66666666666666663"/>
  </r>
  <r>
    <n v="41"/>
    <s v="Yes"/>
    <s v="Travel_Rarely"/>
    <n v="1356"/>
    <x v="0"/>
    <n v="20"/>
    <n v="2"/>
    <s v="Marketing"/>
    <n v="1"/>
    <n v="248"/>
    <n v="2"/>
    <s v="Female"/>
    <n v="70"/>
    <n v="3"/>
    <n v="1"/>
    <x v="6"/>
    <n v="2"/>
    <s v="Single"/>
    <n v="3140"/>
    <n v="21728"/>
    <n v="1"/>
    <s v="Y"/>
    <s v="Yes"/>
    <n v="22"/>
    <n v="4"/>
    <n v="4"/>
    <n v="80"/>
    <n v="0"/>
    <n v="4"/>
    <n v="5"/>
    <n v="2"/>
    <n v="4"/>
    <n v="3"/>
    <n v="0"/>
    <n v="2"/>
    <s v="OK"/>
    <s v="OK"/>
    <s v="OK"/>
    <s v="OK"/>
    <x v="0"/>
    <n v="0.75"/>
    <n v="1.25"/>
    <n v="0.5"/>
  </r>
  <r>
    <n v="50"/>
    <s v="No"/>
    <s v="Travel_Rarely"/>
    <n v="328"/>
    <x v="1"/>
    <n v="1"/>
    <n v="3"/>
    <s v="Medical"/>
    <n v="1"/>
    <n v="249"/>
    <n v="3"/>
    <s v="Male"/>
    <n v="86"/>
    <n v="2"/>
    <n v="1"/>
    <x v="2"/>
    <n v="3"/>
    <s v="Married"/>
    <n v="3690"/>
    <n v="3425"/>
    <n v="2"/>
    <s v="Y"/>
    <s v="No"/>
    <n v="15"/>
    <n v="3"/>
    <n v="4"/>
    <n v="80"/>
    <n v="1"/>
    <n v="5"/>
    <n v="2"/>
    <n v="2"/>
    <n v="3"/>
    <n v="2"/>
    <n v="0"/>
    <n v="2"/>
    <s v="OK"/>
    <s v="OK"/>
    <s v="OK"/>
    <s v="OK"/>
    <x v="0"/>
    <n v="0.66666666666666663"/>
    <n v="0.66666666666666663"/>
    <n v="0.66666666666666663"/>
  </r>
  <r>
    <n v="53"/>
    <s v="No"/>
    <s v="Travel_Rarely"/>
    <n v="1084"/>
    <x v="1"/>
    <n v="13"/>
    <n v="2"/>
    <s v="Medical"/>
    <n v="1"/>
    <n v="250"/>
    <n v="4"/>
    <s v="Female"/>
    <n v="57"/>
    <n v="4"/>
    <n v="2"/>
    <x v="3"/>
    <n v="1"/>
    <s v="Divorced"/>
    <n v="4450"/>
    <n v="26250"/>
    <n v="1"/>
    <s v="Y"/>
    <s v="No"/>
    <n v="11"/>
    <n v="3"/>
    <n v="3"/>
    <n v="80"/>
    <n v="2"/>
    <n v="5"/>
    <n v="3"/>
    <n v="3"/>
    <n v="4"/>
    <n v="2"/>
    <n v="1"/>
    <n v="3"/>
    <s v="OK"/>
    <s v="OK"/>
    <s v="OK"/>
    <s v="OK"/>
    <x v="10"/>
    <n v="0.5"/>
    <n v="0.75"/>
    <n v="0.75"/>
  </r>
  <r>
    <n v="33"/>
    <s v="No"/>
    <s v="Travel_Rarely"/>
    <n v="931"/>
    <x v="1"/>
    <n v="14"/>
    <n v="3"/>
    <s v="Medical"/>
    <n v="1"/>
    <n v="252"/>
    <n v="4"/>
    <s v="Female"/>
    <n v="72"/>
    <n v="3"/>
    <n v="1"/>
    <x v="1"/>
    <n v="2"/>
    <s v="Married"/>
    <n v="2756"/>
    <n v="4673"/>
    <n v="1"/>
    <s v="Y"/>
    <s v="No"/>
    <n v="13"/>
    <n v="3"/>
    <n v="4"/>
    <n v="80"/>
    <n v="1"/>
    <n v="8"/>
    <n v="5"/>
    <n v="3"/>
    <n v="8"/>
    <n v="7"/>
    <n v="1"/>
    <n v="6"/>
    <s v="OK"/>
    <s v="OK"/>
    <s v="OK"/>
    <s v="OK"/>
    <x v="33"/>
    <n v="0.875"/>
    <n v="0.625"/>
    <n v="0.75"/>
  </r>
  <r>
    <n v="40"/>
    <s v="No"/>
    <s v="Travel_Rarely"/>
    <n v="989"/>
    <x v="1"/>
    <n v="4"/>
    <n v="1"/>
    <s v="Medical"/>
    <n v="1"/>
    <n v="253"/>
    <n v="4"/>
    <s v="Female"/>
    <n v="46"/>
    <n v="3"/>
    <n v="5"/>
    <x v="5"/>
    <n v="3"/>
    <s v="Married"/>
    <n v="19033"/>
    <n v="6499"/>
    <n v="1"/>
    <s v="Y"/>
    <s v="No"/>
    <n v="14"/>
    <n v="3"/>
    <n v="2"/>
    <n v="80"/>
    <n v="1"/>
    <n v="21"/>
    <n v="2"/>
    <n v="3"/>
    <n v="20"/>
    <n v="8"/>
    <n v="9"/>
    <n v="9"/>
    <s v="OK"/>
    <s v="OK"/>
    <s v="OK"/>
    <s v="OK"/>
    <x v="44"/>
    <n v="0.4"/>
    <n v="0.1"/>
    <n v="0.45"/>
  </r>
  <r>
    <n v="55"/>
    <s v="No"/>
    <s v="Travel_Rarely"/>
    <n v="692"/>
    <x v="1"/>
    <n v="14"/>
    <n v="4"/>
    <s v="Medical"/>
    <n v="1"/>
    <n v="254"/>
    <n v="3"/>
    <s v="Male"/>
    <n v="61"/>
    <n v="4"/>
    <n v="5"/>
    <x v="7"/>
    <n v="2"/>
    <s v="Single"/>
    <n v="18722"/>
    <n v="13339"/>
    <n v="8"/>
    <s v="Y"/>
    <s v="No"/>
    <n v="11"/>
    <n v="3"/>
    <n v="4"/>
    <n v="80"/>
    <n v="0"/>
    <n v="36"/>
    <n v="3"/>
    <n v="3"/>
    <n v="24"/>
    <n v="15"/>
    <n v="2"/>
    <n v="15"/>
    <s v="OK"/>
    <s v="OK"/>
    <s v="OK"/>
    <s v="OK"/>
    <x v="45"/>
    <n v="0.625"/>
    <n v="0.125"/>
    <n v="0.625"/>
  </r>
  <r>
    <n v="34"/>
    <s v="No"/>
    <s v="Travel_Frequently"/>
    <n v="1069"/>
    <x v="1"/>
    <n v="2"/>
    <n v="1"/>
    <s v="Life Sciences"/>
    <n v="1"/>
    <n v="256"/>
    <n v="4"/>
    <s v="Male"/>
    <n v="45"/>
    <n v="2"/>
    <n v="2"/>
    <x v="3"/>
    <n v="3"/>
    <s v="Married"/>
    <n v="9547"/>
    <n v="14074"/>
    <n v="1"/>
    <s v="Y"/>
    <s v="No"/>
    <n v="17"/>
    <n v="3"/>
    <n v="3"/>
    <n v="80"/>
    <n v="0"/>
    <n v="10"/>
    <n v="2"/>
    <n v="2"/>
    <n v="10"/>
    <n v="9"/>
    <n v="1"/>
    <n v="9"/>
    <s v="OK"/>
    <s v="OK"/>
    <s v="OK"/>
    <s v="OK"/>
    <x v="1"/>
    <n v="0.9"/>
    <n v="0.2"/>
    <n v="0.9"/>
  </r>
  <r>
    <n v="51"/>
    <s v="No"/>
    <s v="Travel_Rarely"/>
    <n v="313"/>
    <x v="1"/>
    <n v="3"/>
    <n v="3"/>
    <s v="Medical"/>
    <n v="1"/>
    <n v="258"/>
    <n v="4"/>
    <s v="Female"/>
    <n v="98"/>
    <n v="3"/>
    <n v="4"/>
    <x v="4"/>
    <n v="2"/>
    <s v="Single"/>
    <n v="13734"/>
    <n v="7192"/>
    <n v="3"/>
    <s v="Y"/>
    <s v="No"/>
    <n v="18"/>
    <n v="3"/>
    <n v="3"/>
    <n v="80"/>
    <n v="0"/>
    <n v="21"/>
    <n v="6"/>
    <n v="3"/>
    <n v="7"/>
    <n v="7"/>
    <n v="1"/>
    <n v="0"/>
    <s v="OK"/>
    <s v="OK"/>
    <s v="OK"/>
    <s v="OK"/>
    <x v="20"/>
    <n v="1"/>
    <n v="0.8571428571428571"/>
    <n v="0"/>
  </r>
  <r>
    <n v="52"/>
    <s v="No"/>
    <s v="Travel_Rarely"/>
    <n v="699"/>
    <x v="1"/>
    <n v="1"/>
    <n v="4"/>
    <s v="Life Sciences"/>
    <n v="1"/>
    <n v="259"/>
    <n v="3"/>
    <s v="Male"/>
    <n v="65"/>
    <n v="2"/>
    <n v="5"/>
    <x v="5"/>
    <n v="3"/>
    <s v="Married"/>
    <n v="19999"/>
    <n v="5678"/>
    <n v="0"/>
    <s v="Y"/>
    <s v="No"/>
    <n v="14"/>
    <n v="3"/>
    <n v="1"/>
    <n v="80"/>
    <n v="1"/>
    <n v="34"/>
    <n v="5"/>
    <n v="3"/>
    <n v="33"/>
    <n v="18"/>
    <n v="11"/>
    <n v="9"/>
    <s v="OK"/>
    <s v="OK"/>
    <s v="OK"/>
    <s v="OK"/>
    <x v="9"/>
    <n v="0.54545454545454541"/>
    <n v="0.15151515151515152"/>
    <n v="0.27272727272727271"/>
  </r>
  <r>
    <n v="27"/>
    <s v="No"/>
    <s v="Travel_Rarely"/>
    <n v="894"/>
    <x v="1"/>
    <n v="9"/>
    <n v="3"/>
    <s v="Medical"/>
    <n v="1"/>
    <n v="260"/>
    <n v="4"/>
    <s v="Female"/>
    <n v="99"/>
    <n v="3"/>
    <n v="1"/>
    <x v="1"/>
    <n v="2"/>
    <s v="Single"/>
    <n v="2279"/>
    <n v="11781"/>
    <n v="1"/>
    <s v="Y"/>
    <s v="No"/>
    <n v="16"/>
    <n v="3"/>
    <n v="4"/>
    <n v="80"/>
    <n v="0"/>
    <n v="7"/>
    <n v="2"/>
    <n v="2"/>
    <n v="7"/>
    <n v="7"/>
    <n v="0"/>
    <n v="3"/>
    <s v="OK"/>
    <s v="OK"/>
    <s v="OK"/>
    <s v="OK"/>
    <x v="0"/>
    <n v="1"/>
    <n v="0.2857142857142857"/>
    <n v="0.42857142857142855"/>
  </r>
  <r>
    <n v="35"/>
    <s v="Yes"/>
    <s v="Travel_Rarely"/>
    <n v="556"/>
    <x v="1"/>
    <n v="23"/>
    <n v="2"/>
    <s v="Life Sciences"/>
    <n v="1"/>
    <n v="261"/>
    <n v="2"/>
    <s v="Male"/>
    <n v="50"/>
    <n v="2"/>
    <n v="2"/>
    <x v="3"/>
    <n v="3"/>
    <s v="Married"/>
    <n v="5916"/>
    <n v="15497"/>
    <n v="3"/>
    <s v="Y"/>
    <s v="Yes"/>
    <n v="13"/>
    <n v="3"/>
    <n v="1"/>
    <n v="80"/>
    <n v="0"/>
    <n v="8"/>
    <n v="1"/>
    <n v="3"/>
    <n v="1"/>
    <n v="0"/>
    <n v="0"/>
    <n v="1"/>
    <s v="OK"/>
    <s v="OK"/>
    <s v="OK"/>
    <s v="OK"/>
    <x v="0"/>
    <n v="0"/>
    <n v="1"/>
    <n v="1"/>
  </r>
  <r>
    <n v="43"/>
    <s v="No"/>
    <s v="Non-Travel"/>
    <n v="1344"/>
    <x v="1"/>
    <n v="7"/>
    <n v="3"/>
    <s v="Medical"/>
    <n v="1"/>
    <n v="262"/>
    <n v="4"/>
    <s v="Male"/>
    <n v="37"/>
    <n v="4"/>
    <n v="1"/>
    <x v="1"/>
    <n v="4"/>
    <s v="Divorced"/>
    <n v="2089"/>
    <n v="5228"/>
    <n v="4"/>
    <s v="Y"/>
    <s v="No"/>
    <n v="14"/>
    <n v="3"/>
    <n v="4"/>
    <n v="80"/>
    <n v="3"/>
    <n v="7"/>
    <n v="3"/>
    <n v="4"/>
    <n v="5"/>
    <n v="4"/>
    <n v="2"/>
    <n v="2"/>
    <s v="OK"/>
    <s v="OK"/>
    <s v="OK"/>
    <s v="OK"/>
    <x v="46"/>
    <n v="0.8"/>
    <n v="0.6"/>
    <n v="0.4"/>
  </r>
  <r>
    <n v="45"/>
    <s v="No"/>
    <s v="Non-Travel"/>
    <n v="1195"/>
    <x v="1"/>
    <n v="2"/>
    <n v="2"/>
    <s v="Medical"/>
    <n v="1"/>
    <n v="264"/>
    <n v="1"/>
    <s v="Male"/>
    <n v="65"/>
    <n v="2"/>
    <n v="4"/>
    <x v="5"/>
    <n v="4"/>
    <s v="Married"/>
    <n v="16792"/>
    <n v="20462"/>
    <n v="9"/>
    <s v="Y"/>
    <s v="No"/>
    <n v="23"/>
    <n v="4"/>
    <n v="4"/>
    <n v="80"/>
    <n v="1"/>
    <n v="22"/>
    <n v="1"/>
    <n v="3"/>
    <n v="20"/>
    <n v="8"/>
    <n v="11"/>
    <n v="8"/>
    <s v="OK"/>
    <s v="OK"/>
    <s v="OK"/>
    <s v="OK"/>
    <x v="47"/>
    <n v="0.4"/>
    <n v="0.05"/>
    <n v="0.4"/>
  </r>
  <r>
    <n v="37"/>
    <s v="No"/>
    <s v="Travel_Rarely"/>
    <n v="290"/>
    <x v="1"/>
    <n v="21"/>
    <n v="3"/>
    <s v="Life Sciences"/>
    <n v="1"/>
    <n v="267"/>
    <n v="2"/>
    <s v="Male"/>
    <n v="65"/>
    <n v="4"/>
    <n v="1"/>
    <x v="1"/>
    <n v="1"/>
    <s v="Married"/>
    <n v="3564"/>
    <n v="22977"/>
    <n v="1"/>
    <s v="Y"/>
    <s v="Yes"/>
    <n v="12"/>
    <n v="3"/>
    <n v="1"/>
    <n v="80"/>
    <n v="1"/>
    <n v="8"/>
    <n v="3"/>
    <n v="2"/>
    <n v="8"/>
    <n v="7"/>
    <n v="1"/>
    <n v="7"/>
    <s v="OK"/>
    <s v="OK"/>
    <s v="OK"/>
    <s v="OK"/>
    <x v="33"/>
    <n v="0.875"/>
    <n v="0.375"/>
    <n v="0.875"/>
  </r>
  <r>
    <n v="35"/>
    <s v="No"/>
    <s v="Travel_Frequently"/>
    <n v="138"/>
    <x v="1"/>
    <n v="2"/>
    <n v="3"/>
    <s v="Medical"/>
    <n v="1"/>
    <n v="269"/>
    <n v="2"/>
    <s v="Female"/>
    <n v="37"/>
    <n v="3"/>
    <n v="2"/>
    <x v="2"/>
    <n v="2"/>
    <s v="Single"/>
    <n v="4425"/>
    <n v="15986"/>
    <n v="5"/>
    <s v="Y"/>
    <s v="No"/>
    <n v="11"/>
    <n v="3"/>
    <n v="4"/>
    <n v="80"/>
    <n v="0"/>
    <n v="10"/>
    <n v="5"/>
    <n v="3"/>
    <n v="6"/>
    <n v="2"/>
    <n v="1"/>
    <n v="2"/>
    <s v="OK"/>
    <s v="OK"/>
    <s v="OK"/>
    <s v="OK"/>
    <x v="11"/>
    <n v="0.33333333333333331"/>
    <n v="0.83333333333333337"/>
    <n v="0.33333333333333331"/>
  </r>
  <r>
    <n v="42"/>
    <s v="No"/>
    <s v="Non-Travel"/>
    <n v="926"/>
    <x v="1"/>
    <n v="21"/>
    <n v="2"/>
    <s v="Medical"/>
    <n v="1"/>
    <n v="270"/>
    <n v="3"/>
    <s v="Female"/>
    <n v="36"/>
    <n v="3"/>
    <n v="2"/>
    <x v="3"/>
    <n v="3"/>
    <s v="Divorced"/>
    <n v="5265"/>
    <n v="16439"/>
    <n v="2"/>
    <s v="Y"/>
    <s v="No"/>
    <n v="16"/>
    <n v="3"/>
    <n v="2"/>
    <n v="80"/>
    <n v="1"/>
    <n v="11"/>
    <n v="5"/>
    <n v="3"/>
    <n v="5"/>
    <n v="3"/>
    <n v="0"/>
    <n v="2"/>
    <s v="OK"/>
    <s v="OK"/>
    <s v="OK"/>
    <s v="OK"/>
    <x v="0"/>
    <n v="0.6"/>
    <n v="1"/>
    <n v="0.4"/>
  </r>
  <r>
    <n v="38"/>
    <s v="No"/>
    <s v="Travel_Rarely"/>
    <n v="1261"/>
    <x v="1"/>
    <n v="2"/>
    <n v="4"/>
    <s v="Life Sciences"/>
    <n v="1"/>
    <n v="271"/>
    <n v="4"/>
    <s v="Male"/>
    <n v="88"/>
    <n v="3"/>
    <n v="2"/>
    <x v="3"/>
    <n v="3"/>
    <s v="Married"/>
    <n v="6553"/>
    <n v="7259"/>
    <n v="9"/>
    <s v="Y"/>
    <s v="No"/>
    <n v="14"/>
    <n v="3"/>
    <n v="2"/>
    <n v="80"/>
    <n v="0"/>
    <n v="14"/>
    <n v="3"/>
    <n v="3"/>
    <n v="1"/>
    <n v="0"/>
    <n v="0"/>
    <n v="0"/>
    <s v="OK"/>
    <s v="OK"/>
    <s v="OK"/>
    <s v="OK"/>
    <x v="0"/>
    <n v="0"/>
    <n v="3"/>
    <n v="0"/>
  </r>
  <r>
    <n v="38"/>
    <s v="No"/>
    <s v="Travel_Rarely"/>
    <n v="1084"/>
    <x v="1"/>
    <n v="29"/>
    <n v="3"/>
    <s v="Technical Degree"/>
    <n v="1"/>
    <n v="273"/>
    <n v="4"/>
    <s v="Male"/>
    <n v="54"/>
    <n v="3"/>
    <n v="2"/>
    <x v="3"/>
    <n v="4"/>
    <s v="Married"/>
    <n v="6261"/>
    <n v="4185"/>
    <n v="3"/>
    <s v="Y"/>
    <s v="No"/>
    <n v="18"/>
    <n v="3"/>
    <n v="1"/>
    <n v="80"/>
    <n v="1"/>
    <n v="9"/>
    <n v="3"/>
    <n v="1"/>
    <n v="7"/>
    <n v="7"/>
    <n v="1"/>
    <n v="7"/>
    <s v="OK"/>
    <s v="OK"/>
    <s v="OK"/>
    <s v="OK"/>
    <x v="20"/>
    <n v="1"/>
    <n v="0.42857142857142855"/>
    <n v="1"/>
  </r>
  <r>
    <n v="27"/>
    <s v="No"/>
    <s v="Travel_Frequently"/>
    <n v="472"/>
    <x v="1"/>
    <n v="1"/>
    <n v="1"/>
    <s v="Technical Degree"/>
    <n v="1"/>
    <n v="274"/>
    <n v="3"/>
    <s v="Male"/>
    <n v="60"/>
    <n v="2"/>
    <n v="2"/>
    <x v="3"/>
    <n v="1"/>
    <s v="Married"/>
    <n v="4298"/>
    <n v="9679"/>
    <n v="5"/>
    <s v="Y"/>
    <s v="No"/>
    <n v="19"/>
    <n v="3"/>
    <n v="3"/>
    <n v="80"/>
    <n v="1"/>
    <n v="6"/>
    <n v="1"/>
    <n v="3"/>
    <n v="2"/>
    <n v="2"/>
    <n v="2"/>
    <n v="0"/>
    <s v="OK"/>
    <s v="OK"/>
    <s v="OK"/>
    <s v="OK"/>
    <x v="3"/>
    <n v="1"/>
    <n v="0.5"/>
    <n v="0"/>
  </r>
  <r>
    <n v="49"/>
    <s v="No"/>
    <s v="Non-Travel"/>
    <n v="1002"/>
    <x v="1"/>
    <n v="18"/>
    <n v="4"/>
    <s v="Life Sciences"/>
    <n v="1"/>
    <n v="275"/>
    <n v="4"/>
    <s v="Male"/>
    <n v="92"/>
    <n v="3"/>
    <n v="2"/>
    <x v="3"/>
    <n v="4"/>
    <s v="Divorced"/>
    <n v="6804"/>
    <n v="23793"/>
    <n v="1"/>
    <s v="Y"/>
    <s v="Yes"/>
    <n v="15"/>
    <n v="3"/>
    <n v="1"/>
    <n v="80"/>
    <n v="2"/>
    <n v="7"/>
    <n v="0"/>
    <n v="3"/>
    <n v="7"/>
    <n v="7"/>
    <n v="1"/>
    <n v="7"/>
    <s v="OK"/>
    <s v="OK"/>
    <s v="OK"/>
    <s v="OK"/>
    <x v="20"/>
    <n v="1"/>
    <n v="0"/>
    <n v="1"/>
  </r>
  <r>
    <n v="34"/>
    <s v="No"/>
    <s v="Travel_Frequently"/>
    <n v="878"/>
    <x v="1"/>
    <n v="10"/>
    <n v="4"/>
    <s v="Medical"/>
    <n v="1"/>
    <n v="277"/>
    <n v="4"/>
    <s v="Male"/>
    <n v="43"/>
    <n v="3"/>
    <n v="1"/>
    <x v="1"/>
    <n v="3"/>
    <s v="Divorced"/>
    <n v="3815"/>
    <n v="5972"/>
    <n v="1"/>
    <s v="Y"/>
    <s v="Yes"/>
    <n v="17"/>
    <n v="3"/>
    <n v="4"/>
    <n v="80"/>
    <n v="1"/>
    <n v="5"/>
    <n v="4"/>
    <n v="4"/>
    <n v="5"/>
    <n v="3"/>
    <n v="2"/>
    <n v="0"/>
    <s v="OK"/>
    <s v="OK"/>
    <s v="OK"/>
    <s v="OK"/>
    <x v="46"/>
    <n v="0.6"/>
    <n v="0.8"/>
    <n v="0"/>
  </r>
  <r>
    <n v="40"/>
    <s v="No"/>
    <s v="Travel_Rarely"/>
    <n v="905"/>
    <x v="1"/>
    <n v="19"/>
    <n v="2"/>
    <s v="Medical"/>
    <n v="1"/>
    <n v="281"/>
    <n v="3"/>
    <s v="Male"/>
    <n v="99"/>
    <n v="3"/>
    <n v="2"/>
    <x v="2"/>
    <n v="4"/>
    <s v="Married"/>
    <n v="2741"/>
    <n v="16523"/>
    <n v="8"/>
    <s v="Y"/>
    <s v="Yes"/>
    <n v="15"/>
    <n v="3"/>
    <n v="3"/>
    <n v="80"/>
    <n v="1"/>
    <n v="15"/>
    <n v="2"/>
    <n v="4"/>
    <n v="7"/>
    <n v="2"/>
    <n v="3"/>
    <n v="7"/>
    <s v="OK"/>
    <s v="OK"/>
    <s v="OK"/>
    <s v="OK"/>
    <x v="4"/>
    <n v="0.2857142857142857"/>
    <n v="0.2857142857142857"/>
    <n v="1"/>
  </r>
  <r>
    <n v="38"/>
    <s v="Yes"/>
    <s v="Travel_Rarely"/>
    <n v="1180"/>
    <x v="1"/>
    <n v="29"/>
    <n v="1"/>
    <s v="Medical"/>
    <n v="1"/>
    <n v="282"/>
    <n v="2"/>
    <s v="Male"/>
    <n v="70"/>
    <n v="3"/>
    <n v="2"/>
    <x v="4"/>
    <n v="1"/>
    <s v="Married"/>
    <n v="6673"/>
    <n v="11354"/>
    <n v="7"/>
    <s v="Y"/>
    <s v="Yes"/>
    <n v="19"/>
    <n v="3"/>
    <n v="2"/>
    <n v="80"/>
    <n v="0"/>
    <n v="17"/>
    <n v="2"/>
    <n v="3"/>
    <n v="1"/>
    <n v="0"/>
    <n v="0"/>
    <n v="0"/>
    <s v="OK"/>
    <s v="OK"/>
    <s v="OK"/>
    <s v="OK"/>
    <x v="0"/>
    <n v="0"/>
    <n v="2"/>
    <n v="0"/>
  </r>
  <r>
    <n v="29"/>
    <s v="Yes"/>
    <s v="Travel_Rarely"/>
    <n v="121"/>
    <x v="0"/>
    <n v="27"/>
    <n v="3"/>
    <s v="Marketing"/>
    <n v="1"/>
    <n v="283"/>
    <n v="2"/>
    <s v="Female"/>
    <n v="35"/>
    <n v="3"/>
    <n v="3"/>
    <x v="0"/>
    <n v="4"/>
    <s v="Married"/>
    <n v="7639"/>
    <n v="24525"/>
    <n v="1"/>
    <s v="Y"/>
    <s v="No"/>
    <n v="22"/>
    <n v="4"/>
    <n v="4"/>
    <n v="80"/>
    <n v="3"/>
    <n v="10"/>
    <n v="3"/>
    <n v="2"/>
    <n v="10"/>
    <n v="4"/>
    <n v="1"/>
    <n v="9"/>
    <s v="OK"/>
    <s v="OK"/>
    <s v="OK"/>
    <s v="OK"/>
    <x v="1"/>
    <n v="0.4"/>
    <n v="0.3"/>
    <n v="0.9"/>
  </r>
  <r>
    <n v="22"/>
    <s v="No"/>
    <s v="Travel_Rarely"/>
    <n v="1136"/>
    <x v="1"/>
    <n v="5"/>
    <n v="3"/>
    <s v="Life Sciences"/>
    <n v="1"/>
    <n v="284"/>
    <n v="4"/>
    <s v="Male"/>
    <n v="60"/>
    <n v="4"/>
    <n v="1"/>
    <x v="1"/>
    <n v="2"/>
    <s v="Divorced"/>
    <n v="2328"/>
    <n v="12392"/>
    <n v="1"/>
    <s v="Y"/>
    <s v="Yes"/>
    <n v="16"/>
    <n v="3"/>
    <n v="1"/>
    <n v="80"/>
    <n v="1"/>
    <n v="4"/>
    <n v="2"/>
    <n v="2"/>
    <n v="4"/>
    <n v="2"/>
    <n v="2"/>
    <n v="2"/>
    <s v="OK"/>
    <s v="OK"/>
    <s v="OK"/>
    <s v="OK"/>
    <x v="7"/>
    <n v="0.5"/>
    <n v="0.5"/>
    <n v="0.5"/>
  </r>
  <r>
    <n v="36"/>
    <s v="No"/>
    <s v="Travel_Frequently"/>
    <n v="635"/>
    <x v="1"/>
    <n v="18"/>
    <n v="1"/>
    <s v="Medical"/>
    <n v="1"/>
    <n v="286"/>
    <n v="2"/>
    <s v="Female"/>
    <n v="73"/>
    <n v="3"/>
    <n v="1"/>
    <x v="2"/>
    <n v="4"/>
    <s v="Single"/>
    <n v="2153"/>
    <n v="7703"/>
    <n v="1"/>
    <s v="Y"/>
    <s v="No"/>
    <n v="13"/>
    <n v="3"/>
    <n v="1"/>
    <n v="80"/>
    <n v="0"/>
    <n v="8"/>
    <n v="2"/>
    <n v="3"/>
    <n v="8"/>
    <n v="1"/>
    <n v="1"/>
    <n v="7"/>
    <s v="OK"/>
    <s v="OK"/>
    <s v="OK"/>
    <s v="OK"/>
    <x v="33"/>
    <n v="0.125"/>
    <n v="0.25"/>
    <n v="0.875"/>
  </r>
  <r>
    <n v="40"/>
    <s v="No"/>
    <s v="Non-Travel"/>
    <n v="1151"/>
    <x v="1"/>
    <n v="9"/>
    <n v="5"/>
    <s v="Life Sciences"/>
    <n v="1"/>
    <n v="287"/>
    <n v="4"/>
    <s v="Male"/>
    <n v="63"/>
    <n v="2"/>
    <n v="2"/>
    <x v="4"/>
    <n v="4"/>
    <s v="Married"/>
    <n v="4876"/>
    <n v="14242"/>
    <n v="9"/>
    <s v="Y"/>
    <s v="No"/>
    <n v="14"/>
    <n v="3"/>
    <n v="4"/>
    <n v="80"/>
    <n v="1"/>
    <n v="5"/>
    <n v="5"/>
    <n v="1"/>
    <n v="3"/>
    <n v="2"/>
    <n v="0"/>
    <n v="2"/>
    <s v="OK"/>
    <s v="OK"/>
    <s v="OK"/>
    <s v="OK"/>
    <x v="0"/>
    <n v="0.66666666666666663"/>
    <n v="1.6666666666666667"/>
    <n v="0.66666666666666663"/>
  </r>
  <r>
    <n v="46"/>
    <s v="No"/>
    <s v="Travel_Rarely"/>
    <n v="644"/>
    <x v="1"/>
    <n v="1"/>
    <n v="4"/>
    <s v="Medical"/>
    <n v="1"/>
    <n v="288"/>
    <n v="4"/>
    <s v="Male"/>
    <n v="97"/>
    <n v="3"/>
    <n v="3"/>
    <x v="4"/>
    <n v="1"/>
    <s v="Divorced"/>
    <n v="9396"/>
    <n v="12368"/>
    <n v="7"/>
    <s v="Y"/>
    <s v="No"/>
    <n v="16"/>
    <n v="3"/>
    <n v="3"/>
    <n v="80"/>
    <n v="1"/>
    <n v="17"/>
    <n v="3"/>
    <n v="3"/>
    <n v="4"/>
    <n v="2"/>
    <n v="0"/>
    <n v="3"/>
    <s v="OK"/>
    <s v="OK"/>
    <s v="OK"/>
    <s v="OK"/>
    <x v="0"/>
    <n v="0.5"/>
    <n v="0.75"/>
    <n v="0.75"/>
  </r>
  <r>
    <n v="32"/>
    <s v="Yes"/>
    <s v="Travel_Rarely"/>
    <n v="1045"/>
    <x v="0"/>
    <n v="4"/>
    <n v="4"/>
    <s v="Medical"/>
    <n v="1"/>
    <n v="291"/>
    <n v="4"/>
    <s v="Male"/>
    <n v="32"/>
    <n v="1"/>
    <n v="3"/>
    <x v="0"/>
    <n v="4"/>
    <s v="Married"/>
    <n v="10400"/>
    <n v="25812"/>
    <n v="1"/>
    <s v="Y"/>
    <s v="No"/>
    <n v="11"/>
    <n v="3"/>
    <n v="3"/>
    <n v="80"/>
    <n v="0"/>
    <n v="14"/>
    <n v="2"/>
    <n v="2"/>
    <n v="14"/>
    <n v="8"/>
    <n v="9"/>
    <n v="8"/>
    <s v="OK"/>
    <s v="OK"/>
    <s v="OK"/>
    <s v="OK"/>
    <x v="48"/>
    <n v="0.5714285714285714"/>
    <n v="0.14285714285714285"/>
    <n v="0.5714285714285714"/>
  </r>
  <r>
    <n v="30"/>
    <s v="No"/>
    <s v="Non-Travel"/>
    <n v="829"/>
    <x v="1"/>
    <n v="1"/>
    <n v="1"/>
    <s v="Life Sciences"/>
    <n v="1"/>
    <n v="292"/>
    <n v="3"/>
    <s v="Male"/>
    <n v="88"/>
    <n v="2"/>
    <n v="3"/>
    <x v="3"/>
    <n v="3"/>
    <s v="Single"/>
    <n v="8474"/>
    <n v="20925"/>
    <n v="1"/>
    <s v="Y"/>
    <s v="No"/>
    <n v="22"/>
    <n v="4"/>
    <n v="3"/>
    <n v="80"/>
    <n v="0"/>
    <n v="12"/>
    <n v="2"/>
    <n v="3"/>
    <n v="11"/>
    <n v="8"/>
    <n v="5"/>
    <n v="8"/>
    <s v="OK"/>
    <s v="OK"/>
    <s v="OK"/>
    <s v="OK"/>
    <x v="31"/>
    <n v="0.72727272727272729"/>
    <n v="0.18181818181818182"/>
    <n v="0.72727272727272729"/>
  </r>
  <r>
    <n v="27"/>
    <s v="No"/>
    <s v="Travel_Frequently"/>
    <n v="1242"/>
    <x v="0"/>
    <n v="20"/>
    <n v="3"/>
    <s v="Life Sciences"/>
    <n v="1"/>
    <n v="293"/>
    <n v="4"/>
    <s v="Female"/>
    <n v="90"/>
    <n v="3"/>
    <n v="2"/>
    <x v="0"/>
    <n v="3"/>
    <s v="Single"/>
    <n v="9981"/>
    <n v="12916"/>
    <n v="1"/>
    <s v="Y"/>
    <s v="No"/>
    <n v="14"/>
    <n v="3"/>
    <n v="4"/>
    <n v="80"/>
    <n v="0"/>
    <n v="7"/>
    <n v="2"/>
    <n v="3"/>
    <n v="7"/>
    <n v="7"/>
    <n v="0"/>
    <n v="7"/>
    <s v="OK"/>
    <s v="OK"/>
    <s v="OK"/>
    <s v="OK"/>
    <x v="0"/>
    <n v="1"/>
    <n v="0.2857142857142857"/>
    <n v="1"/>
  </r>
  <r>
    <n v="51"/>
    <s v="No"/>
    <s v="Travel_Rarely"/>
    <n v="1469"/>
    <x v="1"/>
    <n v="8"/>
    <n v="4"/>
    <s v="Life Sciences"/>
    <n v="1"/>
    <n v="296"/>
    <n v="2"/>
    <s v="Male"/>
    <n v="81"/>
    <n v="2"/>
    <n v="3"/>
    <x v="7"/>
    <n v="2"/>
    <s v="Married"/>
    <n v="12490"/>
    <n v="15736"/>
    <n v="5"/>
    <s v="Y"/>
    <s v="No"/>
    <n v="16"/>
    <n v="3"/>
    <n v="4"/>
    <n v="80"/>
    <n v="2"/>
    <n v="16"/>
    <n v="5"/>
    <n v="1"/>
    <n v="10"/>
    <n v="9"/>
    <n v="4"/>
    <n v="7"/>
    <s v="OK"/>
    <s v="OK"/>
    <s v="OK"/>
    <s v="OK"/>
    <x v="46"/>
    <n v="0.9"/>
    <n v="0.5"/>
    <n v="0.7"/>
  </r>
  <r>
    <n v="30"/>
    <s v="Yes"/>
    <s v="Travel_Rarely"/>
    <n v="1005"/>
    <x v="1"/>
    <n v="3"/>
    <n v="3"/>
    <s v="Technical Degree"/>
    <n v="1"/>
    <n v="297"/>
    <n v="4"/>
    <s v="Female"/>
    <n v="88"/>
    <n v="3"/>
    <n v="1"/>
    <x v="1"/>
    <n v="1"/>
    <s v="Single"/>
    <n v="2657"/>
    <n v="8556"/>
    <n v="5"/>
    <s v="Y"/>
    <s v="Yes"/>
    <n v="11"/>
    <n v="3"/>
    <n v="3"/>
    <n v="80"/>
    <n v="0"/>
    <n v="8"/>
    <n v="5"/>
    <n v="3"/>
    <n v="5"/>
    <n v="2"/>
    <n v="0"/>
    <n v="4"/>
    <s v="OK"/>
    <s v="OK"/>
    <s v="OK"/>
    <s v="OK"/>
    <x v="0"/>
    <n v="0.4"/>
    <n v="1"/>
    <n v="0.8"/>
  </r>
  <r>
    <n v="41"/>
    <s v="No"/>
    <s v="Travel_Rarely"/>
    <n v="896"/>
    <x v="0"/>
    <n v="6"/>
    <n v="3"/>
    <s v="Life Sciences"/>
    <n v="1"/>
    <n v="298"/>
    <n v="4"/>
    <s v="Female"/>
    <n v="75"/>
    <n v="3"/>
    <n v="3"/>
    <x v="5"/>
    <n v="4"/>
    <s v="Single"/>
    <n v="13591"/>
    <n v="14674"/>
    <n v="3"/>
    <s v="Y"/>
    <s v="Yes"/>
    <n v="18"/>
    <n v="3"/>
    <n v="3"/>
    <n v="80"/>
    <n v="0"/>
    <n v="16"/>
    <n v="3"/>
    <n v="3"/>
    <n v="1"/>
    <n v="0"/>
    <n v="0"/>
    <n v="0"/>
    <s v="OK"/>
    <s v="OK"/>
    <s v="OK"/>
    <s v="OK"/>
    <x v="0"/>
    <n v="0"/>
    <n v="3"/>
    <n v="0"/>
  </r>
  <r>
    <n v="30"/>
    <s v="Yes"/>
    <s v="Travel_Frequently"/>
    <n v="334"/>
    <x v="0"/>
    <n v="26"/>
    <n v="4"/>
    <s v="Marketing"/>
    <n v="1"/>
    <n v="299"/>
    <n v="3"/>
    <s v="Female"/>
    <n v="52"/>
    <n v="2"/>
    <n v="2"/>
    <x v="0"/>
    <n v="1"/>
    <s v="Single"/>
    <n v="6696"/>
    <n v="22967"/>
    <n v="5"/>
    <s v="Y"/>
    <s v="No"/>
    <n v="15"/>
    <n v="3"/>
    <n v="3"/>
    <n v="80"/>
    <n v="0"/>
    <n v="9"/>
    <n v="5"/>
    <n v="2"/>
    <n v="6"/>
    <n v="3"/>
    <n v="0"/>
    <n v="1"/>
    <s v="OK"/>
    <s v="OK"/>
    <s v="OK"/>
    <s v="OK"/>
    <x v="0"/>
    <n v="0.5"/>
    <n v="0.83333333333333337"/>
    <n v="0.16666666666666666"/>
  </r>
  <r>
    <n v="29"/>
    <s v="Yes"/>
    <s v="Travel_Rarely"/>
    <n v="992"/>
    <x v="1"/>
    <n v="1"/>
    <n v="3"/>
    <s v="Technical Degree"/>
    <n v="1"/>
    <n v="300"/>
    <n v="3"/>
    <s v="Male"/>
    <n v="85"/>
    <n v="3"/>
    <n v="1"/>
    <x v="1"/>
    <n v="3"/>
    <s v="Single"/>
    <n v="2058"/>
    <n v="19757"/>
    <n v="0"/>
    <s v="Y"/>
    <s v="No"/>
    <n v="14"/>
    <n v="3"/>
    <n v="4"/>
    <n v="80"/>
    <n v="0"/>
    <n v="7"/>
    <n v="1"/>
    <n v="2"/>
    <n v="6"/>
    <n v="2"/>
    <n v="1"/>
    <n v="5"/>
    <s v="OK"/>
    <s v="OK"/>
    <s v="OK"/>
    <s v="OK"/>
    <x v="11"/>
    <n v="0.33333333333333331"/>
    <n v="0.16666666666666666"/>
    <n v="0.83333333333333337"/>
  </r>
  <r>
    <n v="45"/>
    <s v="No"/>
    <s v="Non-Travel"/>
    <n v="1052"/>
    <x v="0"/>
    <n v="6"/>
    <n v="3"/>
    <s v="Medical"/>
    <n v="1"/>
    <n v="302"/>
    <n v="4"/>
    <s v="Female"/>
    <n v="57"/>
    <n v="2"/>
    <n v="3"/>
    <x v="0"/>
    <n v="4"/>
    <s v="Single"/>
    <n v="8865"/>
    <n v="16840"/>
    <n v="6"/>
    <s v="Y"/>
    <s v="No"/>
    <n v="12"/>
    <n v="3"/>
    <n v="4"/>
    <n v="80"/>
    <n v="0"/>
    <n v="23"/>
    <n v="2"/>
    <n v="3"/>
    <n v="19"/>
    <n v="7"/>
    <n v="12"/>
    <n v="8"/>
    <s v="OK"/>
    <s v="OK"/>
    <s v="OK"/>
    <s v="OK"/>
    <x v="49"/>
    <n v="0.36842105263157893"/>
    <n v="0.10526315789473684"/>
    <n v="0.42105263157894735"/>
  </r>
  <r>
    <n v="54"/>
    <s v="No"/>
    <s v="Travel_Rarely"/>
    <n v="1147"/>
    <x v="0"/>
    <n v="3"/>
    <n v="3"/>
    <s v="Marketing"/>
    <n v="1"/>
    <n v="303"/>
    <n v="4"/>
    <s v="Female"/>
    <n v="52"/>
    <n v="3"/>
    <n v="2"/>
    <x v="0"/>
    <n v="1"/>
    <s v="Married"/>
    <n v="5940"/>
    <n v="17011"/>
    <n v="2"/>
    <s v="Y"/>
    <s v="No"/>
    <n v="14"/>
    <n v="3"/>
    <n v="4"/>
    <n v="80"/>
    <n v="1"/>
    <n v="16"/>
    <n v="4"/>
    <n v="3"/>
    <n v="6"/>
    <n v="2"/>
    <n v="0"/>
    <n v="5"/>
    <s v="OK"/>
    <s v="OK"/>
    <s v="OK"/>
    <s v="OK"/>
    <x v="0"/>
    <n v="0.33333333333333331"/>
    <n v="0.66666666666666663"/>
    <n v="0.83333333333333337"/>
  </r>
  <r>
    <n v="36"/>
    <s v="No"/>
    <s v="Travel_Rarely"/>
    <n v="1396"/>
    <x v="1"/>
    <n v="5"/>
    <n v="2"/>
    <s v="Life Sciences"/>
    <n v="1"/>
    <n v="304"/>
    <n v="4"/>
    <s v="Male"/>
    <n v="62"/>
    <n v="3"/>
    <n v="2"/>
    <x v="2"/>
    <n v="2"/>
    <s v="Single"/>
    <n v="5914"/>
    <n v="9945"/>
    <n v="8"/>
    <s v="Y"/>
    <s v="No"/>
    <n v="16"/>
    <n v="3"/>
    <n v="4"/>
    <n v="80"/>
    <n v="0"/>
    <n v="16"/>
    <n v="3"/>
    <n v="4"/>
    <n v="13"/>
    <n v="11"/>
    <n v="3"/>
    <n v="7"/>
    <s v="OK"/>
    <s v="OK"/>
    <s v="OK"/>
    <s v="OK"/>
    <x v="50"/>
    <n v="0.84615384615384615"/>
    <n v="0.23076923076923078"/>
    <n v="0.53846153846153844"/>
  </r>
  <r>
    <n v="33"/>
    <s v="No"/>
    <s v="Travel_Rarely"/>
    <n v="147"/>
    <x v="1"/>
    <n v="4"/>
    <n v="4"/>
    <s v="Medical"/>
    <n v="1"/>
    <n v="305"/>
    <n v="3"/>
    <s v="Female"/>
    <n v="47"/>
    <n v="2"/>
    <n v="1"/>
    <x v="1"/>
    <n v="2"/>
    <s v="Married"/>
    <n v="2622"/>
    <n v="13248"/>
    <n v="6"/>
    <s v="Y"/>
    <s v="No"/>
    <n v="21"/>
    <n v="4"/>
    <n v="4"/>
    <n v="80"/>
    <n v="0"/>
    <n v="7"/>
    <n v="3"/>
    <n v="3"/>
    <n v="3"/>
    <n v="2"/>
    <n v="1"/>
    <n v="1"/>
    <s v="OK"/>
    <s v="OK"/>
    <s v="OK"/>
    <s v="OK"/>
    <x v="9"/>
    <n v="0.66666666666666663"/>
    <n v="1"/>
    <n v="0.33333333333333331"/>
  </r>
  <r>
    <n v="37"/>
    <s v="No"/>
    <s v="Travel_Frequently"/>
    <n v="663"/>
    <x v="1"/>
    <n v="11"/>
    <n v="3"/>
    <s v="Other"/>
    <n v="1"/>
    <n v="306"/>
    <n v="2"/>
    <s v="Male"/>
    <n v="47"/>
    <n v="3"/>
    <n v="3"/>
    <x v="7"/>
    <n v="4"/>
    <s v="Divorced"/>
    <n v="12185"/>
    <n v="10056"/>
    <n v="1"/>
    <s v="Y"/>
    <s v="Yes"/>
    <n v="14"/>
    <n v="3"/>
    <n v="3"/>
    <n v="80"/>
    <n v="3"/>
    <n v="10"/>
    <n v="1"/>
    <n v="3"/>
    <n v="10"/>
    <n v="8"/>
    <n v="0"/>
    <n v="7"/>
    <s v="OK"/>
    <s v="OK"/>
    <s v="OK"/>
    <s v="OK"/>
    <x v="0"/>
    <n v="0.8"/>
    <n v="0.1"/>
    <n v="0.7"/>
  </r>
  <r>
    <n v="38"/>
    <s v="No"/>
    <s v="Travel_Rarely"/>
    <n v="119"/>
    <x v="0"/>
    <n v="3"/>
    <n v="3"/>
    <s v="Life Sciences"/>
    <n v="1"/>
    <n v="307"/>
    <n v="1"/>
    <s v="Male"/>
    <n v="76"/>
    <n v="3"/>
    <n v="3"/>
    <x v="0"/>
    <n v="3"/>
    <s v="Divorced"/>
    <n v="10609"/>
    <n v="9647"/>
    <n v="0"/>
    <s v="Y"/>
    <s v="No"/>
    <n v="12"/>
    <n v="3"/>
    <n v="3"/>
    <n v="80"/>
    <n v="2"/>
    <n v="17"/>
    <n v="6"/>
    <n v="2"/>
    <n v="16"/>
    <n v="10"/>
    <n v="5"/>
    <n v="13"/>
    <s v="OK"/>
    <s v="OK"/>
    <s v="OK"/>
    <s v="OK"/>
    <x v="51"/>
    <n v="0.625"/>
    <n v="0.375"/>
    <n v="0.8125"/>
  </r>
  <r>
    <n v="31"/>
    <s v="No"/>
    <s v="Non-Travel"/>
    <n v="979"/>
    <x v="1"/>
    <n v="1"/>
    <n v="4"/>
    <s v="Medical"/>
    <n v="1"/>
    <n v="308"/>
    <n v="3"/>
    <s v="Male"/>
    <n v="90"/>
    <n v="1"/>
    <n v="2"/>
    <x v="3"/>
    <n v="3"/>
    <s v="Married"/>
    <n v="4345"/>
    <n v="4381"/>
    <n v="0"/>
    <s v="Y"/>
    <s v="No"/>
    <n v="12"/>
    <n v="3"/>
    <n v="4"/>
    <n v="80"/>
    <n v="1"/>
    <n v="6"/>
    <n v="2"/>
    <n v="3"/>
    <n v="5"/>
    <n v="4"/>
    <n v="1"/>
    <n v="4"/>
    <s v="OK"/>
    <s v="OK"/>
    <s v="OK"/>
    <s v="OK"/>
    <x v="16"/>
    <n v="0.8"/>
    <n v="0.4"/>
    <n v="0.8"/>
  </r>
  <r>
    <n v="59"/>
    <s v="No"/>
    <s v="Travel_Rarely"/>
    <n v="142"/>
    <x v="1"/>
    <n v="3"/>
    <n v="3"/>
    <s v="Life Sciences"/>
    <n v="1"/>
    <n v="309"/>
    <n v="3"/>
    <s v="Male"/>
    <n v="70"/>
    <n v="2"/>
    <n v="1"/>
    <x v="1"/>
    <n v="4"/>
    <s v="Married"/>
    <n v="2177"/>
    <n v="8456"/>
    <n v="3"/>
    <s v="Y"/>
    <s v="No"/>
    <n v="17"/>
    <n v="3"/>
    <n v="1"/>
    <n v="80"/>
    <n v="1"/>
    <n v="7"/>
    <n v="6"/>
    <n v="3"/>
    <n v="1"/>
    <n v="0"/>
    <n v="0"/>
    <n v="0"/>
    <s v="OK"/>
    <s v="OK"/>
    <s v="OK"/>
    <s v="OK"/>
    <x v="0"/>
    <n v="0"/>
    <n v="6"/>
    <n v="0"/>
  </r>
  <r>
    <n v="37"/>
    <s v="No"/>
    <s v="Travel_Frequently"/>
    <n v="319"/>
    <x v="0"/>
    <n v="4"/>
    <n v="4"/>
    <s v="Marketing"/>
    <n v="1"/>
    <n v="311"/>
    <n v="1"/>
    <s v="Male"/>
    <n v="41"/>
    <n v="3"/>
    <n v="1"/>
    <x v="6"/>
    <n v="4"/>
    <s v="Divorced"/>
    <n v="2793"/>
    <n v="2539"/>
    <n v="4"/>
    <s v="Y"/>
    <s v="No"/>
    <n v="17"/>
    <n v="3"/>
    <n v="3"/>
    <n v="80"/>
    <n v="1"/>
    <n v="13"/>
    <n v="2"/>
    <n v="3"/>
    <n v="9"/>
    <n v="8"/>
    <n v="5"/>
    <n v="8"/>
    <s v="OK"/>
    <s v="OK"/>
    <s v="OK"/>
    <s v="OK"/>
    <x v="52"/>
    <n v="0.88888888888888884"/>
    <n v="0.22222222222222221"/>
    <n v="0.88888888888888884"/>
  </r>
  <r>
    <n v="29"/>
    <s v="No"/>
    <s v="Travel_Frequently"/>
    <n v="1413"/>
    <x v="0"/>
    <n v="1"/>
    <n v="1"/>
    <s v="Medical"/>
    <n v="1"/>
    <n v="312"/>
    <n v="2"/>
    <s v="Female"/>
    <n v="42"/>
    <n v="3"/>
    <n v="3"/>
    <x v="0"/>
    <n v="4"/>
    <s v="Married"/>
    <n v="7918"/>
    <n v="6599"/>
    <n v="1"/>
    <s v="Y"/>
    <s v="No"/>
    <n v="14"/>
    <n v="3"/>
    <n v="4"/>
    <n v="80"/>
    <n v="1"/>
    <n v="11"/>
    <n v="5"/>
    <n v="3"/>
    <n v="11"/>
    <n v="10"/>
    <n v="4"/>
    <n v="1"/>
    <s v="OK"/>
    <s v="OK"/>
    <s v="OK"/>
    <s v="OK"/>
    <x v="40"/>
    <n v="0.90909090909090906"/>
    <n v="0.45454545454545453"/>
    <n v="9.0909090909090912E-2"/>
  </r>
  <r>
    <n v="35"/>
    <s v="No"/>
    <s v="Travel_Frequently"/>
    <n v="944"/>
    <x v="0"/>
    <n v="1"/>
    <n v="3"/>
    <s v="Marketing"/>
    <n v="1"/>
    <n v="314"/>
    <n v="3"/>
    <s v="Female"/>
    <n v="92"/>
    <n v="3"/>
    <n v="3"/>
    <x v="0"/>
    <n v="3"/>
    <s v="Single"/>
    <n v="8789"/>
    <n v="9096"/>
    <n v="1"/>
    <s v="Y"/>
    <s v="No"/>
    <n v="14"/>
    <n v="3"/>
    <n v="1"/>
    <n v="80"/>
    <n v="0"/>
    <n v="10"/>
    <n v="3"/>
    <n v="4"/>
    <n v="10"/>
    <n v="7"/>
    <n v="0"/>
    <n v="8"/>
    <s v="OK"/>
    <s v="OK"/>
    <s v="OK"/>
    <s v="OK"/>
    <x v="0"/>
    <n v="0.7"/>
    <n v="0.3"/>
    <n v="0.8"/>
  </r>
  <r>
    <n v="29"/>
    <s v="Yes"/>
    <s v="Travel_Rarely"/>
    <n v="896"/>
    <x v="1"/>
    <n v="18"/>
    <n v="1"/>
    <s v="Medical"/>
    <n v="1"/>
    <n v="315"/>
    <n v="3"/>
    <s v="Male"/>
    <n v="86"/>
    <n v="2"/>
    <n v="1"/>
    <x v="1"/>
    <n v="4"/>
    <s v="Single"/>
    <n v="2389"/>
    <n v="14961"/>
    <n v="1"/>
    <s v="Y"/>
    <s v="Yes"/>
    <n v="13"/>
    <n v="3"/>
    <n v="3"/>
    <n v="80"/>
    <n v="0"/>
    <n v="4"/>
    <n v="3"/>
    <n v="2"/>
    <n v="4"/>
    <n v="3"/>
    <n v="0"/>
    <n v="1"/>
    <s v="OK"/>
    <s v="OK"/>
    <s v="OK"/>
    <s v="OK"/>
    <x v="0"/>
    <n v="0.75"/>
    <n v="0.75"/>
    <n v="0.25"/>
  </r>
  <r>
    <n v="52"/>
    <s v="No"/>
    <s v="Travel_Rarely"/>
    <n v="1323"/>
    <x v="1"/>
    <n v="2"/>
    <n v="3"/>
    <s v="Life Sciences"/>
    <n v="1"/>
    <n v="316"/>
    <n v="3"/>
    <s v="Female"/>
    <n v="89"/>
    <n v="2"/>
    <n v="1"/>
    <x v="2"/>
    <n v="4"/>
    <s v="Single"/>
    <n v="3212"/>
    <n v="3300"/>
    <n v="7"/>
    <s v="Y"/>
    <s v="No"/>
    <n v="15"/>
    <n v="3"/>
    <n v="2"/>
    <n v="80"/>
    <n v="0"/>
    <n v="6"/>
    <n v="3"/>
    <n v="2"/>
    <n v="2"/>
    <n v="2"/>
    <n v="2"/>
    <n v="2"/>
    <s v="OK"/>
    <s v="OK"/>
    <s v="OK"/>
    <s v="OK"/>
    <x v="3"/>
    <n v="1"/>
    <n v="1.5"/>
    <n v="1"/>
  </r>
  <r>
    <n v="42"/>
    <s v="No"/>
    <s v="Travel_Rarely"/>
    <n v="532"/>
    <x v="1"/>
    <n v="4"/>
    <n v="2"/>
    <s v="Technical Degree"/>
    <n v="1"/>
    <n v="319"/>
    <n v="3"/>
    <s v="Male"/>
    <n v="58"/>
    <n v="3"/>
    <n v="5"/>
    <x v="5"/>
    <n v="4"/>
    <s v="Married"/>
    <n v="19232"/>
    <n v="4933"/>
    <n v="1"/>
    <s v="Y"/>
    <s v="No"/>
    <n v="11"/>
    <n v="3"/>
    <n v="4"/>
    <n v="80"/>
    <n v="0"/>
    <n v="22"/>
    <n v="3"/>
    <n v="3"/>
    <n v="22"/>
    <n v="17"/>
    <n v="11"/>
    <n v="15"/>
    <s v="OK"/>
    <s v="OK"/>
    <s v="OK"/>
    <s v="OK"/>
    <x v="7"/>
    <n v="0.77272727272727271"/>
    <n v="0.13636363636363635"/>
    <n v="0.68181818181818177"/>
  </r>
  <r>
    <n v="59"/>
    <s v="No"/>
    <s v="Travel_Rarely"/>
    <n v="818"/>
    <x v="2"/>
    <n v="6"/>
    <n v="2"/>
    <s v="Medical"/>
    <n v="1"/>
    <n v="321"/>
    <n v="2"/>
    <s v="Male"/>
    <n v="52"/>
    <n v="3"/>
    <n v="1"/>
    <x v="8"/>
    <n v="3"/>
    <s v="Married"/>
    <n v="2267"/>
    <n v="25657"/>
    <n v="8"/>
    <s v="Y"/>
    <s v="No"/>
    <n v="17"/>
    <n v="3"/>
    <n v="4"/>
    <n v="80"/>
    <n v="0"/>
    <n v="7"/>
    <n v="2"/>
    <n v="2"/>
    <n v="2"/>
    <n v="2"/>
    <n v="2"/>
    <n v="2"/>
    <s v="OK"/>
    <s v="OK"/>
    <s v="OK"/>
    <s v="OK"/>
    <x v="3"/>
    <n v="1"/>
    <n v="1"/>
    <n v="1"/>
  </r>
  <r>
    <n v="50"/>
    <s v="No"/>
    <s v="Travel_Rarely"/>
    <n v="854"/>
    <x v="0"/>
    <n v="1"/>
    <n v="4"/>
    <s v="Medical"/>
    <n v="1"/>
    <n v="323"/>
    <n v="4"/>
    <s v="Female"/>
    <n v="68"/>
    <n v="3"/>
    <n v="5"/>
    <x v="5"/>
    <n v="4"/>
    <s v="Divorced"/>
    <n v="19517"/>
    <n v="24118"/>
    <n v="3"/>
    <s v="Y"/>
    <s v="No"/>
    <n v="11"/>
    <n v="3"/>
    <n v="3"/>
    <n v="80"/>
    <n v="1"/>
    <n v="32"/>
    <n v="3"/>
    <n v="2"/>
    <n v="7"/>
    <n v="0"/>
    <n v="0"/>
    <n v="6"/>
    <s v="OK"/>
    <s v="OK"/>
    <s v="OK"/>
    <s v="OK"/>
    <x v="0"/>
    <n v="0"/>
    <n v="0.42857142857142855"/>
    <n v="0.8571428571428571"/>
  </r>
  <r>
    <n v="33"/>
    <s v="Yes"/>
    <s v="Travel_Rarely"/>
    <n v="813"/>
    <x v="1"/>
    <n v="14"/>
    <n v="3"/>
    <s v="Medical"/>
    <n v="1"/>
    <n v="325"/>
    <n v="3"/>
    <s v="Male"/>
    <n v="58"/>
    <n v="3"/>
    <n v="1"/>
    <x v="2"/>
    <n v="4"/>
    <s v="Married"/>
    <n v="2436"/>
    <n v="22149"/>
    <n v="5"/>
    <s v="Y"/>
    <s v="Yes"/>
    <n v="13"/>
    <n v="3"/>
    <n v="3"/>
    <n v="80"/>
    <n v="1"/>
    <n v="8"/>
    <n v="2"/>
    <n v="1"/>
    <n v="5"/>
    <n v="4"/>
    <n v="0"/>
    <n v="4"/>
    <s v="OK"/>
    <s v="OK"/>
    <s v="OK"/>
    <s v="OK"/>
    <x v="0"/>
    <n v="0.8"/>
    <n v="0.4"/>
    <n v="0.8"/>
  </r>
  <r>
    <n v="43"/>
    <s v="No"/>
    <s v="Travel_Rarely"/>
    <n v="1034"/>
    <x v="0"/>
    <n v="16"/>
    <n v="3"/>
    <s v="Marketing"/>
    <n v="1"/>
    <n v="327"/>
    <n v="4"/>
    <s v="Female"/>
    <n v="80"/>
    <n v="3"/>
    <n v="4"/>
    <x v="5"/>
    <n v="4"/>
    <s v="Married"/>
    <n v="16064"/>
    <n v="7744"/>
    <n v="5"/>
    <s v="Y"/>
    <s v="Yes"/>
    <n v="22"/>
    <n v="4"/>
    <n v="3"/>
    <n v="80"/>
    <n v="1"/>
    <n v="22"/>
    <n v="3"/>
    <n v="3"/>
    <n v="17"/>
    <n v="13"/>
    <n v="1"/>
    <n v="9"/>
    <s v="OK"/>
    <s v="OK"/>
    <s v="OK"/>
    <s v="OK"/>
    <x v="53"/>
    <n v="0.76470588235294112"/>
    <n v="0.17647058823529413"/>
    <n v="0.52941176470588236"/>
  </r>
  <r>
    <n v="33"/>
    <s v="Yes"/>
    <s v="Travel_Rarely"/>
    <n v="465"/>
    <x v="1"/>
    <n v="2"/>
    <n v="2"/>
    <s v="Life Sciences"/>
    <n v="1"/>
    <n v="328"/>
    <n v="1"/>
    <s v="Female"/>
    <n v="39"/>
    <n v="3"/>
    <n v="1"/>
    <x v="2"/>
    <n v="1"/>
    <s v="Married"/>
    <n v="2707"/>
    <n v="21509"/>
    <n v="7"/>
    <s v="Y"/>
    <s v="No"/>
    <n v="20"/>
    <n v="4"/>
    <n v="1"/>
    <n v="80"/>
    <n v="0"/>
    <n v="13"/>
    <n v="3"/>
    <n v="4"/>
    <n v="9"/>
    <n v="7"/>
    <n v="1"/>
    <n v="7"/>
    <s v="OK"/>
    <s v="OK"/>
    <s v="OK"/>
    <s v="OK"/>
    <x v="5"/>
    <n v="0.77777777777777779"/>
    <n v="0.33333333333333331"/>
    <n v="0.77777777777777779"/>
  </r>
  <r>
    <n v="52"/>
    <s v="No"/>
    <s v="Non-Travel"/>
    <n v="771"/>
    <x v="0"/>
    <n v="2"/>
    <n v="4"/>
    <s v="Life Sciences"/>
    <n v="1"/>
    <n v="329"/>
    <n v="1"/>
    <s v="Male"/>
    <n v="79"/>
    <n v="2"/>
    <n v="5"/>
    <x v="5"/>
    <n v="3"/>
    <s v="Single"/>
    <n v="19068"/>
    <n v="21030"/>
    <n v="1"/>
    <s v="Y"/>
    <s v="Yes"/>
    <n v="18"/>
    <n v="3"/>
    <n v="4"/>
    <n v="80"/>
    <n v="0"/>
    <n v="33"/>
    <n v="2"/>
    <n v="4"/>
    <n v="33"/>
    <n v="7"/>
    <n v="15"/>
    <n v="12"/>
    <s v="OK"/>
    <s v="OK"/>
    <s v="OK"/>
    <s v="OK"/>
    <x v="31"/>
    <n v="0.21212121212121213"/>
    <n v="6.0606060606060608E-2"/>
    <n v="0.36363636363636365"/>
  </r>
  <r>
    <n v="32"/>
    <s v="No"/>
    <s v="Travel_Rarely"/>
    <n v="1401"/>
    <x v="0"/>
    <n v="4"/>
    <n v="2"/>
    <s v="Life Sciences"/>
    <n v="1"/>
    <n v="330"/>
    <n v="3"/>
    <s v="Female"/>
    <n v="56"/>
    <n v="3"/>
    <n v="1"/>
    <x v="6"/>
    <n v="2"/>
    <s v="Married"/>
    <n v="3931"/>
    <n v="20990"/>
    <n v="2"/>
    <s v="Y"/>
    <s v="No"/>
    <n v="11"/>
    <n v="3"/>
    <n v="1"/>
    <n v="80"/>
    <n v="1"/>
    <n v="6"/>
    <n v="5"/>
    <n v="3"/>
    <n v="4"/>
    <n v="3"/>
    <n v="1"/>
    <n v="2"/>
    <s v="OK"/>
    <s v="OK"/>
    <s v="OK"/>
    <s v="OK"/>
    <x v="10"/>
    <n v="0.75"/>
    <n v="1.25"/>
    <n v="0.5"/>
  </r>
  <r>
    <n v="32"/>
    <s v="Yes"/>
    <s v="Travel_Rarely"/>
    <n v="515"/>
    <x v="1"/>
    <n v="1"/>
    <n v="3"/>
    <s v="Life Sciences"/>
    <n v="1"/>
    <n v="331"/>
    <n v="4"/>
    <s v="Male"/>
    <n v="62"/>
    <n v="2"/>
    <n v="1"/>
    <x v="2"/>
    <n v="3"/>
    <s v="Single"/>
    <n v="3730"/>
    <n v="9571"/>
    <n v="0"/>
    <s v="Y"/>
    <s v="Yes"/>
    <n v="14"/>
    <n v="3"/>
    <n v="4"/>
    <n v="80"/>
    <n v="0"/>
    <n v="4"/>
    <n v="2"/>
    <n v="1"/>
    <n v="3"/>
    <n v="2"/>
    <n v="1"/>
    <n v="2"/>
    <s v="OK"/>
    <s v="OK"/>
    <s v="OK"/>
    <s v="OK"/>
    <x v="9"/>
    <n v="0.66666666666666663"/>
    <n v="0.66666666666666663"/>
    <n v="0.66666666666666663"/>
  </r>
  <r>
    <n v="39"/>
    <s v="No"/>
    <s v="Travel_Rarely"/>
    <n v="1431"/>
    <x v="1"/>
    <n v="1"/>
    <n v="4"/>
    <s v="Medical"/>
    <n v="1"/>
    <n v="332"/>
    <n v="3"/>
    <s v="Female"/>
    <n v="96"/>
    <n v="3"/>
    <n v="1"/>
    <x v="2"/>
    <n v="3"/>
    <s v="Divorced"/>
    <n v="2232"/>
    <n v="15417"/>
    <n v="7"/>
    <s v="Y"/>
    <s v="No"/>
    <n v="14"/>
    <n v="3"/>
    <n v="3"/>
    <n v="80"/>
    <n v="3"/>
    <n v="7"/>
    <n v="1"/>
    <n v="3"/>
    <n v="3"/>
    <n v="2"/>
    <n v="1"/>
    <n v="2"/>
    <s v="OK"/>
    <s v="OK"/>
    <s v="OK"/>
    <s v="OK"/>
    <x v="9"/>
    <n v="0.66666666666666663"/>
    <n v="0.33333333333333331"/>
    <n v="0.66666666666666663"/>
  </r>
  <r>
    <n v="32"/>
    <s v="No"/>
    <s v="Non-Travel"/>
    <n v="976"/>
    <x v="0"/>
    <n v="26"/>
    <n v="4"/>
    <s v="Marketing"/>
    <n v="1"/>
    <n v="333"/>
    <n v="3"/>
    <s v="Male"/>
    <n v="100"/>
    <n v="3"/>
    <n v="2"/>
    <x v="0"/>
    <n v="4"/>
    <s v="Married"/>
    <n v="4465"/>
    <n v="12069"/>
    <n v="0"/>
    <s v="Y"/>
    <s v="No"/>
    <n v="18"/>
    <n v="3"/>
    <n v="1"/>
    <n v="80"/>
    <n v="0"/>
    <n v="4"/>
    <n v="2"/>
    <n v="3"/>
    <n v="3"/>
    <n v="2"/>
    <n v="2"/>
    <n v="2"/>
    <s v="OK"/>
    <s v="OK"/>
    <s v="OK"/>
    <s v="OK"/>
    <x v="34"/>
    <n v="0.66666666666666663"/>
    <n v="0.66666666666666663"/>
    <n v="0.66666666666666663"/>
  </r>
  <r>
    <n v="41"/>
    <s v="No"/>
    <s v="Travel_Rarely"/>
    <n v="1411"/>
    <x v="1"/>
    <n v="19"/>
    <n v="2"/>
    <s v="Life Sciences"/>
    <n v="1"/>
    <n v="334"/>
    <n v="3"/>
    <s v="Male"/>
    <n v="36"/>
    <n v="3"/>
    <n v="2"/>
    <x v="1"/>
    <n v="1"/>
    <s v="Divorced"/>
    <n v="3072"/>
    <n v="19877"/>
    <n v="2"/>
    <s v="Y"/>
    <s v="No"/>
    <n v="16"/>
    <n v="3"/>
    <n v="1"/>
    <n v="80"/>
    <n v="2"/>
    <n v="17"/>
    <n v="2"/>
    <n v="2"/>
    <n v="1"/>
    <n v="0"/>
    <n v="0"/>
    <n v="0"/>
    <s v="OK"/>
    <s v="OK"/>
    <s v="OK"/>
    <s v="OK"/>
    <x v="0"/>
    <n v="0"/>
    <n v="2"/>
    <n v="0"/>
  </r>
  <r>
    <n v="40"/>
    <s v="No"/>
    <s v="Travel_Rarely"/>
    <n v="1300"/>
    <x v="1"/>
    <n v="24"/>
    <n v="2"/>
    <s v="Technical Degree"/>
    <n v="1"/>
    <n v="335"/>
    <n v="1"/>
    <s v="Male"/>
    <n v="62"/>
    <n v="3"/>
    <n v="2"/>
    <x v="1"/>
    <n v="4"/>
    <s v="Divorced"/>
    <n v="3319"/>
    <n v="24447"/>
    <n v="1"/>
    <s v="Y"/>
    <s v="No"/>
    <n v="17"/>
    <n v="3"/>
    <n v="1"/>
    <n v="80"/>
    <n v="2"/>
    <n v="9"/>
    <n v="3"/>
    <n v="3"/>
    <n v="9"/>
    <n v="8"/>
    <n v="4"/>
    <n v="7"/>
    <s v="OK"/>
    <s v="OK"/>
    <s v="OK"/>
    <s v="OK"/>
    <x v="14"/>
    <n v="0.88888888888888884"/>
    <n v="0.33333333333333331"/>
    <n v="0.77777777777777779"/>
  </r>
  <r>
    <n v="45"/>
    <s v="No"/>
    <s v="Travel_Rarely"/>
    <n v="252"/>
    <x v="1"/>
    <n v="1"/>
    <n v="3"/>
    <s v="Other"/>
    <n v="1"/>
    <n v="336"/>
    <n v="3"/>
    <s v="Male"/>
    <n v="70"/>
    <n v="4"/>
    <n v="5"/>
    <x v="5"/>
    <n v="4"/>
    <s v="Married"/>
    <n v="19202"/>
    <n v="15970"/>
    <n v="0"/>
    <s v="Y"/>
    <s v="No"/>
    <n v="11"/>
    <n v="3"/>
    <n v="3"/>
    <n v="80"/>
    <n v="1"/>
    <n v="25"/>
    <n v="2"/>
    <n v="3"/>
    <n v="24"/>
    <n v="0"/>
    <n v="1"/>
    <n v="7"/>
    <s v="OK"/>
    <s v="OK"/>
    <s v="OK"/>
    <s v="OK"/>
    <x v="54"/>
    <n v="0"/>
    <n v="8.3333333333333329E-2"/>
    <n v="0.29166666666666669"/>
  </r>
  <r>
    <n v="31"/>
    <s v="No"/>
    <s v="Travel_Frequently"/>
    <n v="1327"/>
    <x v="1"/>
    <n v="3"/>
    <n v="4"/>
    <s v="Medical"/>
    <n v="1"/>
    <n v="337"/>
    <n v="2"/>
    <s v="Male"/>
    <n v="73"/>
    <n v="3"/>
    <n v="3"/>
    <x v="7"/>
    <n v="3"/>
    <s v="Divorced"/>
    <n v="13675"/>
    <n v="13523"/>
    <n v="9"/>
    <s v="Y"/>
    <s v="No"/>
    <n v="12"/>
    <n v="3"/>
    <n v="1"/>
    <n v="80"/>
    <n v="1"/>
    <n v="9"/>
    <n v="3"/>
    <n v="3"/>
    <n v="2"/>
    <n v="2"/>
    <n v="2"/>
    <n v="2"/>
    <s v="OK"/>
    <s v="OK"/>
    <s v="OK"/>
    <s v="OK"/>
    <x v="3"/>
    <n v="1"/>
    <n v="1.5"/>
    <n v="1"/>
  </r>
  <r>
    <n v="33"/>
    <s v="No"/>
    <s v="Travel_Rarely"/>
    <n v="832"/>
    <x v="1"/>
    <n v="5"/>
    <n v="4"/>
    <s v="Life Sciences"/>
    <n v="1"/>
    <n v="338"/>
    <n v="3"/>
    <s v="Female"/>
    <n v="63"/>
    <n v="2"/>
    <n v="1"/>
    <x v="1"/>
    <n v="4"/>
    <s v="Married"/>
    <n v="2911"/>
    <n v="14776"/>
    <n v="1"/>
    <s v="Y"/>
    <s v="No"/>
    <n v="13"/>
    <n v="3"/>
    <n v="3"/>
    <n v="80"/>
    <n v="1"/>
    <n v="2"/>
    <n v="2"/>
    <n v="2"/>
    <n v="2"/>
    <n v="2"/>
    <n v="0"/>
    <n v="2"/>
    <s v="OK"/>
    <s v="OK"/>
    <s v="OK"/>
    <s v="OK"/>
    <x v="0"/>
    <n v="1"/>
    <n v="1"/>
    <n v="1"/>
  </r>
  <r>
    <n v="34"/>
    <s v="No"/>
    <s v="Travel_Rarely"/>
    <n v="470"/>
    <x v="1"/>
    <n v="2"/>
    <n v="4"/>
    <s v="Life Sciences"/>
    <n v="1"/>
    <n v="339"/>
    <n v="4"/>
    <s v="Male"/>
    <n v="84"/>
    <n v="2"/>
    <n v="2"/>
    <x v="3"/>
    <n v="1"/>
    <s v="Married"/>
    <n v="5957"/>
    <n v="23687"/>
    <n v="6"/>
    <s v="Y"/>
    <s v="No"/>
    <n v="13"/>
    <n v="3"/>
    <n v="2"/>
    <n v="80"/>
    <n v="1"/>
    <n v="13"/>
    <n v="3"/>
    <n v="3"/>
    <n v="11"/>
    <n v="9"/>
    <n v="5"/>
    <n v="9"/>
    <s v="OK"/>
    <s v="OK"/>
    <s v="OK"/>
    <s v="OK"/>
    <x v="31"/>
    <n v="0.81818181818181823"/>
    <n v="0.27272727272727271"/>
    <n v="0.81818181818181823"/>
  </r>
  <r>
    <n v="37"/>
    <s v="No"/>
    <s v="Travel_Rarely"/>
    <n v="1017"/>
    <x v="1"/>
    <n v="1"/>
    <n v="2"/>
    <s v="Medical"/>
    <n v="1"/>
    <n v="340"/>
    <n v="3"/>
    <s v="Female"/>
    <n v="83"/>
    <n v="2"/>
    <n v="1"/>
    <x v="1"/>
    <n v="1"/>
    <s v="Married"/>
    <n v="3920"/>
    <n v="18697"/>
    <n v="2"/>
    <s v="Y"/>
    <s v="No"/>
    <n v="14"/>
    <n v="3"/>
    <n v="1"/>
    <n v="80"/>
    <n v="1"/>
    <n v="17"/>
    <n v="2"/>
    <n v="2"/>
    <n v="3"/>
    <n v="1"/>
    <n v="0"/>
    <n v="2"/>
    <s v="OK"/>
    <s v="OK"/>
    <s v="OK"/>
    <s v="OK"/>
    <x v="0"/>
    <n v="0.33333333333333331"/>
    <n v="0.66666666666666663"/>
    <n v="0.66666666666666663"/>
  </r>
  <r>
    <n v="45"/>
    <s v="No"/>
    <s v="Travel_Frequently"/>
    <n v="1199"/>
    <x v="1"/>
    <n v="7"/>
    <n v="4"/>
    <s v="Life Sciences"/>
    <n v="1"/>
    <n v="341"/>
    <n v="1"/>
    <s v="Male"/>
    <n v="77"/>
    <n v="4"/>
    <n v="2"/>
    <x v="3"/>
    <n v="3"/>
    <s v="Married"/>
    <n v="6434"/>
    <n v="5118"/>
    <n v="4"/>
    <s v="Y"/>
    <s v="No"/>
    <n v="17"/>
    <n v="3"/>
    <n v="4"/>
    <n v="80"/>
    <n v="1"/>
    <n v="9"/>
    <n v="1"/>
    <n v="3"/>
    <n v="3"/>
    <n v="2"/>
    <n v="0"/>
    <n v="2"/>
    <s v="OK"/>
    <s v="OK"/>
    <s v="OK"/>
    <s v="OK"/>
    <x v="0"/>
    <n v="0.66666666666666663"/>
    <n v="0.33333333333333331"/>
    <n v="0.66666666666666663"/>
  </r>
  <r>
    <n v="37"/>
    <s v="Yes"/>
    <s v="Travel_Frequently"/>
    <n v="504"/>
    <x v="1"/>
    <n v="10"/>
    <n v="3"/>
    <s v="Medical"/>
    <n v="1"/>
    <n v="342"/>
    <n v="1"/>
    <s v="Male"/>
    <n v="61"/>
    <n v="3"/>
    <n v="3"/>
    <x v="3"/>
    <n v="3"/>
    <s v="Divorced"/>
    <n v="10048"/>
    <n v="22573"/>
    <n v="6"/>
    <s v="Y"/>
    <s v="No"/>
    <n v="11"/>
    <n v="3"/>
    <n v="2"/>
    <n v="80"/>
    <n v="2"/>
    <n v="17"/>
    <n v="5"/>
    <n v="3"/>
    <n v="1"/>
    <n v="0"/>
    <n v="0"/>
    <n v="0"/>
    <s v="OK"/>
    <s v="OK"/>
    <s v="OK"/>
    <s v="OK"/>
    <x v="0"/>
    <n v="0"/>
    <n v="5"/>
    <n v="0"/>
  </r>
  <r>
    <n v="39"/>
    <s v="No"/>
    <s v="Travel_Frequently"/>
    <n v="505"/>
    <x v="1"/>
    <n v="2"/>
    <n v="4"/>
    <s v="Technical Degree"/>
    <n v="1"/>
    <n v="343"/>
    <n v="3"/>
    <s v="Female"/>
    <n v="64"/>
    <n v="3"/>
    <n v="3"/>
    <x v="4"/>
    <n v="3"/>
    <s v="Single"/>
    <n v="10938"/>
    <n v="6420"/>
    <n v="0"/>
    <s v="Y"/>
    <s v="No"/>
    <n v="25"/>
    <n v="4"/>
    <n v="4"/>
    <n v="80"/>
    <n v="0"/>
    <n v="20"/>
    <n v="1"/>
    <n v="3"/>
    <n v="19"/>
    <n v="6"/>
    <n v="11"/>
    <n v="8"/>
    <s v="OK"/>
    <s v="OK"/>
    <s v="OK"/>
    <s v="OK"/>
    <x v="55"/>
    <n v="0.31578947368421051"/>
    <n v="5.2631578947368418E-2"/>
    <n v="0.42105263157894735"/>
  </r>
  <r>
    <n v="29"/>
    <s v="No"/>
    <s v="Travel_Rarely"/>
    <n v="665"/>
    <x v="1"/>
    <n v="15"/>
    <n v="3"/>
    <s v="Life Sciences"/>
    <n v="1"/>
    <n v="346"/>
    <n v="3"/>
    <s v="Male"/>
    <n v="60"/>
    <n v="3"/>
    <n v="1"/>
    <x v="1"/>
    <n v="4"/>
    <s v="Single"/>
    <n v="2340"/>
    <n v="22673"/>
    <n v="1"/>
    <s v="Y"/>
    <s v="No"/>
    <n v="19"/>
    <n v="3"/>
    <n v="1"/>
    <n v="80"/>
    <n v="0"/>
    <n v="6"/>
    <n v="1"/>
    <n v="3"/>
    <n v="6"/>
    <n v="5"/>
    <n v="1"/>
    <n v="5"/>
    <s v="OK"/>
    <s v="OK"/>
    <s v="OK"/>
    <s v="OK"/>
    <x v="11"/>
    <n v="0.83333333333333337"/>
    <n v="0.16666666666666666"/>
    <n v="0.83333333333333337"/>
  </r>
  <r>
    <n v="42"/>
    <s v="No"/>
    <s v="Travel_Rarely"/>
    <n v="916"/>
    <x v="1"/>
    <n v="17"/>
    <n v="2"/>
    <s v="Life Sciences"/>
    <n v="1"/>
    <n v="347"/>
    <n v="4"/>
    <s v="Female"/>
    <n v="82"/>
    <n v="4"/>
    <n v="2"/>
    <x v="1"/>
    <n v="1"/>
    <s v="Single"/>
    <n v="6545"/>
    <n v="23016"/>
    <n v="3"/>
    <s v="Y"/>
    <s v="Yes"/>
    <n v="13"/>
    <n v="3"/>
    <n v="3"/>
    <n v="80"/>
    <n v="0"/>
    <n v="10"/>
    <n v="1"/>
    <n v="3"/>
    <n v="3"/>
    <n v="2"/>
    <n v="0"/>
    <n v="2"/>
    <s v="OK"/>
    <s v="OK"/>
    <s v="OK"/>
    <s v="OK"/>
    <x v="0"/>
    <n v="0.66666666666666663"/>
    <n v="0.33333333333333331"/>
    <n v="0.66666666666666663"/>
  </r>
  <r>
    <n v="29"/>
    <s v="No"/>
    <s v="Travel_Rarely"/>
    <n v="1247"/>
    <x v="0"/>
    <n v="20"/>
    <n v="2"/>
    <s v="Marketing"/>
    <n v="1"/>
    <n v="349"/>
    <n v="4"/>
    <s v="Male"/>
    <n v="45"/>
    <n v="3"/>
    <n v="2"/>
    <x v="0"/>
    <n v="4"/>
    <s v="Divorced"/>
    <n v="6931"/>
    <n v="10732"/>
    <n v="2"/>
    <s v="Y"/>
    <s v="No"/>
    <n v="14"/>
    <n v="3"/>
    <n v="4"/>
    <n v="80"/>
    <n v="1"/>
    <n v="10"/>
    <n v="2"/>
    <n v="3"/>
    <n v="3"/>
    <n v="2"/>
    <n v="0"/>
    <n v="2"/>
    <s v="OK"/>
    <s v="OK"/>
    <s v="OK"/>
    <s v="OK"/>
    <x v="0"/>
    <n v="0.66666666666666663"/>
    <n v="0.66666666666666663"/>
    <n v="0.66666666666666663"/>
  </r>
  <r>
    <n v="25"/>
    <s v="No"/>
    <s v="Travel_Rarely"/>
    <n v="685"/>
    <x v="1"/>
    <n v="1"/>
    <n v="3"/>
    <s v="Life Sciences"/>
    <n v="1"/>
    <n v="350"/>
    <n v="1"/>
    <s v="Female"/>
    <n v="62"/>
    <n v="3"/>
    <n v="2"/>
    <x v="3"/>
    <n v="3"/>
    <s v="Married"/>
    <n v="4898"/>
    <n v="7505"/>
    <n v="0"/>
    <s v="Y"/>
    <s v="No"/>
    <n v="12"/>
    <n v="3"/>
    <n v="4"/>
    <n v="80"/>
    <n v="2"/>
    <n v="5"/>
    <n v="3"/>
    <n v="3"/>
    <n v="4"/>
    <n v="2"/>
    <n v="1"/>
    <n v="2"/>
    <s v="OK"/>
    <s v="OK"/>
    <s v="OK"/>
    <s v="OK"/>
    <x v="10"/>
    <n v="0.5"/>
    <n v="0.75"/>
    <n v="0.5"/>
  </r>
  <r>
    <n v="42"/>
    <s v="No"/>
    <s v="Travel_Rarely"/>
    <n v="269"/>
    <x v="1"/>
    <n v="2"/>
    <n v="3"/>
    <s v="Medical"/>
    <n v="1"/>
    <n v="351"/>
    <n v="4"/>
    <s v="Female"/>
    <n v="56"/>
    <n v="2"/>
    <n v="1"/>
    <x v="2"/>
    <n v="1"/>
    <s v="Divorced"/>
    <n v="2593"/>
    <n v="8007"/>
    <n v="0"/>
    <s v="Y"/>
    <s v="Yes"/>
    <n v="11"/>
    <n v="3"/>
    <n v="3"/>
    <n v="80"/>
    <n v="1"/>
    <n v="10"/>
    <n v="4"/>
    <n v="3"/>
    <n v="9"/>
    <n v="6"/>
    <n v="7"/>
    <n v="8"/>
    <s v="OK"/>
    <s v="OK"/>
    <s v="OK"/>
    <s v="OK"/>
    <x v="21"/>
    <n v="0.66666666666666663"/>
    <n v="0.44444444444444442"/>
    <n v="0.88888888888888884"/>
  </r>
  <r>
    <n v="40"/>
    <s v="No"/>
    <s v="Travel_Rarely"/>
    <n v="1416"/>
    <x v="1"/>
    <n v="2"/>
    <n v="2"/>
    <s v="Medical"/>
    <n v="1"/>
    <n v="352"/>
    <n v="1"/>
    <s v="Male"/>
    <n v="49"/>
    <n v="3"/>
    <n v="5"/>
    <x v="7"/>
    <n v="3"/>
    <s v="Divorced"/>
    <n v="19436"/>
    <n v="5949"/>
    <n v="0"/>
    <s v="Y"/>
    <s v="No"/>
    <n v="19"/>
    <n v="3"/>
    <n v="4"/>
    <n v="80"/>
    <n v="1"/>
    <n v="22"/>
    <n v="5"/>
    <n v="3"/>
    <n v="21"/>
    <n v="7"/>
    <n v="3"/>
    <n v="9"/>
    <s v="OK"/>
    <s v="OK"/>
    <s v="OK"/>
    <s v="OK"/>
    <x v="20"/>
    <n v="0.33333333333333331"/>
    <n v="0.23809523809523808"/>
    <n v="0.42857142857142855"/>
  </r>
  <r>
    <n v="51"/>
    <s v="No"/>
    <s v="Travel_Rarely"/>
    <n v="833"/>
    <x v="1"/>
    <n v="1"/>
    <n v="3"/>
    <s v="Life Sciences"/>
    <n v="1"/>
    <n v="353"/>
    <n v="3"/>
    <s v="Male"/>
    <n v="96"/>
    <n v="3"/>
    <n v="1"/>
    <x v="1"/>
    <n v="4"/>
    <s v="Married"/>
    <n v="2723"/>
    <n v="23231"/>
    <n v="1"/>
    <s v="Y"/>
    <s v="No"/>
    <n v="11"/>
    <n v="3"/>
    <n v="2"/>
    <n v="80"/>
    <n v="0"/>
    <n v="1"/>
    <n v="0"/>
    <n v="2"/>
    <n v="1"/>
    <n v="0"/>
    <n v="0"/>
    <n v="0"/>
    <s v="OK"/>
    <s v="OK"/>
    <s v="OK"/>
    <s v="OK"/>
    <x v="0"/>
    <n v="0"/>
    <n v="0"/>
    <n v="0"/>
  </r>
  <r>
    <n v="31"/>
    <s v="Yes"/>
    <s v="Travel_Frequently"/>
    <n v="307"/>
    <x v="1"/>
    <n v="29"/>
    <n v="2"/>
    <s v="Medical"/>
    <n v="1"/>
    <n v="355"/>
    <n v="3"/>
    <s v="Male"/>
    <n v="71"/>
    <n v="2"/>
    <n v="1"/>
    <x v="2"/>
    <n v="2"/>
    <s v="Single"/>
    <n v="3479"/>
    <n v="11652"/>
    <n v="0"/>
    <s v="Y"/>
    <s v="No"/>
    <n v="11"/>
    <n v="3"/>
    <n v="2"/>
    <n v="80"/>
    <n v="0"/>
    <n v="6"/>
    <n v="2"/>
    <n v="4"/>
    <n v="5"/>
    <n v="4"/>
    <n v="1"/>
    <n v="4"/>
    <s v="OK"/>
    <s v="OK"/>
    <s v="OK"/>
    <s v="OK"/>
    <x v="16"/>
    <n v="0.8"/>
    <n v="0.4"/>
    <n v="0.8"/>
  </r>
  <r>
    <n v="32"/>
    <s v="No"/>
    <s v="Travel_Frequently"/>
    <n v="1311"/>
    <x v="1"/>
    <n v="7"/>
    <n v="3"/>
    <s v="Life Sciences"/>
    <n v="1"/>
    <n v="359"/>
    <n v="2"/>
    <s v="Male"/>
    <n v="100"/>
    <n v="4"/>
    <n v="1"/>
    <x v="2"/>
    <n v="2"/>
    <s v="Married"/>
    <n v="2794"/>
    <n v="26062"/>
    <n v="1"/>
    <s v="Y"/>
    <s v="No"/>
    <n v="20"/>
    <n v="4"/>
    <n v="3"/>
    <n v="80"/>
    <n v="0"/>
    <n v="5"/>
    <n v="3"/>
    <n v="1"/>
    <n v="5"/>
    <n v="1"/>
    <n v="0"/>
    <n v="3"/>
    <s v="OK"/>
    <s v="OK"/>
    <s v="OK"/>
    <s v="OK"/>
    <x v="0"/>
    <n v="0.2"/>
    <n v="0.6"/>
    <n v="0.6"/>
  </r>
  <r>
    <n v="38"/>
    <s v="No"/>
    <s v="Non-Travel"/>
    <n v="1327"/>
    <x v="0"/>
    <n v="2"/>
    <n v="2"/>
    <s v="Life Sciences"/>
    <n v="1"/>
    <n v="361"/>
    <n v="4"/>
    <s v="Male"/>
    <n v="39"/>
    <n v="2"/>
    <n v="2"/>
    <x v="0"/>
    <n v="4"/>
    <s v="Married"/>
    <n v="5249"/>
    <n v="19682"/>
    <n v="3"/>
    <s v="Y"/>
    <s v="No"/>
    <n v="18"/>
    <n v="3"/>
    <n v="4"/>
    <n v="80"/>
    <n v="1"/>
    <n v="13"/>
    <n v="0"/>
    <n v="3"/>
    <n v="8"/>
    <n v="7"/>
    <n v="7"/>
    <n v="5"/>
    <s v="OK"/>
    <s v="OK"/>
    <s v="OK"/>
    <s v="OK"/>
    <x v="43"/>
    <n v="0.875"/>
    <n v="0"/>
    <n v="0.625"/>
  </r>
  <r>
    <n v="32"/>
    <s v="No"/>
    <s v="Travel_Rarely"/>
    <n v="128"/>
    <x v="1"/>
    <n v="2"/>
    <n v="1"/>
    <s v="Technical Degree"/>
    <n v="1"/>
    <n v="362"/>
    <n v="4"/>
    <s v="Male"/>
    <n v="84"/>
    <n v="2"/>
    <n v="2"/>
    <x v="2"/>
    <n v="1"/>
    <s v="Single"/>
    <n v="2176"/>
    <n v="19737"/>
    <n v="4"/>
    <s v="Y"/>
    <s v="No"/>
    <n v="13"/>
    <n v="3"/>
    <n v="4"/>
    <n v="80"/>
    <n v="0"/>
    <n v="9"/>
    <n v="5"/>
    <n v="3"/>
    <n v="6"/>
    <n v="2"/>
    <n v="0"/>
    <n v="4"/>
    <s v="OK"/>
    <s v="OK"/>
    <s v="OK"/>
    <s v="OK"/>
    <x v="0"/>
    <n v="0.33333333333333331"/>
    <n v="0.83333333333333337"/>
    <n v="0.66666666666666663"/>
  </r>
  <r>
    <n v="46"/>
    <s v="No"/>
    <s v="Travel_Rarely"/>
    <n v="488"/>
    <x v="0"/>
    <n v="2"/>
    <n v="3"/>
    <s v="Technical Degree"/>
    <n v="1"/>
    <n v="363"/>
    <n v="3"/>
    <s v="Female"/>
    <n v="75"/>
    <n v="1"/>
    <n v="4"/>
    <x v="5"/>
    <n v="2"/>
    <s v="Married"/>
    <n v="16872"/>
    <n v="14977"/>
    <n v="3"/>
    <s v="Y"/>
    <s v="Yes"/>
    <n v="12"/>
    <n v="3"/>
    <n v="2"/>
    <n v="80"/>
    <n v="1"/>
    <n v="28"/>
    <n v="2"/>
    <n v="2"/>
    <n v="7"/>
    <n v="7"/>
    <n v="7"/>
    <n v="7"/>
    <s v="OK"/>
    <s v="OK"/>
    <s v="OK"/>
    <s v="OK"/>
    <x v="3"/>
    <n v="1"/>
    <n v="0.2857142857142857"/>
    <n v="1"/>
  </r>
  <r>
    <n v="28"/>
    <s v="Yes"/>
    <s v="Travel_Rarely"/>
    <n v="529"/>
    <x v="1"/>
    <n v="2"/>
    <n v="4"/>
    <s v="Life Sciences"/>
    <n v="1"/>
    <n v="364"/>
    <n v="1"/>
    <s v="Male"/>
    <n v="79"/>
    <n v="3"/>
    <n v="1"/>
    <x v="2"/>
    <n v="3"/>
    <s v="Single"/>
    <n v="3485"/>
    <n v="14935"/>
    <n v="2"/>
    <s v="Y"/>
    <s v="No"/>
    <n v="11"/>
    <n v="3"/>
    <n v="3"/>
    <n v="80"/>
    <n v="0"/>
    <n v="5"/>
    <n v="5"/>
    <n v="1"/>
    <n v="0"/>
    <n v="0"/>
    <n v="0"/>
    <n v="0"/>
    <s v="OK"/>
    <s v="OK"/>
    <s v="OK"/>
    <s v="OK"/>
    <x v="0"/>
    <n v="0"/>
    <n v="0"/>
    <n v="0"/>
  </r>
  <r>
    <n v="29"/>
    <s v="No"/>
    <s v="Travel_Rarely"/>
    <n v="1210"/>
    <x v="0"/>
    <n v="2"/>
    <n v="3"/>
    <s v="Medical"/>
    <n v="1"/>
    <n v="366"/>
    <n v="1"/>
    <s v="Male"/>
    <n v="78"/>
    <n v="2"/>
    <n v="2"/>
    <x v="0"/>
    <n v="2"/>
    <s v="Married"/>
    <n v="6644"/>
    <n v="3687"/>
    <n v="2"/>
    <s v="Y"/>
    <s v="No"/>
    <n v="19"/>
    <n v="3"/>
    <n v="2"/>
    <n v="80"/>
    <n v="2"/>
    <n v="10"/>
    <n v="2"/>
    <n v="3"/>
    <n v="0"/>
    <n v="0"/>
    <n v="0"/>
    <n v="0"/>
    <s v="OK"/>
    <s v="OK"/>
    <s v="OK"/>
    <s v="OK"/>
    <x v="0"/>
    <n v="0"/>
    <n v="0"/>
    <n v="0"/>
  </r>
  <r>
    <n v="31"/>
    <s v="No"/>
    <s v="Travel_Rarely"/>
    <n v="1463"/>
    <x v="1"/>
    <n v="23"/>
    <n v="3"/>
    <s v="Medical"/>
    <n v="1"/>
    <n v="367"/>
    <n v="2"/>
    <s v="Male"/>
    <n v="64"/>
    <n v="2"/>
    <n v="2"/>
    <x v="4"/>
    <n v="4"/>
    <s v="Married"/>
    <n v="5582"/>
    <n v="14408"/>
    <n v="0"/>
    <s v="Y"/>
    <s v="No"/>
    <n v="21"/>
    <n v="4"/>
    <n v="2"/>
    <n v="80"/>
    <n v="1"/>
    <n v="10"/>
    <n v="2"/>
    <n v="3"/>
    <n v="9"/>
    <n v="0"/>
    <n v="7"/>
    <n v="8"/>
    <s v="OK"/>
    <s v="OK"/>
    <s v="OK"/>
    <s v="OK"/>
    <x v="21"/>
    <n v="0"/>
    <n v="0.22222222222222221"/>
    <n v="0.88888888888888884"/>
  </r>
  <r>
    <n v="25"/>
    <s v="No"/>
    <s v="Non-Travel"/>
    <n v="675"/>
    <x v="1"/>
    <n v="5"/>
    <n v="2"/>
    <s v="Life Sciences"/>
    <n v="1"/>
    <n v="369"/>
    <n v="2"/>
    <s v="Male"/>
    <n v="85"/>
    <n v="4"/>
    <n v="2"/>
    <x v="4"/>
    <n v="1"/>
    <s v="Divorced"/>
    <n v="4000"/>
    <n v="18384"/>
    <n v="1"/>
    <s v="Y"/>
    <s v="No"/>
    <n v="12"/>
    <n v="3"/>
    <n v="4"/>
    <n v="80"/>
    <n v="2"/>
    <n v="6"/>
    <n v="2"/>
    <n v="3"/>
    <n v="6"/>
    <n v="3"/>
    <n v="1"/>
    <n v="5"/>
    <s v="OK"/>
    <s v="OK"/>
    <s v="OK"/>
    <s v="OK"/>
    <x v="11"/>
    <n v="0.5"/>
    <n v="0.33333333333333331"/>
    <n v="0.83333333333333337"/>
  </r>
  <r>
    <n v="45"/>
    <s v="No"/>
    <s v="Travel_Rarely"/>
    <n v="1385"/>
    <x v="1"/>
    <n v="20"/>
    <n v="2"/>
    <s v="Medical"/>
    <n v="1"/>
    <n v="372"/>
    <n v="3"/>
    <s v="Male"/>
    <n v="79"/>
    <n v="3"/>
    <n v="4"/>
    <x v="4"/>
    <n v="4"/>
    <s v="Married"/>
    <n v="13496"/>
    <n v="7501"/>
    <n v="0"/>
    <s v="Y"/>
    <s v="Yes"/>
    <n v="14"/>
    <n v="3"/>
    <n v="2"/>
    <n v="80"/>
    <n v="0"/>
    <n v="21"/>
    <n v="2"/>
    <n v="3"/>
    <n v="20"/>
    <n v="7"/>
    <n v="4"/>
    <n v="10"/>
    <s v="OK"/>
    <s v="OK"/>
    <s v="OK"/>
    <s v="OK"/>
    <x v="16"/>
    <n v="0.35"/>
    <n v="0.1"/>
    <n v="0.5"/>
  </r>
  <r>
    <n v="36"/>
    <s v="No"/>
    <s v="Travel_Rarely"/>
    <n v="1403"/>
    <x v="1"/>
    <n v="6"/>
    <n v="3"/>
    <s v="Life Sciences"/>
    <n v="1"/>
    <n v="373"/>
    <n v="4"/>
    <s v="Male"/>
    <n v="47"/>
    <n v="3"/>
    <n v="1"/>
    <x v="2"/>
    <n v="4"/>
    <s v="Married"/>
    <n v="3210"/>
    <n v="20251"/>
    <n v="0"/>
    <s v="Y"/>
    <s v="No"/>
    <n v="11"/>
    <n v="3"/>
    <n v="3"/>
    <n v="80"/>
    <n v="1"/>
    <n v="16"/>
    <n v="4"/>
    <n v="3"/>
    <n v="15"/>
    <n v="13"/>
    <n v="10"/>
    <n v="11"/>
    <s v="OK"/>
    <s v="OK"/>
    <s v="OK"/>
    <s v="OK"/>
    <x v="34"/>
    <n v="0.8666666666666667"/>
    <n v="0.26666666666666666"/>
    <n v="0.73333333333333328"/>
  </r>
  <r>
    <n v="55"/>
    <s v="No"/>
    <s v="Travel_Rarely"/>
    <n v="452"/>
    <x v="1"/>
    <n v="1"/>
    <n v="3"/>
    <s v="Medical"/>
    <n v="1"/>
    <n v="374"/>
    <n v="4"/>
    <s v="Male"/>
    <n v="81"/>
    <n v="3"/>
    <n v="5"/>
    <x v="5"/>
    <n v="1"/>
    <s v="Single"/>
    <n v="19045"/>
    <n v="18938"/>
    <n v="0"/>
    <s v="Y"/>
    <s v="Yes"/>
    <n v="14"/>
    <n v="3"/>
    <n v="3"/>
    <n v="80"/>
    <n v="0"/>
    <n v="37"/>
    <n v="2"/>
    <n v="3"/>
    <n v="36"/>
    <n v="10"/>
    <n v="4"/>
    <n v="13"/>
    <s v="OK"/>
    <s v="OK"/>
    <s v="OK"/>
    <s v="OK"/>
    <x v="5"/>
    <n v="0.27777777777777779"/>
    <n v="5.5555555555555552E-2"/>
    <n v="0.3611111111111111"/>
  </r>
  <r>
    <n v="47"/>
    <s v="Yes"/>
    <s v="Non-Travel"/>
    <n v="666"/>
    <x v="1"/>
    <n v="29"/>
    <n v="4"/>
    <s v="Life Sciences"/>
    <n v="1"/>
    <n v="376"/>
    <n v="1"/>
    <s v="Male"/>
    <n v="88"/>
    <n v="3"/>
    <n v="3"/>
    <x v="5"/>
    <n v="2"/>
    <s v="Married"/>
    <n v="11849"/>
    <n v="10268"/>
    <n v="1"/>
    <s v="Y"/>
    <s v="Yes"/>
    <n v="12"/>
    <n v="3"/>
    <n v="4"/>
    <n v="80"/>
    <n v="1"/>
    <n v="10"/>
    <n v="2"/>
    <n v="2"/>
    <n v="10"/>
    <n v="7"/>
    <n v="9"/>
    <n v="9"/>
    <s v="OK"/>
    <s v="OK"/>
    <s v="OK"/>
    <s v="OK"/>
    <x v="22"/>
    <n v="0.7"/>
    <n v="0.2"/>
    <n v="0.9"/>
  </r>
  <r>
    <n v="28"/>
    <s v="No"/>
    <s v="Travel_Rarely"/>
    <n v="1158"/>
    <x v="1"/>
    <n v="9"/>
    <n v="3"/>
    <s v="Medical"/>
    <n v="1"/>
    <n v="377"/>
    <n v="4"/>
    <s v="Male"/>
    <n v="94"/>
    <n v="3"/>
    <n v="1"/>
    <x v="1"/>
    <n v="4"/>
    <s v="Married"/>
    <n v="2070"/>
    <n v="2613"/>
    <n v="1"/>
    <s v="Y"/>
    <s v="No"/>
    <n v="23"/>
    <n v="4"/>
    <n v="4"/>
    <n v="80"/>
    <n v="1"/>
    <n v="5"/>
    <n v="3"/>
    <n v="2"/>
    <n v="5"/>
    <n v="2"/>
    <n v="0"/>
    <n v="4"/>
    <s v="OK"/>
    <s v="OK"/>
    <s v="OK"/>
    <s v="OK"/>
    <x v="0"/>
    <n v="0.4"/>
    <n v="0.6"/>
    <n v="0.8"/>
  </r>
  <r>
    <n v="37"/>
    <s v="No"/>
    <s v="Travel_Rarely"/>
    <n v="228"/>
    <x v="0"/>
    <n v="6"/>
    <n v="4"/>
    <s v="Medical"/>
    <n v="1"/>
    <n v="378"/>
    <n v="3"/>
    <s v="Male"/>
    <n v="98"/>
    <n v="3"/>
    <n v="2"/>
    <x v="0"/>
    <n v="4"/>
    <s v="Married"/>
    <n v="6502"/>
    <n v="22825"/>
    <n v="4"/>
    <s v="Y"/>
    <s v="No"/>
    <n v="14"/>
    <n v="3"/>
    <n v="2"/>
    <n v="80"/>
    <n v="1"/>
    <n v="7"/>
    <n v="5"/>
    <n v="4"/>
    <n v="5"/>
    <n v="4"/>
    <n v="0"/>
    <n v="1"/>
    <s v="OK"/>
    <s v="OK"/>
    <s v="OK"/>
    <s v="OK"/>
    <x v="0"/>
    <n v="0.8"/>
    <n v="1"/>
    <n v="0.2"/>
  </r>
  <r>
    <n v="21"/>
    <s v="No"/>
    <s v="Travel_Rarely"/>
    <n v="996"/>
    <x v="1"/>
    <n v="3"/>
    <n v="2"/>
    <s v="Medical"/>
    <n v="1"/>
    <n v="379"/>
    <n v="4"/>
    <s v="Male"/>
    <n v="100"/>
    <n v="2"/>
    <n v="1"/>
    <x v="1"/>
    <n v="3"/>
    <s v="Single"/>
    <n v="3230"/>
    <n v="10531"/>
    <n v="1"/>
    <s v="Y"/>
    <s v="No"/>
    <n v="17"/>
    <n v="3"/>
    <n v="1"/>
    <n v="80"/>
    <n v="0"/>
    <n v="3"/>
    <n v="4"/>
    <n v="4"/>
    <n v="3"/>
    <n v="2"/>
    <n v="1"/>
    <n v="0"/>
    <s v="OK"/>
    <s v="OK"/>
    <s v="OK"/>
    <s v="OK"/>
    <x v="9"/>
    <n v="0.66666666666666663"/>
    <n v="1.3333333333333333"/>
    <n v="0"/>
  </r>
  <r>
    <n v="37"/>
    <s v="No"/>
    <s v="Non-Travel"/>
    <n v="728"/>
    <x v="1"/>
    <n v="1"/>
    <n v="4"/>
    <s v="Medical"/>
    <n v="1"/>
    <n v="380"/>
    <n v="1"/>
    <s v="Female"/>
    <n v="80"/>
    <n v="3"/>
    <n v="3"/>
    <x v="7"/>
    <n v="4"/>
    <s v="Divorced"/>
    <n v="13603"/>
    <n v="11677"/>
    <n v="2"/>
    <s v="Y"/>
    <s v="Yes"/>
    <n v="18"/>
    <n v="3"/>
    <n v="1"/>
    <n v="80"/>
    <n v="2"/>
    <n v="15"/>
    <n v="2"/>
    <n v="3"/>
    <n v="5"/>
    <n v="2"/>
    <n v="0"/>
    <n v="2"/>
    <s v="OK"/>
    <s v="OK"/>
    <s v="OK"/>
    <s v="OK"/>
    <x v="0"/>
    <n v="0.4"/>
    <n v="0.4"/>
    <n v="0.4"/>
  </r>
  <r>
    <n v="35"/>
    <s v="No"/>
    <s v="Travel_Rarely"/>
    <n v="1315"/>
    <x v="1"/>
    <n v="22"/>
    <n v="3"/>
    <s v="Life Sciences"/>
    <n v="1"/>
    <n v="381"/>
    <n v="2"/>
    <s v="Female"/>
    <n v="71"/>
    <n v="4"/>
    <n v="3"/>
    <x v="5"/>
    <n v="2"/>
    <s v="Divorced"/>
    <n v="11996"/>
    <n v="19100"/>
    <n v="7"/>
    <s v="Y"/>
    <s v="No"/>
    <n v="18"/>
    <n v="3"/>
    <n v="2"/>
    <n v="80"/>
    <n v="1"/>
    <n v="10"/>
    <n v="6"/>
    <n v="2"/>
    <n v="7"/>
    <n v="7"/>
    <n v="6"/>
    <n v="2"/>
    <s v="OK"/>
    <s v="OK"/>
    <s v="OK"/>
    <s v="OK"/>
    <x v="56"/>
    <n v="1"/>
    <n v="0.8571428571428571"/>
    <n v="0.2857142857142857"/>
  </r>
  <r>
    <n v="38"/>
    <s v="No"/>
    <s v="Travel_Rarely"/>
    <n v="322"/>
    <x v="0"/>
    <n v="7"/>
    <n v="2"/>
    <s v="Medical"/>
    <n v="1"/>
    <n v="382"/>
    <n v="1"/>
    <s v="Female"/>
    <n v="44"/>
    <n v="4"/>
    <n v="2"/>
    <x v="0"/>
    <n v="1"/>
    <s v="Divorced"/>
    <n v="5605"/>
    <n v="19191"/>
    <n v="1"/>
    <s v="Y"/>
    <s v="Yes"/>
    <n v="24"/>
    <n v="4"/>
    <n v="3"/>
    <n v="80"/>
    <n v="1"/>
    <n v="8"/>
    <n v="3"/>
    <n v="3"/>
    <n v="8"/>
    <n v="0"/>
    <n v="7"/>
    <n v="7"/>
    <s v="OK"/>
    <s v="OK"/>
    <s v="OK"/>
    <s v="OK"/>
    <x v="43"/>
    <n v="0"/>
    <n v="0.375"/>
    <n v="0.875"/>
  </r>
  <r>
    <n v="26"/>
    <s v="No"/>
    <s v="Travel_Frequently"/>
    <n v="1479"/>
    <x v="1"/>
    <n v="1"/>
    <n v="3"/>
    <s v="Life Sciences"/>
    <n v="1"/>
    <n v="384"/>
    <n v="3"/>
    <s v="Female"/>
    <n v="84"/>
    <n v="3"/>
    <n v="2"/>
    <x v="3"/>
    <n v="2"/>
    <s v="Divorced"/>
    <n v="6397"/>
    <n v="26767"/>
    <n v="1"/>
    <s v="Y"/>
    <s v="No"/>
    <n v="20"/>
    <n v="4"/>
    <n v="1"/>
    <n v="80"/>
    <n v="1"/>
    <n v="6"/>
    <n v="6"/>
    <n v="1"/>
    <n v="6"/>
    <n v="5"/>
    <n v="1"/>
    <n v="4"/>
    <s v="OK"/>
    <s v="OK"/>
    <s v="OK"/>
    <s v="OK"/>
    <x v="11"/>
    <n v="0.83333333333333337"/>
    <n v="1"/>
    <n v="0.66666666666666663"/>
  </r>
  <r>
    <n v="50"/>
    <s v="No"/>
    <s v="Travel_Rarely"/>
    <n v="797"/>
    <x v="1"/>
    <n v="4"/>
    <n v="1"/>
    <s v="Life Sciences"/>
    <n v="1"/>
    <n v="385"/>
    <n v="1"/>
    <s v="Male"/>
    <n v="96"/>
    <n v="3"/>
    <n v="5"/>
    <x v="7"/>
    <n v="2"/>
    <s v="Divorced"/>
    <n v="19144"/>
    <n v="15815"/>
    <n v="3"/>
    <s v="Y"/>
    <s v="No"/>
    <n v="14"/>
    <n v="3"/>
    <n v="1"/>
    <n v="80"/>
    <n v="2"/>
    <n v="28"/>
    <n v="4"/>
    <n v="2"/>
    <n v="10"/>
    <n v="4"/>
    <n v="1"/>
    <n v="6"/>
    <s v="OK"/>
    <s v="OK"/>
    <s v="OK"/>
    <s v="OK"/>
    <x v="1"/>
    <n v="0.4"/>
    <n v="0.4"/>
    <n v="0.6"/>
  </r>
  <r>
    <n v="53"/>
    <s v="No"/>
    <s v="Travel_Rarely"/>
    <n v="1070"/>
    <x v="1"/>
    <n v="3"/>
    <n v="4"/>
    <s v="Medical"/>
    <n v="1"/>
    <n v="386"/>
    <n v="3"/>
    <s v="Male"/>
    <n v="45"/>
    <n v="3"/>
    <n v="4"/>
    <x v="7"/>
    <n v="3"/>
    <s v="Married"/>
    <n v="17584"/>
    <n v="21016"/>
    <n v="3"/>
    <s v="Y"/>
    <s v="Yes"/>
    <n v="16"/>
    <n v="3"/>
    <n v="4"/>
    <n v="80"/>
    <n v="3"/>
    <n v="21"/>
    <n v="5"/>
    <n v="2"/>
    <n v="5"/>
    <n v="3"/>
    <n v="1"/>
    <n v="3"/>
    <s v="OK"/>
    <s v="OK"/>
    <s v="OK"/>
    <s v="OK"/>
    <x v="16"/>
    <n v="0.6"/>
    <n v="1"/>
    <n v="0.6"/>
  </r>
  <r>
    <n v="42"/>
    <s v="No"/>
    <s v="Travel_Rarely"/>
    <n v="635"/>
    <x v="0"/>
    <n v="1"/>
    <n v="1"/>
    <s v="Life Sciences"/>
    <n v="1"/>
    <n v="387"/>
    <n v="2"/>
    <s v="Male"/>
    <n v="99"/>
    <n v="3"/>
    <n v="2"/>
    <x v="0"/>
    <n v="3"/>
    <s v="Married"/>
    <n v="4907"/>
    <n v="24532"/>
    <n v="1"/>
    <s v="Y"/>
    <s v="No"/>
    <n v="25"/>
    <n v="4"/>
    <n v="3"/>
    <n v="80"/>
    <n v="0"/>
    <n v="20"/>
    <n v="3"/>
    <n v="3"/>
    <n v="20"/>
    <n v="16"/>
    <n v="11"/>
    <n v="6"/>
    <s v="OK"/>
    <s v="OK"/>
    <s v="OK"/>
    <s v="OK"/>
    <x v="47"/>
    <n v="0.8"/>
    <n v="0.15"/>
    <n v="0.3"/>
  </r>
  <r>
    <n v="29"/>
    <s v="No"/>
    <s v="Travel_Frequently"/>
    <n v="442"/>
    <x v="0"/>
    <n v="2"/>
    <n v="2"/>
    <s v="Life Sciences"/>
    <n v="1"/>
    <n v="388"/>
    <n v="2"/>
    <s v="Male"/>
    <n v="44"/>
    <n v="3"/>
    <n v="2"/>
    <x v="0"/>
    <n v="4"/>
    <s v="Single"/>
    <n v="4554"/>
    <n v="20260"/>
    <n v="1"/>
    <s v="Y"/>
    <s v="No"/>
    <n v="18"/>
    <n v="3"/>
    <n v="1"/>
    <n v="80"/>
    <n v="0"/>
    <n v="10"/>
    <n v="3"/>
    <n v="2"/>
    <n v="10"/>
    <n v="7"/>
    <n v="0"/>
    <n v="9"/>
    <s v="OK"/>
    <s v="OK"/>
    <s v="OK"/>
    <s v="OK"/>
    <x v="0"/>
    <n v="0.7"/>
    <n v="0.3"/>
    <n v="0.9"/>
  </r>
  <r>
    <n v="55"/>
    <s v="No"/>
    <s v="Travel_Rarely"/>
    <n v="147"/>
    <x v="1"/>
    <n v="20"/>
    <n v="2"/>
    <s v="Technical Degree"/>
    <n v="1"/>
    <n v="389"/>
    <n v="2"/>
    <s v="Male"/>
    <n v="37"/>
    <n v="3"/>
    <n v="2"/>
    <x v="2"/>
    <n v="4"/>
    <s v="Married"/>
    <n v="5415"/>
    <n v="15972"/>
    <n v="3"/>
    <s v="Y"/>
    <s v="Yes"/>
    <n v="19"/>
    <n v="3"/>
    <n v="4"/>
    <n v="80"/>
    <n v="1"/>
    <n v="12"/>
    <n v="4"/>
    <n v="3"/>
    <n v="10"/>
    <n v="7"/>
    <n v="0"/>
    <n v="8"/>
    <s v="OK"/>
    <s v="OK"/>
    <s v="OK"/>
    <s v="OK"/>
    <x v="0"/>
    <n v="0.7"/>
    <n v="0.4"/>
    <n v="0.8"/>
  </r>
  <r>
    <n v="26"/>
    <s v="No"/>
    <s v="Travel_Frequently"/>
    <n v="496"/>
    <x v="1"/>
    <n v="11"/>
    <n v="2"/>
    <s v="Medical"/>
    <n v="1"/>
    <n v="390"/>
    <n v="1"/>
    <s v="Male"/>
    <n v="60"/>
    <n v="3"/>
    <n v="2"/>
    <x v="4"/>
    <n v="1"/>
    <s v="Married"/>
    <n v="4741"/>
    <n v="22722"/>
    <n v="1"/>
    <s v="Y"/>
    <s v="Yes"/>
    <n v="13"/>
    <n v="3"/>
    <n v="3"/>
    <n v="80"/>
    <n v="1"/>
    <n v="5"/>
    <n v="3"/>
    <n v="3"/>
    <n v="5"/>
    <n v="3"/>
    <n v="3"/>
    <n v="3"/>
    <s v="OK"/>
    <s v="OK"/>
    <s v="OK"/>
    <s v="OK"/>
    <x v="13"/>
    <n v="0.6"/>
    <n v="0.6"/>
    <n v="0.6"/>
  </r>
  <r>
    <n v="37"/>
    <s v="No"/>
    <s v="Travel_Rarely"/>
    <n v="1372"/>
    <x v="1"/>
    <n v="1"/>
    <n v="3"/>
    <s v="Life Sciences"/>
    <n v="1"/>
    <n v="391"/>
    <n v="4"/>
    <s v="Female"/>
    <n v="42"/>
    <n v="3"/>
    <n v="1"/>
    <x v="1"/>
    <n v="4"/>
    <s v="Single"/>
    <n v="2115"/>
    <n v="15881"/>
    <n v="1"/>
    <s v="Y"/>
    <s v="No"/>
    <n v="12"/>
    <n v="3"/>
    <n v="2"/>
    <n v="80"/>
    <n v="0"/>
    <n v="17"/>
    <n v="3"/>
    <n v="3"/>
    <n v="17"/>
    <n v="12"/>
    <n v="5"/>
    <n v="7"/>
    <s v="OK"/>
    <s v="OK"/>
    <s v="OK"/>
    <s v="OK"/>
    <x v="57"/>
    <n v="0.70588235294117652"/>
    <n v="0.17647058823529413"/>
    <n v="0.41176470588235292"/>
  </r>
  <r>
    <n v="44"/>
    <s v="Yes"/>
    <s v="Travel_Frequently"/>
    <n v="920"/>
    <x v="1"/>
    <n v="24"/>
    <n v="3"/>
    <s v="Life Sciences"/>
    <n v="1"/>
    <n v="392"/>
    <n v="4"/>
    <s v="Male"/>
    <n v="43"/>
    <n v="3"/>
    <n v="1"/>
    <x v="2"/>
    <n v="3"/>
    <s v="Divorced"/>
    <n v="3161"/>
    <n v="19920"/>
    <n v="3"/>
    <s v="Y"/>
    <s v="Yes"/>
    <n v="22"/>
    <n v="4"/>
    <n v="4"/>
    <n v="80"/>
    <n v="1"/>
    <n v="19"/>
    <n v="0"/>
    <n v="1"/>
    <n v="1"/>
    <n v="0"/>
    <n v="0"/>
    <n v="0"/>
    <s v="OK"/>
    <s v="OK"/>
    <s v="OK"/>
    <s v="OK"/>
    <x v="0"/>
    <n v="0"/>
    <n v="0"/>
    <n v="0"/>
  </r>
  <r>
    <n v="38"/>
    <s v="No"/>
    <s v="Travel_Rarely"/>
    <n v="688"/>
    <x v="1"/>
    <n v="23"/>
    <n v="4"/>
    <s v="Life Sciences"/>
    <n v="1"/>
    <n v="393"/>
    <n v="4"/>
    <s v="Male"/>
    <n v="82"/>
    <n v="3"/>
    <n v="2"/>
    <x v="4"/>
    <n v="4"/>
    <s v="Divorced"/>
    <n v="5745"/>
    <n v="18899"/>
    <n v="9"/>
    <s v="Y"/>
    <s v="No"/>
    <n v="14"/>
    <n v="3"/>
    <n v="2"/>
    <n v="80"/>
    <n v="1"/>
    <n v="10"/>
    <n v="2"/>
    <n v="3"/>
    <n v="2"/>
    <n v="2"/>
    <n v="1"/>
    <n v="2"/>
    <s v="OK"/>
    <s v="OK"/>
    <s v="OK"/>
    <s v="OK"/>
    <x v="7"/>
    <n v="1"/>
    <n v="1"/>
    <n v="1"/>
  </r>
  <r>
    <n v="26"/>
    <s v="Yes"/>
    <s v="Travel_Rarely"/>
    <n v="1449"/>
    <x v="1"/>
    <n v="16"/>
    <n v="4"/>
    <s v="Medical"/>
    <n v="1"/>
    <n v="394"/>
    <n v="1"/>
    <s v="Male"/>
    <n v="45"/>
    <n v="3"/>
    <n v="1"/>
    <x v="2"/>
    <n v="2"/>
    <s v="Divorced"/>
    <n v="2373"/>
    <n v="14180"/>
    <n v="2"/>
    <s v="Y"/>
    <s v="Yes"/>
    <n v="13"/>
    <n v="3"/>
    <n v="4"/>
    <n v="80"/>
    <n v="1"/>
    <n v="5"/>
    <n v="2"/>
    <n v="3"/>
    <n v="3"/>
    <n v="2"/>
    <n v="0"/>
    <n v="2"/>
    <s v="OK"/>
    <s v="OK"/>
    <s v="OK"/>
    <s v="OK"/>
    <x v="0"/>
    <n v="0.66666666666666663"/>
    <n v="0.66666666666666663"/>
    <n v="0.66666666666666663"/>
  </r>
  <r>
    <n v="28"/>
    <s v="No"/>
    <s v="Travel_Rarely"/>
    <n v="1117"/>
    <x v="1"/>
    <n v="8"/>
    <n v="2"/>
    <s v="Life Sciences"/>
    <n v="1"/>
    <n v="395"/>
    <n v="4"/>
    <s v="Female"/>
    <n v="66"/>
    <n v="3"/>
    <n v="1"/>
    <x v="1"/>
    <n v="4"/>
    <s v="Single"/>
    <n v="3310"/>
    <n v="4488"/>
    <n v="1"/>
    <s v="Y"/>
    <s v="No"/>
    <n v="21"/>
    <n v="4"/>
    <n v="4"/>
    <n v="80"/>
    <n v="0"/>
    <n v="5"/>
    <n v="3"/>
    <n v="3"/>
    <n v="5"/>
    <n v="3"/>
    <n v="0"/>
    <n v="2"/>
    <s v="OK"/>
    <s v="OK"/>
    <s v="OK"/>
    <s v="OK"/>
    <x v="0"/>
    <n v="0.6"/>
    <n v="0.6"/>
    <n v="0.4"/>
  </r>
  <r>
    <n v="49"/>
    <s v="No"/>
    <s v="Travel_Frequently"/>
    <n v="636"/>
    <x v="1"/>
    <n v="10"/>
    <n v="4"/>
    <s v="Life Sciences"/>
    <n v="1"/>
    <n v="396"/>
    <n v="3"/>
    <s v="Female"/>
    <n v="35"/>
    <n v="3"/>
    <n v="5"/>
    <x v="7"/>
    <n v="1"/>
    <s v="Single"/>
    <n v="18665"/>
    <n v="25594"/>
    <n v="9"/>
    <s v="Y"/>
    <s v="Yes"/>
    <n v="11"/>
    <n v="3"/>
    <n v="4"/>
    <n v="80"/>
    <n v="0"/>
    <n v="22"/>
    <n v="4"/>
    <n v="3"/>
    <n v="3"/>
    <n v="2"/>
    <n v="1"/>
    <n v="2"/>
    <s v="OK"/>
    <s v="OK"/>
    <s v="OK"/>
    <s v="OK"/>
    <x v="9"/>
    <n v="0.66666666666666663"/>
    <n v="1.3333333333333333"/>
    <n v="0.66666666666666663"/>
  </r>
  <r>
    <n v="36"/>
    <s v="No"/>
    <s v="Travel_Rarely"/>
    <n v="506"/>
    <x v="1"/>
    <n v="3"/>
    <n v="3"/>
    <s v="Technical Degree"/>
    <n v="1"/>
    <n v="397"/>
    <n v="3"/>
    <s v="Male"/>
    <n v="30"/>
    <n v="3"/>
    <n v="2"/>
    <x v="1"/>
    <n v="2"/>
    <s v="Single"/>
    <n v="4485"/>
    <n v="26285"/>
    <n v="4"/>
    <s v="Y"/>
    <s v="No"/>
    <n v="12"/>
    <n v="3"/>
    <n v="4"/>
    <n v="80"/>
    <n v="0"/>
    <n v="10"/>
    <n v="2"/>
    <n v="3"/>
    <n v="8"/>
    <n v="0"/>
    <n v="7"/>
    <n v="7"/>
    <s v="OK"/>
    <s v="OK"/>
    <s v="OK"/>
    <s v="OK"/>
    <x v="43"/>
    <n v="0"/>
    <n v="0.25"/>
    <n v="0.875"/>
  </r>
  <r>
    <n v="31"/>
    <s v="No"/>
    <s v="Travel_Frequently"/>
    <n v="444"/>
    <x v="0"/>
    <n v="5"/>
    <n v="3"/>
    <s v="Marketing"/>
    <n v="1"/>
    <n v="399"/>
    <n v="4"/>
    <s v="Female"/>
    <n v="84"/>
    <n v="3"/>
    <n v="1"/>
    <x v="6"/>
    <n v="2"/>
    <s v="Divorced"/>
    <n v="2789"/>
    <n v="3909"/>
    <n v="1"/>
    <s v="Y"/>
    <s v="No"/>
    <n v="11"/>
    <n v="3"/>
    <n v="3"/>
    <n v="80"/>
    <n v="1"/>
    <n v="2"/>
    <n v="5"/>
    <n v="2"/>
    <n v="2"/>
    <n v="2"/>
    <n v="2"/>
    <n v="2"/>
    <s v="OK"/>
    <s v="OK"/>
    <s v="OK"/>
    <s v="OK"/>
    <x v="3"/>
    <n v="1"/>
    <n v="2.5"/>
    <n v="1"/>
  </r>
  <r>
    <n v="26"/>
    <s v="Yes"/>
    <s v="Travel_Rarely"/>
    <n v="950"/>
    <x v="0"/>
    <n v="4"/>
    <n v="4"/>
    <s v="Marketing"/>
    <n v="1"/>
    <n v="401"/>
    <n v="4"/>
    <s v="Male"/>
    <n v="48"/>
    <n v="2"/>
    <n v="2"/>
    <x v="0"/>
    <n v="4"/>
    <s v="Single"/>
    <n v="5828"/>
    <n v="8450"/>
    <n v="1"/>
    <s v="Y"/>
    <s v="Yes"/>
    <n v="12"/>
    <n v="3"/>
    <n v="2"/>
    <n v="80"/>
    <n v="0"/>
    <n v="8"/>
    <n v="0"/>
    <n v="3"/>
    <n v="8"/>
    <n v="7"/>
    <n v="7"/>
    <n v="4"/>
    <s v="OK"/>
    <s v="OK"/>
    <s v="OK"/>
    <s v="OK"/>
    <x v="43"/>
    <n v="0.875"/>
    <n v="0"/>
    <n v="0.5"/>
  </r>
  <r>
    <n v="37"/>
    <s v="No"/>
    <s v="Travel_Frequently"/>
    <n v="889"/>
    <x v="1"/>
    <n v="9"/>
    <n v="3"/>
    <s v="Medical"/>
    <n v="1"/>
    <n v="403"/>
    <n v="2"/>
    <s v="Male"/>
    <n v="53"/>
    <n v="3"/>
    <n v="1"/>
    <x v="1"/>
    <n v="4"/>
    <s v="Married"/>
    <n v="2326"/>
    <n v="11411"/>
    <n v="1"/>
    <s v="Y"/>
    <s v="Yes"/>
    <n v="12"/>
    <n v="3"/>
    <n v="3"/>
    <n v="80"/>
    <n v="3"/>
    <n v="4"/>
    <n v="3"/>
    <n v="2"/>
    <n v="4"/>
    <n v="2"/>
    <n v="1"/>
    <n v="2"/>
    <s v="OK"/>
    <s v="OK"/>
    <s v="OK"/>
    <s v="OK"/>
    <x v="10"/>
    <n v="0.5"/>
    <n v="0.75"/>
    <n v="0.5"/>
  </r>
  <r>
    <n v="42"/>
    <s v="No"/>
    <s v="Travel_Frequently"/>
    <n v="555"/>
    <x v="0"/>
    <n v="26"/>
    <n v="3"/>
    <s v="Marketing"/>
    <n v="1"/>
    <n v="404"/>
    <n v="3"/>
    <s v="Female"/>
    <n v="77"/>
    <n v="3"/>
    <n v="4"/>
    <x v="0"/>
    <n v="2"/>
    <s v="Married"/>
    <n v="13525"/>
    <n v="14864"/>
    <n v="5"/>
    <s v="Y"/>
    <s v="No"/>
    <n v="14"/>
    <n v="3"/>
    <n v="4"/>
    <n v="80"/>
    <n v="1"/>
    <n v="23"/>
    <n v="2"/>
    <n v="4"/>
    <n v="20"/>
    <n v="4"/>
    <n v="4"/>
    <n v="8"/>
    <s v="OK"/>
    <s v="OK"/>
    <s v="OK"/>
    <s v="OK"/>
    <x v="16"/>
    <n v="0.2"/>
    <n v="0.1"/>
    <n v="0.4"/>
  </r>
  <r>
    <n v="18"/>
    <s v="Yes"/>
    <s v="Travel_Rarely"/>
    <n v="230"/>
    <x v="1"/>
    <n v="3"/>
    <n v="3"/>
    <s v="Life Sciences"/>
    <n v="1"/>
    <n v="405"/>
    <n v="3"/>
    <s v="Male"/>
    <n v="54"/>
    <n v="3"/>
    <n v="1"/>
    <x v="2"/>
    <n v="3"/>
    <s v="Single"/>
    <n v="1420"/>
    <n v="25233"/>
    <n v="1"/>
    <s v="Y"/>
    <s v="No"/>
    <n v="13"/>
    <n v="3"/>
    <n v="3"/>
    <n v="80"/>
    <n v="0"/>
    <n v="0"/>
    <n v="2"/>
    <n v="3"/>
    <n v="0"/>
    <n v="0"/>
    <n v="0"/>
    <n v="0"/>
    <s v="OK"/>
    <s v="OK"/>
    <s v="OK"/>
    <s v="OK"/>
    <x v="0"/>
    <n v="0"/>
    <n v="0"/>
    <n v="0"/>
  </r>
  <r>
    <n v="35"/>
    <s v="No"/>
    <s v="Travel_Rarely"/>
    <n v="1232"/>
    <x v="0"/>
    <n v="16"/>
    <n v="3"/>
    <s v="Marketing"/>
    <n v="1"/>
    <n v="406"/>
    <n v="3"/>
    <s v="Male"/>
    <n v="96"/>
    <n v="3"/>
    <n v="3"/>
    <x v="0"/>
    <n v="2"/>
    <s v="Married"/>
    <n v="8020"/>
    <n v="5100"/>
    <n v="0"/>
    <s v="Y"/>
    <s v="No"/>
    <n v="15"/>
    <n v="3"/>
    <n v="3"/>
    <n v="80"/>
    <n v="2"/>
    <n v="12"/>
    <n v="3"/>
    <n v="2"/>
    <n v="11"/>
    <n v="9"/>
    <n v="6"/>
    <n v="9"/>
    <s v="OK"/>
    <s v="OK"/>
    <s v="OK"/>
    <s v="OK"/>
    <x v="58"/>
    <n v="0.81818181818181823"/>
    <n v="0.27272727272727271"/>
    <n v="0.81818181818181823"/>
  </r>
  <r>
    <n v="36"/>
    <s v="No"/>
    <s v="Travel_Frequently"/>
    <n v="566"/>
    <x v="1"/>
    <n v="18"/>
    <n v="4"/>
    <s v="Life Sciences"/>
    <n v="1"/>
    <n v="407"/>
    <n v="3"/>
    <s v="Male"/>
    <n v="81"/>
    <n v="4"/>
    <n v="1"/>
    <x v="2"/>
    <n v="4"/>
    <s v="Married"/>
    <n v="3688"/>
    <n v="7122"/>
    <n v="4"/>
    <s v="Y"/>
    <s v="No"/>
    <n v="18"/>
    <n v="3"/>
    <n v="4"/>
    <n v="80"/>
    <n v="2"/>
    <n v="4"/>
    <n v="2"/>
    <n v="3"/>
    <n v="1"/>
    <n v="0"/>
    <n v="0"/>
    <n v="0"/>
    <s v="OK"/>
    <s v="OK"/>
    <s v="OK"/>
    <s v="OK"/>
    <x v="0"/>
    <n v="0"/>
    <n v="2"/>
    <n v="0"/>
  </r>
  <r>
    <n v="51"/>
    <s v="No"/>
    <s v="Travel_Rarely"/>
    <n v="1302"/>
    <x v="1"/>
    <n v="2"/>
    <n v="3"/>
    <s v="Medical"/>
    <n v="1"/>
    <n v="408"/>
    <n v="4"/>
    <s v="Male"/>
    <n v="84"/>
    <n v="1"/>
    <n v="2"/>
    <x v="3"/>
    <n v="2"/>
    <s v="Divorced"/>
    <n v="5482"/>
    <n v="16321"/>
    <n v="5"/>
    <s v="Y"/>
    <s v="No"/>
    <n v="18"/>
    <n v="3"/>
    <n v="4"/>
    <n v="80"/>
    <n v="1"/>
    <n v="13"/>
    <n v="3"/>
    <n v="3"/>
    <n v="4"/>
    <n v="1"/>
    <n v="1"/>
    <n v="2"/>
    <s v="OK"/>
    <s v="OK"/>
    <s v="OK"/>
    <s v="OK"/>
    <x v="10"/>
    <n v="0.25"/>
    <n v="0.75"/>
    <n v="0.5"/>
  </r>
  <r>
    <n v="41"/>
    <s v="No"/>
    <s v="Travel_Rarely"/>
    <n v="334"/>
    <x v="0"/>
    <n v="2"/>
    <n v="4"/>
    <s v="Life Sciences"/>
    <n v="1"/>
    <n v="410"/>
    <n v="4"/>
    <s v="Male"/>
    <n v="88"/>
    <n v="3"/>
    <n v="4"/>
    <x v="5"/>
    <n v="2"/>
    <s v="Single"/>
    <n v="16015"/>
    <n v="15896"/>
    <n v="1"/>
    <s v="Y"/>
    <s v="No"/>
    <n v="19"/>
    <n v="3"/>
    <n v="2"/>
    <n v="80"/>
    <n v="0"/>
    <n v="22"/>
    <n v="2"/>
    <n v="3"/>
    <n v="22"/>
    <n v="10"/>
    <n v="0"/>
    <n v="4"/>
    <s v="OK"/>
    <s v="OK"/>
    <s v="OK"/>
    <s v="OK"/>
    <x v="0"/>
    <n v="0.45454545454545453"/>
    <n v="9.0909090909090912E-2"/>
    <n v="0.18181818181818182"/>
  </r>
  <r>
    <n v="18"/>
    <s v="No"/>
    <s v="Travel_Rarely"/>
    <n v="812"/>
    <x v="0"/>
    <n v="10"/>
    <n v="3"/>
    <s v="Medical"/>
    <n v="1"/>
    <n v="411"/>
    <n v="4"/>
    <s v="Female"/>
    <n v="69"/>
    <n v="2"/>
    <n v="1"/>
    <x v="6"/>
    <n v="3"/>
    <s v="Single"/>
    <n v="1200"/>
    <n v="9724"/>
    <n v="1"/>
    <s v="Y"/>
    <s v="No"/>
    <n v="12"/>
    <n v="3"/>
    <n v="1"/>
    <n v="80"/>
    <n v="0"/>
    <n v="0"/>
    <n v="2"/>
    <n v="3"/>
    <n v="0"/>
    <n v="0"/>
    <n v="0"/>
    <n v="0"/>
    <s v="OK"/>
    <s v="OK"/>
    <s v="OK"/>
    <s v="OK"/>
    <x v="0"/>
    <n v="0"/>
    <n v="0"/>
    <n v="0"/>
  </r>
  <r>
    <n v="28"/>
    <s v="No"/>
    <s v="Travel_Rarely"/>
    <n v="1476"/>
    <x v="1"/>
    <n v="16"/>
    <n v="2"/>
    <s v="Medical"/>
    <n v="1"/>
    <n v="412"/>
    <n v="2"/>
    <s v="Male"/>
    <n v="68"/>
    <n v="4"/>
    <n v="2"/>
    <x v="4"/>
    <n v="1"/>
    <s v="Single"/>
    <n v="5661"/>
    <n v="4824"/>
    <n v="0"/>
    <s v="Y"/>
    <s v="No"/>
    <n v="19"/>
    <n v="3"/>
    <n v="3"/>
    <n v="80"/>
    <n v="0"/>
    <n v="9"/>
    <n v="2"/>
    <n v="3"/>
    <n v="8"/>
    <n v="3"/>
    <n v="0"/>
    <n v="7"/>
    <s v="OK"/>
    <s v="OK"/>
    <s v="OK"/>
    <s v="OK"/>
    <x v="0"/>
    <n v="0.375"/>
    <n v="0.25"/>
    <n v="0.875"/>
  </r>
  <r>
    <n v="31"/>
    <s v="No"/>
    <s v="Travel_Rarely"/>
    <n v="218"/>
    <x v="0"/>
    <n v="7"/>
    <n v="3"/>
    <s v="Technical Degree"/>
    <n v="1"/>
    <n v="416"/>
    <n v="2"/>
    <s v="Male"/>
    <n v="100"/>
    <n v="4"/>
    <n v="2"/>
    <x v="0"/>
    <n v="4"/>
    <s v="Married"/>
    <n v="6929"/>
    <n v="12241"/>
    <n v="4"/>
    <s v="Y"/>
    <s v="No"/>
    <n v="11"/>
    <n v="3"/>
    <n v="2"/>
    <n v="80"/>
    <n v="1"/>
    <n v="10"/>
    <n v="3"/>
    <n v="2"/>
    <n v="8"/>
    <n v="7"/>
    <n v="7"/>
    <n v="7"/>
    <s v="OK"/>
    <s v="OK"/>
    <s v="OK"/>
    <s v="OK"/>
    <x v="43"/>
    <n v="0.875"/>
    <n v="0.375"/>
    <n v="0.875"/>
  </r>
  <r>
    <n v="39"/>
    <s v="No"/>
    <s v="Travel_Rarely"/>
    <n v="1132"/>
    <x v="1"/>
    <n v="1"/>
    <n v="3"/>
    <s v="Medical"/>
    <n v="1"/>
    <n v="417"/>
    <n v="3"/>
    <s v="Male"/>
    <n v="48"/>
    <n v="4"/>
    <n v="3"/>
    <x v="4"/>
    <n v="4"/>
    <s v="Divorced"/>
    <n v="9613"/>
    <n v="10942"/>
    <n v="0"/>
    <s v="Y"/>
    <s v="No"/>
    <n v="17"/>
    <n v="3"/>
    <n v="1"/>
    <n v="80"/>
    <n v="3"/>
    <n v="19"/>
    <n v="5"/>
    <n v="2"/>
    <n v="18"/>
    <n v="10"/>
    <n v="3"/>
    <n v="7"/>
    <s v="OK"/>
    <s v="OK"/>
    <s v="OK"/>
    <s v="OK"/>
    <x v="11"/>
    <n v="0.55555555555555558"/>
    <n v="0.27777777777777779"/>
    <n v="0.3888888888888889"/>
  </r>
  <r>
    <n v="36"/>
    <s v="No"/>
    <s v="Non-Travel"/>
    <n v="1105"/>
    <x v="1"/>
    <n v="24"/>
    <n v="4"/>
    <s v="Life Sciences"/>
    <n v="1"/>
    <n v="419"/>
    <n v="2"/>
    <s v="Female"/>
    <n v="47"/>
    <n v="3"/>
    <n v="2"/>
    <x v="2"/>
    <n v="2"/>
    <s v="Married"/>
    <n v="5674"/>
    <n v="6927"/>
    <n v="7"/>
    <s v="Y"/>
    <s v="No"/>
    <n v="15"/>
    <n v="3"/>
    <n v="3"/>
    <n v="80"/>
    <n v="1"/>
    <n v="11"/>
    <n v="3"/>
    <n v="3"/>
    <n v="9"/>
    <n v="8"/>
    <n v="0"/>
    <n v="8"/>
    <s v="OK"/>
    <s v="OK"/>
    <s v="OK"/>
    <s v="OK"/>
    <x v="0"/>
    <n v="0.88888888888888884"/>
    <n v="0.33333333333333331"/>
    <n v="0.88888888888888884"/>
  </r>
  <r>
    <n v="32"/>
    <s v="No"/>
    <s v="Travel_Rarely"/>
    <n v="906"/>
    <x v="0"/>
    <n v="7"/>
    <n v="3"/>
    <s v="Life Sciences"/>
    <n v="1"/>
    <n v="420"/>
    <n v="4"/>
    <s v="Male"/>
    <n v="91"/>
    <n v="2"/>
    <n v="2"/>
    <x v="0"/>
    <n v="3"/>
    <s v="Married"/>
    <n v="5484"/>
    <n v="16985"/>
    <n v="1"/>
    <s v="Y"/>
    <s v="No"/>
    <n v="14"/>
    <n v="3"/>
    <n v="3"/>
    <n v="80"/>
    <n v="1"/>
    <n v="13"/>
    <n v="3"/>
    <n v="2"/>
    <n v="13"/>
    <n v="8"/>
    <n v="4"/>
    <n v="8"/>
    <s v="OK"/>
    <s v="OK"/>
    <s v="OK"/>
    <s v="OK"/>
    <x v="59"/>
    <n v="0.61538461538461542"/>
    <n v="0.23076923076923078"/>
    <n v="0.61538461538461542"/>
  </r>
  <r>
    <n v="38"/>
    <s v="No"/>
    <s v="Travel_Rarely"/>
    <n v="849"/>
    <x v="1"/>
    <n v="25"/>
    <n v="2"/>
    <s v="Life Sciences"/>
    <n v="1"/>
    <n v="421"/>
    <n v="1"/>
    <s v="Female"/>
    <n v="81"/>
    <n v="2"/>
    <n v="3"/>
    <x v="7"/>
    <n v="2"/>
    <s v="Married"/>
    <n v="12061"/>
    <n v="26707"/>
    <n v="3"/>
    <s v="Y"/>
    <s v="No"/>
    <n v="17"/>
    <n v="3"/>
    <n v="3"/>
    <n v="80"/>
    <n v="1"/>
    <n v="19"/>
    <n v="2"/>
    <n v="3"/>
    <n v="10"/>
    <n v="8"/>
    <n v="0"/>
    <n v="1"/>
    <s v="OK"/>
    <s v="OK"/>
    <s v="OK"/>
    <s v="OK"/>
    <x v="0"/>
    <n v="0.8"/>
    <n v="0.2"/>
    <n v="0.1"/>
  </r>
  <r>
    <n v="58"/>
    <s v="No"/>
    <s v="Non-Travel"/>
    <n v="390"/>
    <x v="1"/>
    <n v="1"/>
    <n v="4"/>
    <s v="Life Sciences"/>
    <n v="1"/>
    <n v="422"/>
    <n v="4"/>
    <s v="Male"/>
    <n v="32"/>
    <n v="1"/>
    <n v="2"/>
    <x v="4"/>
    <n v="3"/>
    <s v="Divorced"/>
    <n v="5660"/>
    <n v="17056"/>
    <n v="2"/>
    <s v="Y"/>
    <s v="Yes"/>
    <n v="13"/>
    <n v="3"/>
    <n v="4"/>
    <n v="80"/>
    <n v="1"/>
    <n v="12"/>
    <n v="2"/>
    <n v="3"/>
    <n v="5"/>
    <n v="3"/>
    <n v="1"/>
    <n v="2"/>
    <s v="OK"/>
    <s v="OK"/>
    <s v="OK"/>
    <s v="OK"/>
    <x v="16"/>
    <n v="0.6"/>
    <n v="0.4"/>
    <n v="0.4"/>
  </r>
  <r>
    <n v="31"/>
    <s v="No"/>
    <s v="Travel_Rarely"/>
    <n v="691"/>
    <x v="1"/>
    <n v="5"/>
    <n v="4"/>
    <s v="Technical Degree"/>
    <n v="1"/>
    <n v="423"/>
    <n v="3"/>
    <s v="Male"/>
    <n v="86"/>
    <n v="3"/>
    <n v="1"/>
    <x v="1"/>
    <n v="4"/>
    <s v="Married"/>
    <n v="4821"/>
    <n v="10077"/>
    <n v="0"/>
    <s v="Y"/>
    <s v="Yes"/>
    <n v="12"/>
    <n v="3"/>
    <n v="3"/>
    <n v="80"/>
    <n v="1"/>
    <n v="6"/>
    <n v="4"/>
    <n v="3"/>
    <n v="5"/>
    <n v="2"/>
    <n v="0"/>
    <n v="3"/>
    <s v="OK"/>
    <s v="OK"/>
    <s v="OK"/>
    <s v="OK"/>
    <x v="0"/>
    <n v="0.4"/>
    <n v="0.8"/>
    <n v="0.6"/>
  </r>
  <r>
    <n v="31"/>
    <s v="No"/>
    <s v="Travel_Rarely"/>
    <n v="106"/>
    <x v="2"/>
    <n v="2"/>
    <n v="3"/>
    <s v="Human Resources"/>
    <n v="1"/>
    <n v="424"/>
    <n v="1"/>
    <s v="Male"/>
    <n v="62"/>
    <n v="2"/>
    <n v="2"/>
    <x v="8"/>
    <n v="1"/>
    <s v="Married"/>
    <n v="6410"/>
    <n v="17822"/>
    <n v="3"/>
    <s v="Y"/>
    <s v="No"/>
    <n v="12"/>
    <n v="3"/>
    <n v="4"/>
    <n v="80"/>
    <n v="0"/>
    <n v="9"/>
    <n v="1"/>
    <n v="3"/>
    <n v="2"/>
    <n v="2"/>
    <n v="1"/>
    <n v="0"/>
    <s v="OK"/>
    <s v="OK"/>
    <s v="OK"/>
    <s v="OK"/>
    <x v="7"/>
    <n v="1"/>
    <n v="0.5"/>
    <n v="0"/>
  </r>
  <r>
    <n v="45"/>
    <s v="No"/>
    <s v="Travel_Frequently"/>
    <n v="1249"/>
    <x v="1"/>
    <n v="7"/>
    <n v="3"/>
    <s v="Life Sciences"/>
    <n v="1"/>
    <n v="425"/>
    <n v="1"/>
    <s v="Male"/>
    <n v="97"/>
    <n v="3"/>
    <n v="3"/>
    <x v="2"/>
    <n v="1"/>
    <s v="Divorced"/>
    <n v="5210"/>
    <n v="20308"/>
    <n v="1"/>
    <s v="Y"/>
    <s v="No"/>
    <n v="18"/>
    <n v="3"/>
    <n v="1"/>
    <n v="80"/>
    <n v="1"/>
    <n v="24"/>
    <n v="2"/>
    <n v="3"/>
    <n v="24"/>
    <n v="9"/>
    <n v="9"/>
    <n v="11"/>
    <s v="OK"/>
    <s v="OK"/>
    <s v="OK"/>
    <s v="OK"/>
    <x v="2"/>
    <n v="0.375"/>
    <n v="8.3333333333333329E-2"/>
    <n v="0.45833333333333331"/>
  </r>
  <r>
    <n v="31"/>
    <s v="No"/>
    <s v="Travel_Rarely"/>
    <n v="192"/>
    <x v="1"/>
    <n v="2"/>
    <n v="4"/>
    <s v="Life Sciences"/>
    <n v="1"/>
    <n v="426"/>
    <n v="3"/>
    <s v="Male"/>
    <n v="32"/>
    <n v="3"/>
    <n v="1"/>
    <x v="1"/>
    <n v="4"/>
    <s v="Divorced"/>
    <n v="2695"/>
    <n v="7747"/>
    <n v="0"/>
    <s v="Y"/>
    <s v="Yes"/>
    <n v="18"/>
    <n v="3"/>
    <n v="2"/>
    <n v="80"/>
    <n v="1"/>
    <n v="3"/>
    <n v="2"/>
    <n v="1"/>
    <n v="2"/>
    <n v="2"/>
    <n v="2"/>
    <n v="2"/>
    <s v="OK"/>
    <s v="OK"/>
    <s v="OK"/>
    <s v="OK"/>
    <x v="3"/>
    <n v="1"/>
    <n v="1"/>
    <n v="1"/>
  </r>
  <r>
    <n v="33"/>
    <s v="No"/>
    <s v="Travel_Frequently"/>
    <n v="553"/>
    <x v="1"/>
    <n v="5"/>
    <n v="4"/>
    <s v="Life Sciences"/>
    <n v="1"/>
    <n v="428"/>
    <n v="4"/>
    <s v="Female"/>
    <n v="74"/>
    <n v="3"/>
    <n v="3"/>
    <x v="5"/>
    <n v="2"/>
    <s v="Married"/>
    <n v="11878"/>
    <n v="23364"/>
    <n v="6"/>
    <s v="Y"/>
    <s v="No"/>
    <n v="11"/>
    <n v="3"/>
    <n v="2"/>
    <n v="80"/>
    <n v="2"/>
    <n v="12"/>
    <n v="2"/>
    <n v="3"/>
    <n v="10"/>
    <n v="6"/>
    <n v="8"/>
    <n v="8"/>
    <s v="OK"/>
    <s v="OK"/>
    <s v="OK"/>
    <s v="OK"/>
    <x v="6"/>
    <n v="0.6"/>
    <n v="0.2"/>
    <n v="0.8"/>
  </r>
  <r>
    <n v="39"/>
    <s v="No"/>
    <s v="Travel_Rarely"/>
    <n v="117"/>
    <x v="1"/>
    <n v="10"/>
    <n v="1"/>
    <s v="Medical"/>
    <n v="1"/>
    <n v="429"/>
    <n v="3"/>
    <s v="Male"/>
    <n v="99"/>
    <n v="3"/>
    <n v="4"/>
    <x v="5"/>
    <n v="1"/>
    <s v="Married"/>
    <n v="17068"/>
    <n v="5355"/>
    <n v="1"/>
    <s v="Y"/>
    <s v="Yes"/>
    <n v="14"/>
    <n v="3"/>
    <n v="4"/>
    <n v="80"/>
    <n v="0"/>
    <n v="21"/>
    <n v="3"/>
    <n v="3"/>
    <n v="21"/>
    <n v="9"/>
    <n v="11"/>
    <n v="10"/>
    <s v="OK"/>
    <s v="OK"/>
    <s v="OK"/>
    <s v="OK"/>
    <x v="60"/>
    <n v="0.42857142857142855"/>
    <n v="0.14285714285714285"/>
    <n v="0.47619047619047616"/>
  </r>
  <r>
    <n v="43"/>
    <s v="No"/>
    <s v="Travel_Frequently"/>
    <n v="185"/>
    <x v="1"/>
    <n v="10"/>
    <n v="4"/>
    <s v="Life Sciences"/>
    <n v="1"/>
    <n v="430"/>
    <n v="3"/>
    <s v="Female"/>
    <n v="33"/>
    <n v="3"/>
    <n v="1"/>
    <x v="2"/>
    <n v="4"/>
    <s v="Single"/>
    <n v="2455"/>
    <n v="10675"/>
    <n v="0"/>
    <s v="Y"/>
    <s v="No"/>
    <n v="19"/>
    <n v="3"/>
    <n v="1"/>
    <n v="80"/>
    <n v="0"/>
    <n v="9"/>
    <n v="5"/>
    <n v="3"/>
    <n v="8"/>
    <n v="7"/>
    <n v="1"/>
    <n v="7"/>
    <s v="OK"/>
    <s v="OK"/>
    <s v="OK"/>
    <s v="OK"/>
    <x v="33"/>
    <n v="0.875"/>
    <n v="0.625"/>
    <n v="0.875"/>
  </r>
  <r>
    <n v="49"/>
    <s v="No"/>
    <s v="Travel_Rarely"/>
    <n v="1091"/>
    <x v="1"/>
    <n v="1"/>
    <n v="2"/>
    <s v="Technical Degree"/>
    <n v="1"/>
    <n v="431"/>
    <n v="3"/>
    <s v="Female"/>
    <n v="90"/>
    <n v="2"/>
    <n v="4"/>
    <x v="4"/>
    <n v="3"/>
    <s v="Single"/>
    <n v="13964"/>
    <n v="17810"/>
    <n v="7"/>
    <s v="Y"/>
    <s v="Yes"/>
    <n v="12"/>
    <n v="3"/>
    <n v="4"/>
    <n v="80"/>
    <n v="0"/>
    <n v="25"/>
    <n v="2"/>
    <n v="3"/>
    <n v="7"/>
    <n v="1"/>
    <n v="0"/>
    <n v="7"/>
    <s v="OK"/>
    <s v="OK"/>
    <s v="OK"/>
    <s v="OK"/>
    <x v="0"/>
    <n v="0.14285714285714285"/>
    <n v="0.2857142857142857"/>
    <n v="1"/>
  </r>
  <r>
    <n v="52"/>
    <s v="Yes"/>
    <s v="Travel_Rarely"/>
    <n v="723"/>
    <x v="1"/>
    <n v="8"/>
    <n v="4"/>
    <s v="Medical"/>
    <n v="1"/>
    <n v="433"/>
    <n v="3"/>
    <s v="Male"/>
    <n v="85"/>
    <n v="2"/>
    <n v="2"/>
    <x v="1"/>
    <n v="2"/>
    <s v="Married"/>
    <n v="4941"/>
    <n v="17747"/>
    <n v="2"/>
    <s v="Y"/>
    <s v="No"/>
    <n v="15"/>
    <n v="3"/>
    <n v="1"/>
    <n v="80"/>
    <n v="0"/>
    <n v="11"/>
    <n v="3"/>
    <n v="2"/>
    <n v="8"/>
    <n v="2"/>
    <n v="7"/>
    <n v="7"/>
    <s v="OK"/>
    <s v="OK"/>
    <s v="OK"/>
    <s v="OK"/>
    <x v="43"/>
    <n v="0.25"/>
    <n v="0.375"/>
    <n v="0.875"/>
  </r>
  <r>
    <n v="27"/>
    <s v="No"/>
    <s v="Travel_Rarely"/>
    <n v="1220"/>
    <x v="1"/>
    <n v="5"/>
    <n v="3"/>
    <s v="Life Sciences"/>
    <n v="1"/>
    <n v="434"/>
    <n v="3"/>
    <s v="Female"/>
    <n v="85"/>
    <n v="3"/>
    <n v="1"/>
    <x v="1"/>
    <n v="2"/>
    <s v="Single"/>
    <n v="2478"/>
    <n v="20938"/>
    <n v="1"/>
    <s v="Y"/>
    <s v="Yes"/>
    <n v="12"/>
    <n v="3"/>
    <n v="2"/>
    <n v="80"/>
    <n v="0"/>
    <n v="4"/>
    <n v="2"/>
    <n v="2"/>
    <n v="4"/>
    <n v="3"/>
    <n v="1"/>
    <n v="2"/>
    <s v="OK"/>
    <s v="OK"/>
    <s v="OK"/>
    <s v="OK"/>
    <x v="10"/>
    <n v="0.75"/>
    <n v="0.5"/>
    <n v="0.5"/>
  </r>
  <r>
    <n v="32"/>
    <s v="No"/>
    <s v="Travel_Rarely"/>
    <n v="588"/>
    <x v="0"/>
    <n v="8"/>
    <n v="2"/>
    <s v="Technical Degree"/>
    <n v="1"/>
    <n v="436"/>
    <n v="3"/>
    <s v="Female"/>
    <n v="65"/>
    <n v="2"/>
    <n v="2"/>
    <x v="0"/>
    <n v="2"/>
    <s v="Married"/>
    <n v="5228"/>
    <n v="24624"/>
    <n v="1"/>
    <s v="Y"/>
    <s v="Yes"/>
    <n v="11"/>
    <n v="3"/>
    <n v="4"/>
    <n v="80"/>
    <n v="0"/>
    <n v="13"/>
    <n v="2"/>
    <n v="3"/>
    <n v="13"/>
    <n v="12"/>
    <n v="11"/>
    <n v="9"/>
    <s v="OK"/>
    <s v="OK"/>
    <s v="OK"/>
    <s v="OK"/>
    <x v="61"/>
    <n v="0.92307692307692313"/>
    <n v="0.15384615384615385"/>
    <n v="0.69230769230769229"/>
  </r>
  <r>
    <n v="27"/>
    <s v="No"/>
    <s v="Travel_Rarely"/>
    <n v="1377"/>
    <x v="0"/>
    <n v="2"/>
    <n v="3"/>
    <s v="Life Sciences"/>
    <n v="1"/>
    <n v="437"/>
    <n v="4"/>
    <s v="Male"/>
    <n v="74"/>
    <n v="3"/>
    <n v="2"/>
    <x v="0"/>
    <n v="3"/>
    <s v="Single"/>
    <n v="4478"/>
    <n v="5242"/>
    <n v="1"/>
    <s v="Y"/>
    <s v="Yes"/>
    <n v="11"/>
    <n v="3"/>
    <n v="1"/>
    <n v="80"/>
    <n v="0"/>
    <n v="5"/>
    <n v="3"/>
    <n v="3"/>
    <n v="5"/>
    <n v="4"/>
    <n v="0"/>
    <n v="4"/>
    <s v="OK"/>
    <s v="OK"/>
    <s v="OK"/>
    <s v="OK"/>
    <x v="0"/>
    <n v="0.8"/>
    <n v="0.6"/>
    <n v="0.8"/>
  </r>
  <r>
    <n v="31"/>
    <s v="No"/>
    <s v="Travel_Rarely"/>
    <n v="691"/>
    <x v="0"/>
    <n v="7"/>
    <n v="3"/>
    <s v="Marketing"/>
    <n v="1"/>
    <n v="438"/>
    <n v="4"/>
    <s v="Male"/>
    <n v="73"/>
    <n v="3"/>
    <n v="2"/>
    <x v="0"/>
    <n v="4"/>
    <s v="Divorced"/>
    <n v="7547"/>
    <n v="7143"/>
    <n v="4"/>
    <s v="Y"/>
    <s v="No"/>
    <n v="12"/>
    <n v="3"/>
    <n v="4"/>
    <n v="80"/>
    <n v="3"/>
    <n v="13"/>
    <n v="3"/>
    <n v="3"/>
    <n v="7"/>
    <n v="7"/>
    <n v="1"/>
    <n v="7"/>
    <s v="OK"/>
    <s v="OK"/>
    <s v="OK"/>
    <s v="OK"/>
    <x v="20"/>
    <n v="1"/>
    <n v="0.42857142857142855"/>
    <n v="1"/>
  </r>
  <r>
    <n v="32"/>
    <s v="No"/>
    <s v="Travel_Rarely"/>
    <n v="1018"/>
    <x v="1"/>
    <n v="2"/>
    <n v="4"/>
    <s v="Medical"/>
    <n v="1"/>
    <n v="439"/>
    <n v="1"/>
    <s v="Female"/>
    <n v="74"/>
    <n v="4"/>
    <n v="2"/>
    <x v="1"/>
    <n v="4"/>
    <s v="Single"/>
    <n v="5055"/>
    <n v="10557"/>
    <n v="7"/>
    <s v="Y"/>
    <s v="No"/>
    <n v="16"/>
    <n v="3"/>
    <n v="3"/>
    <n v="80"/>
    <n v="0"/>
    <n v="10"/>
    <n v="0"/>
    <n v="2"/>
    <n v="7"/>
    <n v="7"/>
    <n v="0"/>
    <n v="7"/>
    <s v="OK"/>
    <s v="OK"/>
    <s v="OK"/>
    <s v="OK"/>
    <x v="0"/>
    <n v="1"/>
    <n v="0"/>
    <n v="1"/>
  </r>
  <r>
    <n v="28"/>
    <s v="Yes"/>
    <s v="Travel_Rarely"/>
    <n v="1157"/>
    <x v="1"/>
    <n v="2"/>
    <n v="4"/>
    <s v="Medical"/>
    <n v="1"/>
    <n v="440"/>
    <n v="1"/>
    <s v="Male"/>
    <n v="84"/>
    <n v="1"/>
    <n v="1"/>
    <x v="1"/>
    <n v="4"/>
    <s v="Married"/>
    <n v="3464"/>
    <n v="24737"/>
    <n v="5"/>
    <s v="Y"/>
    <s v="Yes"/>
    <n v="13"/>
    <n v="3"/>
    <n v="4"/>
    <n v="80"/>
    <n v="0"/>
    <n v="5"/>
    <n v="4"/>
    <n v="2"/>
    <n v="3"/>
    <n v="2"/>
    <n v="2"/>
    <n v="2"/>
    <s v="OK"/>
    <s v="OK"/>
    <s v="OK"/>
    <s v="OK"/>
    <x v="34"/>
    <n v="0.66666666666666663"/>
    <n v="1.3333333333333333"/>
    <n v="0.66666666666666663"/>
  </r>
  <r>
    <n v="30"/>
    <s v="No"/>
    <s v="Travel_Rarely"/>
    <n v="1275"/>
    <x v="1"/>
    <n v="28"/>
    <n v="2"/>
    <s v="Medical"/>
    <n v="1"/>
    <n v="441"/>
    <n v="4"/>
    <s v="Female"/>
    <n v="64"/>
    <n v="3"/>
    <n v="2"/>
    <x v="1"/>
    <n v="4"/>
    <s v="Married"/>
    <n v="5775"/>
    <n v="11934"/>
    <n v="1"/>
    <s v="Y"/>
    <s v="No"/>
    <n v="13"/>
    <n v="3"/>
    <n v="4"/>
    <n v="80"/>
    <n v="2"/>
    <n v="11"/>
    <n v="2"/>
    <n v="3"/>
    <n v="10"/>
    <n v="8"/>
    <n v="1"/>
    <n v="9"/>
    <s v="OK"/>
    <s v="OK"/>
    <s v="OK"/>
    <s v="OK"/>
    <x v="1"/>
    <n v="0.8"/>
    <n v="0.2"/>
    <n v="0.9"/>
  </r>
  <r>
    <n v="31"/>
    <s v="No"/>
    <s v="Travel_Frequently"/>
    <n v="798"/>
    <x v="1"/>
    <n v="7"/>
    <n v="2"/>
    <s v="Life Sciences"/>
    <n v="1"/>
    <n v="442"/>
    <n v="3"/>
    <s v="Female"/>
    <n v="48"/>
    <n v="2"/>
    <n v="3"/>
    <x v="3"/>
    <n v="3"/>
    <s v="Married"/>
    <n v="8943"/>
    <n v="14034"/>
    <n v="1"/>
    <s v="Y"/>
    <s v="No"/>
    <n v="24"/>
    <n v="4"/>
    <n v="1"/>
    <n v="80"/>
    <n v="1"/>
    <n v="10"/>
    <n v="2"/>
    <n v="3"/>
    <n v="10"/>
    <n v="9"/>
    <n v="8"/>
    <n v="9"/>
    <s v="OK"/>
    <s v="OK"/>
    <s v="OK"/>
    <s v="OK"/>
    <x v="6"/>
    <n v="0.9"/>
    <n v="0.2"/>
    <n v="0.9"/>
  </r>
  <r>
    <n v="39"/>
    <s v="No"/>
    <s v="Travel_Frequently"/>
    <n v="672"/>
    <x v="1"/>
    <n v="7"/>
    <n v="2"/>
    <s v="Medical"/>
    <n v="1"/>
    <n v="444"/>
    <n v="3"/>
    <s v="Male"/>
    <n v="54"/>
    <n v="2"/>
    <n v="5"/>
    <x v="5"/>
    <n v="4"/>
    <s v="Married"/>
    <n v="19272"/>
    <n v="21141"/>
    <n v="1"/>
    <s v="Y"/>
    <s v="No"/>
    <n v="15"/>
    <n v="3"/>
    <n v="1"/>
    <n v="80"/>
    <n v="1"/>
    <n v="21"/>
    <n v="2"/>
    <n v="3"/>
    <n v="21"/>
    <n v="9"/>
    <n v="13"/>
    <n v="3"/>
    <s v="OK"/>
    <s v="OK"/>
    <s v="OK"/>
    <s v="OK"/>
    <x v="62"/>
    <n v="0.42857142857142855"/>
    <n v="9.5238095238095233E-2"/>
    <n v="0.14285714285714285"/>
  </r>
  <r>
    <n v="39"/>
    <s v="Yes"/>
    <s v="Travel_Rarely"/>
    <n v="1162"/>
    <x v="0"/>
    <n v="3"/>
    <n v="2"/>
    <s v="Medical"/>
    <n v="1"/>
    <n v="445"/>
    <n v="4"/>
    <s v="Female"/>
    <n v="41"/>
    <n v="3"/>
    <n v="2"/>
    <x v="0"/>
    <n v="3"/>
    <s v="Married"/>
    <n v="5238"/>
    <n v="17778"/>
    <n v="4"/>
    <s v="Y"/>
    <s v="Yes"/>
    <n v="18"/>
    <n v="3"/>
    <n v="1"/>
    <n v="80"/>
    <n v="0"/>
    <n v="12"/>
    <n v="3"/>
    <n v="2"/>
    <n v="1"/>
    <n v="0"/>
    <n v="0"/>
    <n v="0"/>
    <s v="OK"/>
    <s v="OK"/>
    <s v="OK"/>
    <s v="OK"/>
    <x v="0"/>
    <n v="0"/>
    <n v="3"/>
    <n v="0"/>
  </r>
  <r>
    <n v="33"/>
    <s v="No"/>
    <s v="Travel_Frequently"/>
    <n v="508"/>
    <x v="0"/>
    <n v="10"/>
    <n v="3"/>
    <s v="Marketing"/>
    <n v="1"/>
    <n v="446"/>
    <n v="2"/>
    <s v="Male"/>
    <n v="46"/>
    <n v="2"/>
    <n v="2"/>
    <x v="0"/>
    <n v="4"/>
    <s v="Single"/>
    <n v="4682"/>
    <n v="4317"/>
    <n v="3"/>
    <s v="Y"/>
    <s v="No"/>
    <n v="14"/>
    <n v="3"/>
    <n v="3"/>
    <n v="80"/>
    <n v="0"/>
    <n v="9"/>
    <n v="6"/>
    <n v="2"/>
    <n v="7"/>
    <n v="7"/>
    <n v="0"/>
    <n v="1"/>
    <s v="OK"/>
    <s v="OK"/>
    <s v="OK"/>
    <s v="OK"/>
    <x v="0"/>
    <n v="1"/>
    <n v="0.8571428571428571"/>
    <n v="0.14285714285714285"/>
  </r>
  <r>
    <n v="47"/>
    <s v="No"/>
    <s v="Travel_Rarely"/>
    <n v="1482"/>
    <x v="1"/>
    <n v="5"/>
    <n v="5"/>
    <s v="Life Sciences"/>
    <n v="1"/>
    <n v="447"/>
    <n v="4"/>
    <s v="Male"/>
    <n v="42"/>
    <n v="3"/>
    <n v="5"/>
    <x v="7"/>
    <n v="3"/>
    <s v="Married"/>
    <n v="18300"/>
    <n v="16375"/>
    <n v="4"/>
    <s v="Y"/>
    <s v="No"/>
    <n v="11"/>
    <n v="3"/>
    <n v="2"/>
    <n v="80"/>
    <n v="1"/>
    <n v="21"/>
    <n v="2"/>
    <n v="3"/>
    <n v="3"/>
    <n v="2"/>
    <n v="1"/>
    <n v="1"/>
    <s v="OK"/>
    <s v="OK"/>
    <s v="OK"/>
    <s v="OK"/>
    <x v="9"/>
    <n v="0.66666666666666663"/>
    <n v="0.66666666666666663"/>
    <n v="0.33333333333333331"/>
  </r>
  <r>
    <n v="43"/>
    <s v="No"/>
    <s v="Travel_Frequently"/>
    <n v="559"/>
    <x v="1"/>
    <n v="10"/>
    <n v="4"/>
    <s v="Life Sciences"/>
    <n v="1"/>
    <n v="448"/>
    <n v="3"/>
    <s v="Female"/>
    <n v="82"/>
    <n v="2"/>
    <n v="2"/>
    <x v="2"/>
    <n v="3"/>
    <s v="Divorced"/>
    <n v="5257"/>
    <n v="6227"/>
    <n v="1"/>
    <s v="Y"/>
    <s v="No"/>
    <n v="11"/>
    <n v="3"/>
    <n v="2"/>
    <n v="80"/>
    <n v="1"/>
    <n v="9"/>
    <n v="3"/>
    <n v="4"/>
    <n v="9"/>
    <n v="7"/>
    <n v="0"/>
    <n v="0"/>
    <s v="OK"/>
    <s v="OK"/>
    <s v="OK"/>
    <s v="OK"/>
    <x v="0"/>
    <n v="0.77777777777777779"/>
    <n v="0.33333333333333331"/>
    <n v="0"/>
  </r>
  <r>
    <n v="27"/>
    <s v="No"/>
    <s v="Non-Travel"/>
    <n v="210"/>
    <x v="0"/>
    <n v="1"/>
    <n v="1"/>
    <s v="Marketing"/>
    <n v="1"/>
    <n v="449"/>
    <n v="3"/>
    <s v="Male"/>
    <n v="73"/>
    <n v="3"/>
    <n v="2"/>
    <x v="0"/>
    <n v="2"/>
    <s v="Married"/>
    <n v="6349"/>
    <n v="22107"/>
    <n v="0"/>
    <s v="Y"/>
    <s v="Yes"/>
    <n v="13"/>
    <n v="3"/>
    <n v="4"/>
    <n v="80"/>
    <n v="1"/>
    <n v="6"/>
    <n v="0"/>
    <n v="3"/>
    <n v="5"/>
    <n v="4"/>
    <n v="1"/>
    <n v="4"/>
    <s v="OK"/>
    <s v="OK"/>
    <s v="OK"/>
    <s v="OK"/>
    <x v="16"/>
    <n v="0.8"/>
    <n v="0"/>
    <n v="0.8"/>
  </r>
  <r>
    <n v="54"/>
    <s v="No"/>
    <s v="Travel_Frequently"/>
    <n v="928"/>
    <x v="1"/>
    <n v="20"/>
    <n v="4"/>
    <s v="Life Sciences"/>
    <n v="1"/>
    <n v="450"/>
    <n v="4"/>
    <s v="Female"/>
    <n v="31"/>
    <n v="3"/>
    <n v="2"/>
    <x v="1"/>
    <n v="3"/>
    <s v="Single"/>
    <n v="4869"/>
    <n v="16885"/>
    <n v="3"/>
    <s v="Y"/>
    <s v="No"/>
    <n v="12"/>
    <n v="3"/>
    <n v="4"/>
    <n v="80"/>
    <n v="0"/>
    <n v="20"/>
    <n v="4"/>
    <n v="2"/>
    <n v="4"/>
    <n v="3"/>
    <n v="0"/>
    <n v="3"/>
    <s v="OK"/>
    <s v="OK"/>
    <s v="OK"/>
    <s v="OK"/>
    <x v="0"/>
    <n v="0.75"/>
    <n v="1"/>
    <n v="0.75"/>
  </r>
  <r>
    <n v="43"/>
    <s v="No"/>
    <s v="Travel_Rarely"/>
    <n v="1001"/>
    <x v="1"/>
    <n v="7"/>
    <n v="3"/>
    <s v="Life Sciences"/>
    <n v="1"/>
    <n v="451"/>
    <n v="3"/>
    <s v="Female"/>
    <n v="43"/>
    <n v="3"/>
    <n v="3"/>
    <x v="4"/>
    <n v="1"/>
    <s v="Married"/>
    <n v="9985"/>
    <n v="9262"/>
    <n v="8"/>
    <s v="Y"/>
    <s v="No"/>
    <n v="16"/>
    <n v="3"/>
    <n v="1"/>
    <n v="80"/>
    <n v="1"/>
    <n v="10"/>
    <n v="1"/>
    <n v="2"/>
    <n v="1"/>
    <n v="0"/>
    <n v="0"/>
    <n v="0"/>
    <s v="OK"/>
    <s v="OK"/>
    <s v="OK"/>
    <s v="OK"/>
    <x v="0"/>
    <n v="0"/>
    <n v="1"/>
    <n v="0"/>
  </r>
  <r>
    <n v="45"/>
    <s v="No"/>
    <s v="Travel_Rarely"/>
    <n v="549"/>
    <x v="1"/>
    <n v="8"/>
    <n v="4"/>
    <s v="Other"/>
    <n v="1"/>
    <n v="452"/>
    <n v="4"/>
    <s v="Male"/>
    <n v="75"/>
    <n v="3"/>
    <n v="2"/>
    <x v="1"/>
    <n v="4"/>
    <s v="Married"/>
    <n v="3697"/>
    <n v="9278"/>
    <n v="9"/>
    <s v="Y"/>
    <s v="No"/>
    <n v="14"/>
    <n v="3"/>
    <n v="1"/>
    <n v="80"/>
    <n v="2"/>
    <n v="12"/>
    <n v="3"/>
    <n v="3"/>
    <n v="10"/>
    <n v="9"/>
    <n v="9"/>
    <n v="8"/>
    <s v="OK"/>
    <s v="OK"/>
    <s v="OK"/>
    <s v="OK"/>
    <x v="22"/>
    <n v="0.9"/>
    <n v="0.3"/>
    <n v="0.8"/>
  </r>
  <r>
    <n v="40"/>
    <s v="No"/>
    <s v="Travel_Rarely"/>
    <n v="1124"/>
    <x v="0"/>
    <n v="1"/>
    <n v="2"/>
    <s v="Medical"/>
    <n v="1"/>
    <n v="453"/>
    <n v="2"/>
    <s v="Male"/>
    <n v="57"/>
    <n v="1"/>
    <n v="2"/>
    <x v="0"/>
    <n v="4"/>
    <s v="Married"/>
    <n v="7457"/>
    <n v="13273"/>
    <n v="2"/>
    <s v="Y"/>
    <s v="Yes"/>
    <n v="22"/>
    <n v="4"/>
    <n v="3"/>
    <n v="80"/>
    <n v="3"/>
    <n v="6"/>
    <n v="2"/>
    <n v="2"/>
    <n v="4"/>
    <n v="3"/>
    <n v="0"/>
    <n v="2"/>
    <s v="OK"/>
    <s v="OK"/>
    <s v="OK"/>
    <s v="OK"/>
    <x v="0"/>
    <n v="0.75"/>
    <n v="0.5"/>
    <n v="0.5"/>
  </r>
  <r>
    <n v="29"/>
    <s v="Yes"/>
    <s v="Travel_Rarely"/>
    <n v="318"/>
    <x v="1"/>
    <n v="8"/>
    <n v="4"/>
    <s v="Other"/>
    <n v="1"/>
    <n v="454"/>
    <n v="2"/>
    <s v="Male"/>
    <n v="77"/>
    <n v="1"/>
    <n v="1"/>
    <x v="2"/>
    <n v="1"/>
    <s v="Married"/>
    <n v="2119"/>
    <n v="4759"/>
    <n v="1"/>
    <s v="Y"/>
    <s v="Yes"/>
    <n v="11"/>
    <n v="3"/>
    <n v="4"/>
    <n v="80"/>
    <n v="0"/>
    <n v="7"/>
    <n v="4"/>
    <n v="2"/>
    <n v="7"/>
    <n v="7"/>
    <n v="0"/>
    <n v="7"/>
    <s v="OK"/>
    <s v="OK"/>
    <s v="OK"/>
    <s v="OK"/>
    <x v="0"/>
    <n v="1"/>
    <n v="0.5714285714285714"/>
    <n v="1"/>
  </r>
  <r>
    <n v="29"/>
    <s v="No"/>
    <s v="Travel_Rarely"/>
    <n v="738"/>
    <x v="1"/>
    <n v="9"/>
    <n v="5"/>
    <s v="Other"/>
    <n v="1"/>
    <n v="455"/>
    <n v="2"/>
    <s v="Male"/>
    <n v="30"/>
    <n v="2"/>
    <n v="1"/>
    <x v="2"/>
    <n v="4"/>
    <s v="Single"/>
    <n v="3983"/>
    <n v="7621"/>
    <n v="0"/>
    <s v="Y"/>
    <s v="No"/>
    <n v="17"/>
    <n v="3"/>
    <n v="3"/>
    <n v="80"/>
    <n v="0"/>
    <n v="4"/>
    <n v="2"/>
    <n v="3"/>
    <n v="3"/>
    <n v="2"/>
    <n v="2"/>
    <n v="2"/>
    <s v="OK"/>
    <s v="OK"/>
    <s v="OK"/>
    <s v="OK"/>
    <x v="34"/>
    <n v="0.66666666666666663"/>
    <n v="0.66666666666666663"/>
    <n v="0.66666666666666663"/>
  </r>
  <r>
    <n v="30"/>
    <s v="No"/>
    <s v="Travel_Rarely"/>
    <n v="570"/>
    <x v="0"/>
    <n v="5"/>
    <n v="3"/>
    <s v="Marketing"/>
    <n v="1"/>
    <n v="456"/>
    <n v="4"/>
    <s v="Female"/>
    <n v="30"/>
    <n v="2"/>
    <n v="2"/>
    <x v="0"/>
    <n v="3"/>
    <s v="Divorced"/>
    <n v="6118"/>
    <n v="5431"/>
    <n v="1"/>
    <s v="Y"/>
    <s v="No"/>
    <n v="13"/>
    <n v="3"/>
    <n v="3"/>
    <n v="80"/>
    <n v="3"/>
    <n v="10"/>
    <n v="2"/>
    <n v="3"/>
    <n v="10"/>
    <n v="9"/>
    <n v="1"/>
    <n v="2"/>
    <s v="OK"/>
    <s v="OK"/>
    <s v="OK"/>
    <s v="OK"/>
    <x v="1"/>
    <n v="0.9"/>
    <n v="0.2"/>
    <n v="0.2"/>
  </r>
  <r>
    <n v="27"/>
    <s v="No"/>
    <s v="Travel_Rarely"/>
    <n v="1130"/>
    <x v="0"/>
    <n v="8"/>
    <n v="4"/>
    <s v="Marketing"/>
    <n v="1"/>
    <n v="458"/>
    <n v="2"/>
    <s v="Female"/>
    <n v="56"/>
    <n v="3"/>
    <n v="2"/>
    <x v="0"/>
    <n v="2"/>
    <s v="Married"/>
    <n v="6214"/>
    <n v="3415"/>
    <n v="1"/>
    <s v="Y"/>
    <s v="No"/>
    <n v="18"/>
    <n v="3"/>
    <n v="1"/>
    <n v="80"/>
    <n v="1"/>
    <n v="8"/>
    <n v="3"/>
    <n v="3"/>
    <n v="8"/>
    <n v="7"/>
    <n v="0"/>
    <n v="7"/>
    <s v="OK"/>
    <s v="OK"/>
    <s v="OK"/>
    <s v="OK"/>
    <x v="0"/>
    <n v="0.875"/>
    <n v="0.375"/>
    <n v="0.875"/>
  </r>
  <r>
    <n v="37"/>
    <s v="No"/>
    <s v="Travel_Rarely"/>
    <n v="1192"/>
    <x v="1"/>
    <n v="5"/>
    <n v="2"/>
    <s v="Medical"/>
    <n v="1"/>
    <n v="460"/>
    <n v="4"/>
    <s v="Male"/>
    <n v="61"/>
    <n v="3"/>
    <n v="2"/>
    <x v="3"/>
    <n v="4"/>
    <s v="Divorced"/>
    <n v="6347"/>
    <n v="23177"/>
    <n v="7"/>
    <s v="Y"/>
    <s v="No"/>
    <n v="16"/>
    <n v="3"/>
    <n v="3"/>
    <n v="80"/>
    <n v="2"/>
    <n v="8"/>
    <n v="2"/>
    <n v="2"/>
    <n v="6"/>
    <n v="2"/>
    <n v="0"/>
    <n v="4"/>
    <s v="OK"/>
    <s v="OK"/>
    <s v="OK"/>
    <s v="OK"/>
    <x v="0"/>
    <n v="0.33333333333333331"/>
    <n v="0.33333333333333331"/>
    <n v="0.66666666666666663"/>
  </r>
  <r>
    <n v="38"/>
    <s v="No"/>
    <s v="Travel_Rarely"/>
    <n v="343"/>
    <x v="1"/>
    <n v="15"/>
    <n v="2"/>
    <s v="Life Sciences"/>
    <n v="1"/>
    <n v="461"/>
    <n v="3"/>
    <s v="Male"/>
    <n v="92"/>
    <n v="2"/>
    <n v="3"/>
    <x v="7"/>
    <n v="4"/>
    <s v="Divorced"/>
    <n v="11510"/>
    <n v="15682"/>
    <n v="0"/>
    <s v="Y"/>
    <s v="Yes"/>
    <n v="14"/>
    <n v="3"/>
    <n v="2"/>
    <n v="80"/>
    <n v="1"/>
    <n v="12"/>
    <n v="3"/>
    <n v="3"/>
    <n v="11"/>
    <n v="10"/>
    <n v="2"/>
    <n v="9"/>
    <s v="OK"/>
    <s v="OK"/>
    <s v="OK"/>
    <s v="OK"/>
    <x v="30"/>
    <n v="0.90909090909090906"/>
    <n v="0.27272727272727271"/>
    <n v="0.81818181818181823"/>
  </r>
  <r>
    <n v="31"/>
    <s v="No"/>
    <s v="Travel_Rarely"/>
    <n v="1232"/>
    <x v="1"/>
    <n v="7"/>
    <n v="4"/>
    <s v="Medical"/>
    <n v="1"/>
    <n v="462"/>
    <n v="3"/>
    <s v="Female"/>
    <n v="39"/>
    <n v="3"/>
    <n v="3"/>
    <x v="3"/>
    <n v="4"/>
    <s v="Single"/>
    <n v="7143"/>
    <n v="25713"/>
    <n v="1"/>
    <s v="Y"/>
    <s v="Yes"/>
    <n v="14"/>
    <n v="3"/>
    <n v="3"/>
    <n v="80"/>
    <n v="0"/>
    <n v="11"/>
    <n v="2"/>
    <n v="2"/>
    <n v="11"/>
    <n v="9"/>
    <n v="4"/>
    <n v="10"/>
    <s v="OK"/>
    <s v="OK"/>
    <s v="OK"/>
    <s v="OK"/>
    <x v="40"/>
    <n v="0.81818181818181823"/>
    <n v="0.18181818181818182"/>
    <n v="0.90909090909090906"/>
  </r>
  <r>
    <n v="29"/>
    <s v="No"/>
    <s v="Travel_Rarely"/>
    <n v="144"/>
    <x v="0"/>
    <n v="10"/>
    <n v="1"/>
    <s v="Marketing"/>
    <n v="1"/>
    <n v="463"/>
    <n v="4"/>
    <s v="Female"/>
    <n v="39"/>
    <n v="2"/>
    <n v="2"/>
    <x v="0"/>
    <n v="2"/>
    <s v="Divorced"/>
    <n v="8268"/>
    <n v="11866"/>
    <n v="1"/>
    <s v="Y"/>
    <s v="Yes"/>
    <n v="14"/>
    <n v="3"/>
    <n v="1"/>
    <n v="80"/>
    <n v="2"/>
    <n v="7"/>
    <n v="2"/>
    <n v="3"/>
    <n v="7"/>
    <n v="7"/>
    <n v="1"/>
    <n v="7"/>
    <s v="OK"/>
    <s v="OK"/>
    <s v="OK"/>
    <s v="OK"/>
    <x v="20"/>
    <n v="1"/>
    <n v="0.2857142857142857"/>
    <n v="1"/>
  </r>
  <r>
    <n v="35"/>
    <s v="No"/>
    <s v="Travel_Rarely"/>
    <n v="1296"/>
    <x v="1"/>
    <n v="5"/>
    <n v="4"/>
    <s v="Technical Degree"/>
    <n v="1"/>
    <n v="464"/>
    <n v="3"/>
    <s v="Male"/>
    <n v="62"/>
    <n v="3"/>
    <n v="3"/>
    <x v="3"/>
    <n v="2"/>
    <s v="Single"/>
    <n v="8095"/>
    <n v="18264"/>
    <n v="0"/>
    <s v="Y"/>
    <s v="No"/>
    <n v="13"/>
    <n v="3"/>
    <n v="4"/>
    <n v="80"/>
    <n v="0"/>
    <n v="17"/>
    <n v="5"/>
    <n v="3"/>
    <n v="16"/>
    <n v="6"/>
    <n v="0"/>
    <n v="13"/>
    <s v="OK"/>
    <s v="OK"/>
    <s v="OK"/>
    <s v="OK"/>
    <x v="0"/>
    <n v="0.375"/>
    <n v="0.3125"/>
    <n v="0.8125"/>
  </r>
  <r>
    <n v="23"/>
    <s v="No"/>
    <s v="Travel_Rarely"/>
    <n v="1309"/>
    <x v="1"/>
    <n v="26"/>
    <n v="1"/>
    <s v="Life Sciences"/>
    <n v="1"/>
    <n v="465"/>
    <n v="3"/>
    <s v="Male"/>
    <n v="83"/>
    <n v="3"/>
    <n v="1"/>
    <x v="1"/>
    <n v="4"/>
    <s v="Divorced"/>
    <n v="2904"/>
    <n v="16092"/>
    <n v="1"/>
    <s v="Y"/>
    <s v="No"/>
    <n v="12"/>
    <n v="3"/>
    <n v="3"/>
    <n v="80"/>
    <n v="2"/>
    <n v="4"/>
    <n v="2"/>
    <n v="2"/>
    <n v="4"/>
    <n v="2"/>
    <n v="0"/>
    <n v="2"/>
    <s v="OK"/>
    <s v="OK"/>
    <s v="OK"/>
    <s v="OK"/>
    <x v="0"/>
    <n v="0.5"/>
    <n v="0.5"/>
    <n v="0.5"/>
  </r>
  <r>
    <n v="41"/>
    <s v="No"/>
    <s v="Travel_Rarely"/>
    <n v="483"/>
    <x v="1"/>
    <n v="6"/>
    <n v="3"/>
    <s v="Medical"/>
    <n v="1"/>
    <n v="466"/>
    <n v="4"/>
    <s v="Male"/>
    <n v="95"/>
    <n v="2"/>
    <n v="2"/>
    <x v="3"/>
    <n v="2"/>
    <s v="Single"/>
    <n v="6032"/>
    <n v="10110"/>
    <n v="6"/>
    <s v="Y"/>
    <s v="Yes"/>
    <n v="15"/>
    <n v="3"/>
    <n v="4"/>
    <n v="80"/>
    <n v="0"/>
    <n v="8"/>
    <n v="3"/>
    <n v="3"/>
    <n v="5"/>
    <n v="4"/>
    <n v="1"/>
    <n v="2"/>
    <s v="OK"/>
    <s v="OK"/>
    <s v="OK"/>
    <s v="OK"/>
    <x v="16"/>
    <n v="0.8"/>
    <n v="0.6"/>
    <n v="0.4"/>
  </r>
  <r>
    <n v="47"/>
    <s v="No"/>
    <s v="Travel_Frequently"/>
    <n v="1309"/>
    <x v="0"/>
    <n v="4"/>
    <n v="1"/>
    <s v="Medical"/>
    <n v="1"/>
    <n v="467"/>
    <n v="2"/>
    <s v="Male"/>
    <n v="99"/>
    <n v="3"/>
    <n v="2"/>
    <x v="6"/>
    <n v="3"/>
    <s v="Single"/>
    <n v="2976"/>
    <n v="25751"/>
    <n v="3"/>
    <s v="Y"/>
    <s v="No"/>
    <n v="19"/>
    <n v="3"/>
    <n v="1"/>
    <n v="80"/>
    <n v="0"/>
    <n v="5"/>
    <n v="3"/>
    <n v="3"/>
    <n v="0"/>
    <n v="0"/>
    <n v="0"/>
    <n v="0"/>
    <s v="OK"/>
    <s v="OK"/>
    <s v="OK"/>
    <s v="OK"/>
    <x v="0"/>
    <n v="0"/>
    <n v="0"/>
    <n v="0"/>
  </r>
  <r>
    <n v="42"/>
    <s v="No"/>
    <s v="Travel_Rarely"/>
    <n v="810"/>
    <x v="1"/>
    <n v="23"/>
    <n v="5"/>
    <s v="Life Sciences"/>
    <n v="1"/>
    <n v="468"/>
    <n v="1"/>
    <s v="Female"/>
    <n v="44"/>
    <n v="3"/>
    <n v="4"/>
    <x v="7"/>
    <n v="4"/>
    <s v="Single"/>
    <n v="15992"/>
    <n v="15901"/>
    <n v="2"/>
    <s v="Y"/>
    <s v="No"/>
    <n v="14"/>
    <n v="3"/>
    <n v="2"/>
    <n v="80"/>
    <n v="0"/>
    <n v="16"/>
    <n v="2"/>
    <n v="3"/>
    <n v="1"/>
    <n v="0"/>
    <n v="0"/>
    <n v="0"/>
    <s v="OK"/>
    <s v="OK"/>
    <s v="OK"/>
    <s v="OK"/>
    <x v="0"/>
    <n v="0"/>
    <n v="2"/>
    <n v="0"/>
  </r>
  <r>
    <n v="29"/>
    <s v="No"/>
    <s v="Non-Travel"/>
    <n v="746"/>
    <x v="0"/>
    <n v="2"/>
    <n v="3"/>
    <s v="Life Sciences"/>
    <n v="1"/>
    <n v="469"/>
    <n v="4"/>
    <s v="Male"/>
    <n v="61"/>
    <n v="3"/>
    <n v="2"/>
    <x v="0"/>
    <n v="3"/>
    <s v="Married"/>
    <n v="4649"/>
    <n v="16928"/>
    <n v="1"/>
    <s v="Y"/>
    <s v="No"/>
    <n v="14"/>
    <n v="3"/>
    <n v="1"/>
    <n v="80"/>
    <n v="1"/>
    <n v="4"/>
    <n v="3"/>
    <n v="2"/>
    <n v="4"/>
    <n v="3"/>
    <n v="0"/>
    <n v="2"/>
    <s v="OK"/>
    <s v="OK"/>
    <s v="OK"/>
    <s v="OK"/>
    <x v="0"/>
    <n v="0.75"/>
    <n v="0.75"/>
    <n v="0.5"/>
  </r>
  <r>
    <n v="42"/>
    <s v="No"/>
    <s v="Travel_Rarely"/>
    <n v="544"/>
    <x v="2"/>
    <n v="2"/>
    <n v="1"/>
    <s v="Technical Degree"/>
    <n v="1"/>
    <n v="470"/>
    <n v="3"/>
    <s v="Male"/>
    <n v="52"/>
    <n v="3"/>
    <n v="1"/>
    <x v="8"/>
    <n v="3"/>
    <s v="Divorced"/>
    <n v="2696"/>
    <n v="24017"/>
    <n v="0"/>
    <s v="Y"/>
    <s v="Yes"/>
    <n v="11"/>
    <n v="3"/>
    <n v="3"/>
    <n v="80"/>
    <n v="1"/>
    <n v="4"/>
    <n v="5"/>
    <n v="3"/>
    <n v="3"/>
    <n v="2"/>
    <n v="1"/>
    <n v="0"/>
    <s v="OK"/>
    <s v="OK"/>
    <s v="OK"/>
    <s v="OK"/>
    <x v="9"/>
    <n v="0.66666666666666663"/>
    <n v="1.6666666666666667"/>
    <n v="0"/>
  </r>
  <r>
    <n v="32"/>
    <s v="No"/>
    <s v="Travel_Rarely"/>
    <n v="1062"/>
    <x v="1"/>
    <n v="2"/>
    <n v="3"/>
    <s v="Medical"/>
    <n v="1"/>
    <n v="471"/>
    <n v="3"/>
    <s v="Female"/>
    <n v="75"/>
    <n v="3"/>
    <n v="1"/>
    <x v="2"/>
    <n v="2"/>
    <s v="Married"/>
    <n v="2370"/>
    <n v="3956"/>
    <n v="1"/>
    <s v="Y"/>
    <s v="No"/>
    <n v="13"/>
    <n v="3"/>
    <n v="3"/>
    <n v="80"/>
    <n v="1"/>
    <n v="8"/>
    <n v="4"/>
    <n v="3"/>
    <n v="8"/>
    <n v="0"/>
    <n v="0"/>
    <n v="7"/>
    <s v="OK"/>
    <s v="OK"/>
    <s v="OK"/>
    <s v="OK"/>
    <x v="0"/>
    <n v="0"/>
    <n v="0.5"/>
    <n v="0.875"/>
  </r>
  <r>
    <n v="48"/>
    <s v="No"/>
    <s v="Travel_Rarely"/>
    <n v="530"/>
    <x v="0"/>
    <n v="29"/>
    <n v="1"/>
    <s v="Medical"/>
    <n v="1"/>
    <n v="473"/>
    <n v="1"/>
    <s v="Female"/>
    <n v="91"/>
    <n v="3"/>
    <n v="3"/>
    <x v="5"/>
    <n v="3"/>
    <s v="Married"/>
    <n v="12504"/>
    <n v="23978"/>
    <n v="3"/>
    <s v="Y"/>
    <s v="No"/>
    <n v="21"/>
    <n v="4"/>
    <n v="2"/>
    <n v="80"/>
    <n v="1"/>
    <n v="15"/>
    <n v="3"/>
    <n v="1"/>
    <n v="0"/>
    <n v="0"/>
    <n v="0"/>
    <n v="0"/>
    <s v="OK"/>
    <s v="OK"/>
    <s v="OK"/>
    <s v="OK"/>
    <x v="0"/>
    <n v="0"/>
    <n v="0"/>
    <n v="0"/>
  </r>
  <r>
    <n v="37"/>
    <s v="No"/>
    <s v="Travel_Rarely"/>
    <n v="1319"/>
    <x v="1"/>
    <n v="6"/>
    <n v="3"/>
    <s v="Medical"/>
    <n v="1"/>
    <n v="474"/>
    <n v="3"/>
    <s v="Male"/>
    <n v="51"/>
    <n v="4"/>
    <n v="2"/>
    <x v="1"/>
    <n v="1"/>
    <s v="Divorced"/>
    <n v="5974"/>
    <n v="17001"/>
    <n v="4"/>
    <s v="Y"/>
    <s v="Yes"/>
    <n v="13"/>
    <n v="3"/>
    <n v="1"/>
    <n v="80"/>
    <n v="2"/>
    <n v="13"/>
    <n v="2"/>
    <n v="3"/>
    <n v="7"/>
    <n v="7"/>
    <n v="6"/>
    <n v="7"/>
    <s v="OK"/>
    <s v="OK"/>
    <s v="OK"/>
    <s v="OK"/>
    <x v="56"/>
    <n v="1"/>
    <n v="0.2857142857142857"/>
    <n v="1"/>
  </r>
  <r>
    <n v="30"/>
    <s v="No"/>
    <s v="Non-Travel"/>
    <n v="641"/>
    <x v="0"/>
    <n v="25"/>
    <n v="2"/>
    <s v="Technical Degree"/>
    <n v="1"/>
    <n v="475"/>
    <n v="4"/>
    <s v="Female"/>
    <n v="85"/>
    <n v="3"/>
    <n v="2"/>
    <x v="0"/>
    <n v="3"/>
    <s v="Married"/>
    <n v="4736"/>
    <n v="6069"/>
    <n v="7"/>
    <s v="Y"/>
    <s v="Yes"/>
    <n v="12"/>
    <n v="3"/>
    <n v="2"/>
    <n v="80"/>
    <n v="1"/>
    <n v="4"/>
    <n v="2"/>
    <n v="4"/>
    <n v="2"/>
    <n v="2"/>
    <n v="2"/>
    <n v="2"/>
    <s v="OK"/>
    <s v="OK"/>
    <s v="OK"/>
    <s v="OK"/>
    <x v="3"/>
    <n v="1"/>
    <n v="1"/>
    <n v="1"/>
  </r>
  <r>
    <n v="26"/>
    <s v="No"/>
    <s v="Travel_Rarely"/>
    <n v="933"/>
    <x v="0"/>
    <n v="1"/>
    <n v="3"/>
    <s v="Life Sciences"/>
    <n v="1"/>
    <n v="476"/>
    <n v="3"/>
    <s v="Male"/>
    <n v="57"/>
    <n v="3"/>
    <n v="2"/>
    <x v="0"/>
    <n v="3"/>
    <s v="Married"/>
    <n v="5296"/>
    <n v="20156"/>
    <n v="1"/>
    <s v="Y"/>
    <s v="No"/>
    <n v="17"/>
    <n v="3"/>
    <n v="2"/>
    <n v="80"/>
    <n v="1"/>
    <n v="8"/>
    <n v="3"/>
    <n v="3"/>
    <n v="8"/>
    <n v="7"/>
    <n v="7"/>
    <n v="7"/>
    <s v="OK"/>
    <s v="OK"/>
    <s v="OK"/>
    <s v="OK"/>
    <x v="43"/>
    <n v="0.875"/>
    <n v="0.375"/>
    <n v="0.875"/>
  </r>
  <r>
    <n v="42"/>
    <s v="No"/>
    <s v="Travel_Rarely"/>
    <n v="1332"/>
    <x v="1"/>
    <n v="2"/>
    <n v="4"/>
    <s v="Other"/>
    <n v="1"/>
    <n v="477"/>
    <n v="1"/>
    <s v="Male"/>
    <n v="98"/>
    <n v="2"/>
    <n v="2"/>
    <x v="4"/>
    <n v="4"/>
    <s v="Single"/>
    <n v="6781"/>
    <n v="17078"/>
    <n v="3"/>
    <s v="Y"/>
    <s v="No"/>
    <n v="23"/>
    <n v="4"/>
    <n v="2"/>
    <n v="80"/>
    <n v="0"/>
    <n v="14"/>
    <n v="6"/>
    <n v="3"/>
    <n v="1"/>
    <n v="0"/>
    <n v="0"/>
    <n v="0"/>
    <s v="OK"/>
    <s v="OK"/>
    <s v="OK"/>
    <s v="OK"/>
    <x v="0"/>
    <n v="0"/>
    <n v="6"/>
    <n v="0"/>
  </r>
  <r>
    <n v="21"/>
    <s v="Yes"/>
    <s v="Travel_Frequently"/>
    <n v="756"/>
    <x v="0"/>
    <n v="1"/>
    <n v="1"/>
    <s v="Technical Degree"/>
    <n v="1"/>
    <n v="478"/>
    <n v="1"/>
    <s v="Female"/>
    <n v="99"/>
    <n v="2"/>
    <n v="1"/>
    <x v="6"/>
    <n v="2"/>
    <s v="Single"/>
    <n v="2174"/>
    <n v="9150"/>
    <n v="1"/>
    <s v="Y"/>
    <s v="Yes"/>
    <n v="11"/>
    <n v="3"/>
    <n v="3"/>
    <n v="80"/>
    <n v="0"/>
    <n v="3"/>
    <n v="3"/>
    <n v="3"/>
    <n v="3"/>
    <n v="2"/>
    <n v="1"/>
    <n v="2"/>
    <s v="OK"/>
    <s v="OK"/>
    <s v="OK"/>
    <s v="OK"/>
    <x v="9"/>
    <n v="0.66666666666666663"/>
    <n v="1"/>
    <n v="0.66666666666666663"/>
  </r>
  <r>
    <n v="36"/>
    <s v="No"/>
    <s v="Non-Travel"/>
    <n v="845"/>
    <x v="0"/>
    <n v="1"/>
    <n v="5"/>
    <s v="Medical"/>
    <n v="1"/>
    <n v="479"/>
    <n v="4"/>
    <s v="Female"/>
    <n v="45"/>
    <n v="3"/>
    <n v="2"/>
    <x v="0"/>
    <n v="4"/>
    <s v="Single"/>
    <n v="6653"/>
    <n v="15276"/>
    <n v="4"/>
    <s v="Y"/>
    <s v="No"/>
    <n v="15"/>
    <n v="3"/>
    <n v="2"/>
    <n v="80"/>
    <n v="0"/>
    <n v="7"/>
    <n v="6"/>
    <n v="3"/>
    <n v="1"/>
    <n v="0"/>
    <n v="0"/>
    <n v="0"/>
    <s v="OK"/>
    <s v="OK"/>
    <s v="OK"/>
    <s v="OK"/>
    <x v="0"/>
    <n v="0"/>
    <n v="6"/>
    <n v="0"/>
  </r>
  <r>
    <n v="36"/>
    <s v="No"/>
    <s v="Travel_Frequently"/>
    <n v="541"/>
    <x v="0"/>
    <n v="3"/>
    <n v="4"/>
    <s v="Medical"/>
    <n v="1"/>
    <n v="481"/>
    <n v="1"/>
    <s v="Male"/>
    <n v="48"/>
    <n v="2"/>
    <n v="3"/>
    <x v="0"/>
    <n v="4"/>
    <s v="Married"/>
    <n v="9699"/>
    <n v="7246"/>
    <n v="4"/>
    <s v="Y"/>
    <s v="No"/>
    <n v="11"/>
    <n v="3"/>
    <n v="1"/>
    <n v="80"/>
    <n v="1"/>
    <n v="16"/>
    <n v="2"/>
    <n v="3"/>
    <n v="13"/>
    <n v="9"/>
    <n v="1"/>
    <n v="12"/>
    <s v="OK"/>
    <s v="OK"/>
    <s v="OK"/>
    <s v="OK"/>
    <x v="28"/>
    <n v="0.69230769230769229"/>
    <n v="0.15384615384615385"/>
    <n v="0.92307692307692313"/>
  </r>
  <r>
    <n v="57"/>
    <s v="No"/>
    <s v="Travel_Rarely"/>
    <n v="593"/>
    <x v="1"/>
    <n v="1"/>
    <n v="4"/>
    <s v="Medical"/>
    <n v="1"/>
    <n v="482"/>
    <n v="4"/>
    <s v="Male"/>
    <n v="88"/>
    <n v="3"/>
    <n v="2"/>
    <x v="4"/>
    <n v="3"/>
    <s v="Married"/>
    <n v="6755"/>
    <n v="2967"/>
    <n v="2"/>
    <s v="Y"/>
    <s v="No"/>
    <n v="11"/>
    <n v="3"/>
    <n v="3"/>
    <n v="80"/>
    <n v="0"/>
    <n v="15"/>
    <n v="2"/>
    <n v="3"/>
    <n v="3"/>
    <n v="2"/>
    <n v="1"/>
    <n v="2"/>
    <s v="OK"/>
    <s v="OK"/>
    <s v="OK"/>
    <s v="OK"/>
    <x v="9"/>
    <n v="0.66666666666666663"/>
    <n v="0.66666666666666663"/>
    <n v="0.66666666666666663"/>
  </r>
  <r>
    <n v="40"/>
    <s v="No"/>
    <s v="Travel_Rarely"/>
    <n v="1171"/>
    <x v="1"/>
    <n v="10"/>
    <n v="4"/>
    <s v="Life Sciences"/>
    <n v="1"/>
    <n v="483"/>
    <n v="4"/>
    <s v="Female"/>
    <n v="46"/>
    <n v="4"/>
    <n v="1"/>
    <x v="2"/>
    <n v="3"/>
    <s v="Married"/>
    <n v="2213"/>
    <n v="22495"/>
    <n v="3"/>
    <s v="Y"/>
    <s v="Yes"/>
    <n v="13"/>
    <n v="3"/>
    <n v="3"/>
    <n v="80"/>
    <n v="1"/>
    <n v="10"/>
    <n v="3"/>
    <n v="3"/>
    <n v="7"/>
    <n v="7"/>
    <n v="1"/>
    <n v="7"/>
    <s v="OK"/>
    <s v="OK"/>
    <s v="OK"/>
    <s v="OK"/>
    <x v="20"/>
    <n v="1"/>
    <n v="0.42857142857142855"/>
    <n v="1"/>
  </r>
  <r>
    <n v="21"/>
    <s v="No"/>
    <s v="Non-Travel"/>
    <n v="895"/>
    <x v="0"/>
    <n v="9"/>
    <n v="2"/>
    <s v="Medical"/>
    <n v="1"/>
    <n v="484"/>
    <n v="1"/>
    <s v="Male"/>
    <n v="39"/>
    <n v="3"/>
    <n v="1"/>
    <x v="6"/>
    <n v="4"/>
    <s v="Single"/>
    <n v="2610"/>
    <n v="2851"/>
    <n v="1"/>
    <s v="Y"/>
    <s v="No"/>
    <n v="24"/>
    <n v="4"/>
    <n v="3"/>
    <n v="80"/>
    <n v="0"/>
    <n v="3"/>
    <n v="3"/>
    <n v="2"/>
    <n v="3"/>
    <n v="2"/>
    <n v="2"/>
    <n v="2"/>
    <s v="OK"/>
    <s v="OK"/>
    <s v="OK"/>
    <s v="OK"/>
    <x v="34"/>
    <n v="0.66666666666666663"/>
    <n v="1"/>
    <n v="0.66666666666666663"/>
  </r>
  <r>
    <n v="33"/>
    <s v="Yes"/>
    <s v="Travel_Rarely"/>
    <n v="350"/>
    <x v="0"/>
    <n v="5"/>
    <n v="3"/>
    <s v="Marketing"/>
    <n v="1"/>
    <n v="485"/>
    <n v="4"/>
    <s v="Female"/>
    <n v="34"/>
    <n v="3"/>
    <n v="1"/>
    <x v="6"/>
    <n v="3"/>
    <s v="Single"/>
    <n v="2851"/>
    <n v="9150"/>
    <n v="1"/>
    <s v="Y"/>
    <s v="Yes"/>
    <n v="13"/>
    <n v="3"/>
    <n v="2"/>
    <n v="80"/>
    <n v="0"/>
    <n v="1"/>
    <n v="2"/>
    <n v="3"/>
    <n v="1"/>
    <n v="0"/>
    <n v="0"/>
    <n v="0"/>
    <s v="OK"/>
    <s v="OK"/>
    <s v="OK"/>
    <s v="OK"/>
    <x v="0"/>
    <n v="0"/>
    <n v="2"/>
    <n v="0"/>
  </r>
  <r>
    <n v="37"/>
    <s v="No"/>
    <s v="Travel_Rarely"/>
    <n v="921"/>
    <x v="1"/>
    <n v="10"/>
    <n v="3"/>
    <s v="Medical"/>
    <n v="1"/>
    <n v="486"/>
    <n v="3"/>
    <s v="Female"/>
    <n v="98"/>
    <n v="3"/>
    <n v="1"/>
    <x v="2"/>
    <n v="1"/>
    <s v="Married"/>
    <n v="3452"/>
    <n v="17663"/>
    <n v="6"/>
    <s v="Y"/>
    <s v="No"/>
    <n v="20"/>
    <n v="4"/>
    <n v="2"/>
    <n v="80"/>
    <n v="1"/>
    <n v="17"/>
    <n v="3"/>
    <n v="3"/>
    <n v="5"/>
    <n v="4"/>
    <n v="0"/>
    <n v="3"/>
    <s v="OK"/>
    <s v="OK"/>
    <s v="OK"/>
    <s v="OK"/>
    <x v="0"/>
    <n v="0.8"/>
    <n v="0.6"/>
    <n v="0.6"/>
  </r>
  <r>
    <n v="46"/>
    <s v="No"/>
    <s v="Non-Travel"/>
    <n v="1144"/>
    <x v="1"/>
    <n v="7"/>
    <n v="4"/>
    <s v="Medical"/>
    <n v="1"/>
    <n v="487"/>
    <n v="3"/>
    <s v="Female"/>
    <n v="30"/>
    <n v="3"/>
    <n v="2"/>
    <x v="3"/>
    <n v="3"/>
    <s v="Married"/>
    <n v="5258"/>
    <n v="16044"/>
    <n v="2"/>
    <s v="Y"/>
    <s v="No"/>
    <n v="14"/>
    <n v="3"/>
    <n v="3"/>
    <n v="80"/>
    <n v="0"/>
    <n v="7"/>
    <n v="2"/>
    <n v="4"/>
    <n v="1"/>
    <n v="0"/>
    <n v="0"/>
    <n v="0"/>
    <s v="OK"/>
    <s v="OK"/>
    <s v="OK"/>
    <s v="OK"/>
    <x v="0"/>
    <n v="0"/>
    <n v="2"/>
    <n v="0"/>
  </r>
  <r>
    <n v="41"/>
    <s v="Yes"/>
    <s v="Travel_Frequently"/>
    <n v="143"/>
    <x v="0"/>
    <n v="4"/>
    <n v="3"/>
    <s v="Marketing"/>
    <n v="1"/>
    <n v="488"/>
    <n v="1"/>
    <s v="Male"/>
    <n v="56"/>
    <n v="3"/>
    <n v="2"/>
    <x v="0"/>
    <n v="2"/>
    <s v="Single"/>
    <n v="9355"/>
    <n v="9558"/>
    <n v="1"/>
    <s v="Y"/>
    <s v="No"/>
    <n v="18"/>
    <n v="3"/>
    <n v="3"/>
    <n v="80"/>
    <n v="0"/>
    <n v="8"/>
    <n v="5"/>
    <n v="3"/>
    <n v="8"/>
    <n v="7"/>
    <n v="7"/>
    <n v="7"/>
    <s v="OK"/>
    <s v="OK"/>
    <s v="OK"/>
    <s v="OK"/>
    <x v="43"/>
    <n v="0.875"/>
    <n v="0.625"/>
    <n v="0.875"/>
  </r>
  <r>
    <n v="50"/>
    <s v="No"/>
    <s v="Travel_Rarely"/>
    <n v="1046"/>
    <x v="1"/>
    <n v="10"/>
    <n v="3"/>
    <s v="Technical Degree"/>
    <n v="1"/>
    <n v="491"/>
    <n v="4"/>
    <s v="Male"/>
    <n v="100"/>
    <n v="2"/>
    <n v="3"/>
    <x v="4"/>
    <n v="4"/>
    <s v="Single"/>
    <n v="10496"/>
    <n v="2755"/>
    <n v="6"/>
    <s v="Y"/>
    <s v="No"/>
    <n v="15"/>
    <n v="3"/>
    <n v="4"/>
    <n v="80"/>
    <n v="0"/>
    <n v="20"/>
    <n v="2"/>
    <n v="3"/>
    <n v="4"/>
    <n v="3"/>
    <n v="1"/>
    <n v="3"/>
    <s v="OK"/>
    <s v="OK"/>
    <s v="OK"/>
    <s v="OK"/>
    <x v="10"/>
    <n v="0.75"/>
    <n v="0.5"/>
    <n v="0.75"/>
  </r>
  <r>
    <n v="40"/>
    <s v="Yes"/>
    <s v="Travel_Rarely"/>
    <n v="575"/>
    <x v="0"/>
    <n v="22"/>
    <n v="2"/>
    <s v="Marketing"/>
    <n v="1"/>
    <n v="492"/>
    <n v="3"/>
    <s v="Male"/>
    <n v="68"/>
    <n v="2"/>
    <n v="2"/>
    <x v="0"/>
    <n v="3"/>
    <s v="Married"/>
    <n v="6380"/>
    <n v="6110"/>
    <n v="2"/>
    <s v="Y"/>
    <s v="Yes"/>
    <n v="12"/>
    <n v="3"/>
    <n v="1"/>
    <n v="80"/>
    <n v="2"/>
    <n v="8"/>
    <n v="6"/>
    <n v="3"/>
    <n v="6"/>
    <n v="4"/>
    <n v="1"/>
    <n v="0"/>
    <s v="OK"/>
    <s v="OK"/>
    <s v="OK"/>
    <s v="OK"/>
    <x v="11"/>
    <n v="0.66666666666666663"/>
    <n v="1"/>
    <n v="0"/>
  </r>
  <r>
    <n v="31"/>
    <s v="No"/>
    <s v="Travel_Rarely"/>
    <n v="408"/>
    <x v="1"/>
    <n v="9"/>
    <n v="4"/>
    <s v="Life Sciences"/>
    <n v="1"/>
    <n v="493"/>
    <n v="3"/>
    <s v="Male"/>
    <n v="42"/>
    <n v="2"/>
    <n v="1"/>
    <x v="1"/>
    <n v="2"/>
    <s v="Single"/>
    <n v="2657"/>
    <n v="7551"/>
    <n v="0"/>
    <s v="Y"/>
    <s v="Yes"/>
    <n v="16"/>
    <n v="3"/>
    <n v="4"/>
    <n v="80"/>
    <n v="0"/>
    <n v="3"/>
    <n v="5"/>
    <n v="3"/>
    <n v="2"/>
    <n v="2"/>
    <n v="2"/>
    <n v="2"/>
    <s v="OK"/>
    <s v="OK"/>
    <s v="OK"/>
    <s v="OK"/>
    <x v="3"/>
    <n v="1"/>
    <n v="2.5"/>
    <n v="1"/>
  </r>
  <r>
    <n v="21"/>
    <s v="Yes"/>
    <s v="Travel_Rarely"/>
    <n v="156"/>
    <x v="0"/>
    <n v="12"/>
    <n v="3"/>
    <s v="Life Sciences"/>
    <n v="1"/>
    <n v="494"/>
    <n v="3"/>
    <s v="Female"/>
    <n v="90"/>
    <n v="4"/>
    <n v="1"/>
    <x v="6"/>
    <n v="2"/>
    <s v="Single"/>
    <n v="2716"/>
    <n v="25422"/>
    <n v="1"/>
    <s v="Y"/>
    <s v="No"/>
    <n v="15"/>
    <n v="3"/>
    <n v="4"/>
    <n v="80"/>
    <n v="0"/>
    <n v="1"/>
    <n v="0"/>
    <n v="3"/>
    <n v="1"/>
    <n v="0"/>
    <n v="0"/>
    <n v="0"/>
    <s v="OK"/>
    <s v="OK"/>
    <s v="OK"/>
    <s v="OK"/>
    <x v="0"/>
    <n v="0"/>
    <n v="0"/>
    <n v="0"/>
  </r>
  <r>
    <n v="29"/>
    <s v="No"/>
    <s v="Travel_Rarely"/>
    <n v="1283"/>
    <x v="1"/>
    <n v="23"/>
    <n v="3"/>
    <s v="Life Sciences"/>
    <n v="1"/>
    <n v="495"/>
    <n v="4"/>
    <s v="Male"/>
    <n v="54"/>
    <n v="3"/>
    <n v="1"/>
    <x v="1"/>
    <n v="4"/>
    <s v="Single"/>
    <n v="2201"/>
    <n v="18168"/>
    <n v="9"/>
    <s v="Y"/>
    <s v="No"/>
    <n v="16"/>
    <n v="3"/>
    <n v="4"/>
    <n v="80"/>
    <n v="0"/>
    <n v="6"/>
    <n v="4"/>
    <n v="3"/>
    <n v="3"/>
    <n v="2"/>
    <n v="1"/>
    <n v="2"/>
    <s v="OK"/>
    <s v="OK"/>
    <s v="OK"/>
    <s v="OK"/>
    <x v="9"/>
    <n v="0.66666666666666663"/>
    <n v="1.3333333333333333"/>
    <n v="0.66666666666666663"/>
  </r>
  <r>
    <n v="35"/>
    <s v="No"/>
    <s v="Travel_Rarely"/>
    <n v="755"/>
    <x v="1"/>
    <n v="9"/>
    <n v="4"/>
    <s v="Life Sciences"/>
    <n v="1"/>
    <n v="496"/>
    <n v="3"/>
    <s v="Male"/>
    <n v="97"/>
    <n v="2"/>
    <n v="2"/>
    <x v="4"/>
    <n v="2"/>
    <s v="Single"/>
    <n v="6540"/>
    <n v="19394"/>
    <n v="9"/>
    <s v="Y"/>
    <s v="No"/>
    <n v="19"/>
    <n v="3"/>
    <n v="3"/>
    <n v="80"/>
    <n v="0"/>
    <n v="10"/>
    <n v="5"/>
    <n v="3"/>
    <n v="1"/>
    <n v="1"/>
    <n v="0"/>
    <n v="0"/>
    <s v="OK"/>
    <s v="OK"/>
    <s v="OK"/>
    <s v="OK"/>
    <x v="0"/>
    <n v="1"/>
    <n v="5"/>
    <n v="0"/>
  </r>
  <r>
    <n v="27"/>
    <s v="No"/>
    <s v="Travel_Rarely"/>
    <n v="1469"/>
    <x v="1"/>
    <n v="1"/>
    <n v="2"/>
    <s v="Medical"/>
    <n v="1"/>
    <n v="497"/>
    <n v="4"/>
    <s v="Male"/>
    <n v="82"/>
    <n v="3"/>
    <n v="1"/>
    <x v="2"/>
    <n v="2"/>
    <s v="Divorced"/>
    <n v="3816"/>
    <n v="17881"/>
    <n v="1"/>
    <s v="Y"/>
    <s v="No"/>
    <n v="11"/>
    <n v="3"/>
    <n v="2"/>
    <n v="80"/>
    <n v="1"/>
    <n v="5"/>
    <n v="2"/>
    <n v="3"/>
    <n v="5"/>
    <n v="2"/>
    <n v="0"/>
    <n v="4"/>
    <s v="OK"/>
    <s v="OK"/>
    <s v="OK"/>
    <s v="OK"/>
    <x v="0"/>
    <n v="0.4"/>
    <n v="0.4"/>
    <n v="0.8"/>
  </r>
  <r>
    <n v="28"/>
    <s v="No"/>
    <s v="Travel_Rarely"/>
    <n v="304"/>
    <x v="0"/>
    <n v="9"/>
    <n v="4"/>
    <s v="Life Sciences"/>
    <n v="1"/>
    <n v="498"/>
    <n v="2"/>
    <s v="Male"/>
    <n v="92"/>
    <n v="3"/>
    <n v="2"/>
    <x v="0"/>
    <n v="4"/>
    <s v="Single"/>
    <n v="5253"/>
    <n v="20750"/>
    <n v="1"/>
    <s v="Y"/>
    <s v="No"/>
    <n v="16"/>
    <n v="3"/>
    <n v="4"/>
    <n v="80"/>
    <n v="0"/>
    <n v="7"/>
    <n v="1"/>
    <n v="3"/>
    <n v="7"/>
    <n v="5"/>
    <n v="0"/>
    <n v="7"/>
    <s v="OK"/>
    <s v="OK"/>
    <s v="OK"/>
    <s v="OK"/>
    <x v="0"/>
    <n v="0.7142857142857143"/>
    <n v="0.14285714285714285"/>
    <n v="1"/>
  </r>
  <r>
    <n v="49"/>
    <s v="No"/>
    <s v="Travel_Rarely"/>
    <n v="1261"/>
    <x v="1"/>
    <n v="7"/>
    <n v="3"/>
    <s v="Other"/>
    <n v="1"/>
    <n v="499"/>
    <n v="2"/>
    <s v="Male"/>
    <n v="31"/>
    <n v="2"/>
    <n v="3"/>
    <x v="4"/>
    <n v="3"/>
    <s v="Single"/>
    <n v="10965"/>
    <n v="12066"/>
    <n v="8"/>
    <s v="Y"/>
    <s v="No"/>
    <n v="24"/>
    <n v="4"/>
    <n v="3"/>
    <n v="80"/>
    <n v="0"/>
    <n v="26"/>
    <n v="2"/>
    <n v="3"/>
    <n v="5"/>
    <n v="2"/>
    <n v="0"/>
    <n v="0"/>
    <s v="OK"/>
    <s v="OK"/>
    <s v="OK"/>
    <s v="OK"/>
    <x v="0"/>
    <n v="0.4"/>
    <n v="0.4"/>
    <n v="0"/>
  </r>
  <r>
    <n v="51"/>
    <s v="No"/>
    <s v="Travel_Rarely"/>
    <n v="1178"/>
    <x v="0"/>
    <n v="14"/>
    <n v="2"/>
    <s v="Life Sciences"/>
    <n v="1"/>
    <n v="500"/>
    <n v="3"/>
    <s v="Female"/>
    <n v="87"/>
    <n v="3"/>
    <n v="2"/>
    <x v="0"/>
    <n v="4"/>
    <s v="Married"/>
    <n v="4936"/>
    <n v="14862"/>
    <n v="4"/>
    <s v="Y"/>
    <s v="No"/>
    <n v="11"/>
    <n v="3"/>
    <n v="3"/>
    <n v="80"/>
    <n v="1"/>
    <n v="18"/>
    <n v="2"/>
    <n v="2"/>
    <n v="7"/>
    <n v="7"/>
    <n v="0"/>
    <n v="7"/>
    <s v="OK"/>
    <s v="OK"/>
    <s v="OK"/>
    <s v="OK"/>
    <x v="0"/>
    <n v="1"/>
    <n v="0.2857142857142857"/>
    <n v="1"/>
  </r>
  <r>
    <n v="36"/>
    <s v="No"/>
    <s v="Travel_Rarely"/>
    <n v="329"/>
    <x v="1"/>
    <n v="2"/>
    <n v="3"/>
    <s v="Life Sciences"/>
    <n v="1"/>
    <n v="501"/>
    <n v="4"/>
    <s v="Female"/>
    <n v="96"/>
    <n v="3"/>
    <n v="1"/>
    <x v="1"/>
    <n v="3"/>
    <s v="Married"/>
    <n v="2543"/>
    <n v="11868"/>
    <n v="4"/>
    <s v="Y"/>
    <s v="No"/>
    <n v="13"/>
    <n v="3"/>
    <n v="2"/>
    <n v="80"/>
    <n v="1"/>
    <n v="6"/>
    <n v="3"/>
    <n v="3"/>
    <n v="2"/>
    <n v="2"/>
    <n v="2"/>
    <n v="2"/>
    <s v="OK"/>
    <s v="OK"/>
    <s v="OK"/>
    <s v="OK"/>
    <x v="3"/>
    <n v="1"/>
    <n v="1.5"/>
    <n v="1"/>
  </r>
  <r>
    <n v="34"/>
    <s v="Yes"/>
    <s v="Non-Travel"/>
    <n v="1362"/>
    <x v="0"/>
    <n v="19"/>
    <n v="3"/>
    <s v="Marketing"/>
    <n v="1"/>
    <n v="502"/>
    <n v="1"/>
    <s v="Male"/>
    <n v="67"/>
    <n v="4"/>
    <n v="2"/>
    <x v="0"/>
    <n v="4"/>
    <s v="Single"/>
    <n v="5304"/>
    <n v="4652"/>
    <n v="8"/>
    <s v="Y"/>
    <s v="Yes"/>
    <n v="13"/>
    <n v="3"/>
    <n v="2"/>
    <n v="80"/>
    <n v="0"/>
    <n v="9"/>
    <n v="3"/>
    <n v="2"/>
    <n v="5"/>
    <n v="2"/>
    <n v="0"/>
    <n v="4"/>
    <s v="OK"/>
    <s v="OK"/>
    <s v="OK"/>
    <s v="OK"/>
    <x v="0"/>
    <n v="0.4"/>
    <n v="0.6"/>
    <n v="0.8"/>
  </r>
  <r>
    <n v="55"/>
    <s v="No"/>
    <s v="Travel_Rarely"/>
    <n v="1311"/>
    <x v="1"/>
    <n v="2"/>
    <n v="3"/>
    <s v="Life Sciences"/>
    <n v="1"/>
    <n v="505"/>
    <n v="3"/>
    <s v="Female"/>
    <n v="97"/>
    <n v="3"/>
    <n v="4"/>
    <x v="5"/>
    <n v="4"/>
    <s v="Single"/>
    <n v="16659"/>
    <n v="23258"/>
    <n v="2"/>
    <s v="Y"/>
    <s v="Yes"/>
    <n v="13"/>
    <n v="3"/>
    <n v="3"/>
    <n v="80"/>
    <n v="0"/>
    <n v="30"/>
    <n v="2"/>
    <n v="3"/>
    <n v="5"/>
    <n v="4"/>
    <n v="1"/>
    <n v="2"/>
    <s v="OK"/>
    <s v="OK"/>
    <s v="OK"/>
    <s v="OK"/>
    <x v="16"/>
    <n v="0.8"/>
    <n v="0.4"/>
    <n v="0.4"/>
  </r>
  <r>
    <n v="24"/>
    <s v="No"/>
    <s v="Travel_Rarely"/>
    <n v="1371"/>
    <x v="0"/>
    <n v="10"/>
    <n v="4"/>
    <s v="Marketing"/>
    <n v="1"/>
    <n v="507"/>
    <n v="4"/>
    <s v="Female"/>
    <n v="77"/>
    <n v="3"/>
    <n v="2"/>
    <x v="0"/>
    <n v="3"/>
    <s v="Divorced"/>
    <n v="4260"/>
    <n v="5915"/>
    <n v="1"/>
    <s v="Y"/>
    <s v="Yes"/>
    <n v="12"/>
    <n v="3"/>
    <n v="4"/>
    <n v="80"/>
    <n v="1"/>
    <n v="5"/>
    <n v="2"/>
    <n v="4"/>
    <n v="5"/>
    <n v="2"/>
    <n v="0"/>
    <n v="3"/>
    <s v="OK"/>
    <s v="OK"/>
    <s v="OK"/>
    <s v="OK"/>
    <x v="0"/>
    <n v="0.4"/>
    <n v="0.4"/>
    <n v="0.6"/>
  </r>
  <r>
    <n v="30"/>
    <s v="No"/>
    <s v="Travel_Rarely"/>
    <n v="202"/>
    <x v="0"/>
    <n v="2"/>
    <n v="1"/>
    <s v="Technical Degree"/>
    <n v="1"/>
    <n v="508"/>
    <n v="3"/>
    <s v="Male"/>
    <n v="72"/>
    <n v="3"/>
    <n v="1"/>
    <x v="6"/>
    <n v="2"/>
    <s v="Married"/>
    <n v="2476"/>
    <n v="17434"/>
    <n v="1"/>
    <s v="Y"/>
    <s v="No"/>
    <n v="18"/>
    <n v="3"/>
    <n v="1"/>
    <n v="80"/>
    <n v="1"/>
    <n v="1"/>
    <n v="3"/>
    <n v="3"/>
    <n v="1"/>
    <n v="0"/>
    <n v="0"/>
    <n v="0"/>
    <s v="OK"/>
    <s v="OK"/>
    <s v="OK"/>
    <s v="OK"/>
    <x v="0"/>
    <n v="0"/>
    <n v="3"/>
    <n v="0"/>
  </r>
  <r>
    <n v="26"/>
    <s v="Yes"/>
    <s v="Travel_Frequently"/>
    <n v="575"/>
    <x v="1"/>
    <n v="3"/>
    <n v="1"/>
    <s v="Technical Degree"/>
    <n v="1"/>
    <n v="510"/>
    <n v="3"/>
    <s v="Male"/>
    <n v="73"/>
    <n v="3"/>
    <n v="1"/>
    <x v="1"/>
    <n v="1"/>
    <s v="Single"/>
    <n v="3102"/>
    <n v="6582"/>
    <n v="0"/>
    <s v="Y"/>
    <s v="No"/>
    <n v="22"/>
    <n v="4"/>
    <n v="3"/>
    <n v="80"/>
    <n v="0"/>
    <n v="7"/>
    <n v="2"/>
    <n v="3"/>
    <n v="6"/>
    <n v="4"/>
    <n v="0"/>
    <n v="4"/>
    <s v="OK"/>
    <s v="OK"/>
    <s v="OK"/>
    <s v="OK"/>
    <x v="0"/>
    <n v="0.66666666666666663"/>
    <n v="0.33333333333333331"/>
    <n v="0.66666666666666663"/>
  </r>
  <r>
    <n v="22"/>
    <s v="No"/>
    <s v="Travel_Rarely"/>
    <n v="253"/>
    <x v="1"/>
    <n v="11"/>
    <n v="3"/>
    <s v="Medical"/>
    <n v="1"/>
    <n v="511"/>
    <n v="1"/>
    <s v="Female"/>
    <n v="43"/>
    <n v="3"/>
    <n v="1"/>
    <x v="1"/>
    <n v="2"/>
    <s v="Married"/>
    <n v="2244"/>
    <n v="24440"/>
    <n v="1"/>
    <s v="Y"/>
    <s v="No"/>
    <n v="13"/>
    <n v="3"/>
    <n v="4"/>
    <n v="80"/>
    <n v="1"/>
    <n v="2"/>
    <n v="1"/>
    <n v="3"/>
    <n v="2"/>
    <n v="1"/>
    <n v="1"/>
    <n v="2"/>
    <s v="OK"/>
    <s v="OK"/>
    <s v="OK"/>
    <s v="OK"/>
    <x v="7"/>
    <n v="0.5"/>
    <n v="0.5"/>
    <n v="1"/>
  </r>
  <r>
    <n v="36"/>
    <s v="No"/>
    <s v="Travel_Rarely"/>
    <n v="164"/>
    <x v="0"/>
    <n v="2"/>
    <n v="2"/>
    <s v="Medical"/>
    <n v="1"/>
    <n v="513"/>
    <n v="2"/>
    <s v="Male"/>
    <n v="61"/>
    <n v="2"/>
    <n v="3"/>
    <x v="0"/>
    <n v="3"/>
    <s v="Married"/>
    <n v="7596"/>
    <n v="3809"/>
    <n v="1"/>
    <s v="Y"/>
    <s v="No"/>
    <n v="13"/>
    <n v="3"/>
    <n v="2"/>
    <n v="80"/>
    <n v="2"/>
    <n v="10"/>
    <n v="2"/>
    <n v="3"/>
    <n v="10"/>
    <n v="9"/>
    <n v="9"/>
    <n v="0"/>
    <s v="OK"/>
    <s v="OK"/>
    <s v="OK"/>
    <s v="OK"/>
    <x v="22"/>
    <n v="0.9"/>
    <n v="0.2"/>
    <n v="0"/>
  </r>
  <r>
    <n v="30"/>
    <s v="Yes"/>
    <s v="Travel_Frequently"/>
    <n v="464"/>
    <x v="1"/>
    <n v="4"/>
    <n v="3"/>
    <s v="Technical Degree"/>
    <n v="1"/>
    <n v="514"/>
    <n v="3"/>
    <s v="Male"/>
    <n v="40"/>
    <n v="3"/>
    <n v="1"/>
    <x v="1"/>
    <n v="4"/>
    <s v="Single"/>
    <n v="2285"/>
    <n v="3427"/>
    <n v="9"/>
    <s v="Y"/>
    <s v="Yes"/>
    <n v="23"/>
    <n v="4"/>
    <n v="3"/>
    <n v="80"/>
    <n v="0"/>
    <n v="3"/>
    <n v="4"/>
    <n v="3"/>
    <n v="1"/>
    <n v="0"/>
    <n v="0"/>
    <n v="0"/>
    <s v="OK"/>
    <s v="OK"/>
    <s v="OK"/>
    <s v="OK"/>
    <x v="0"/>
    <n v="0"/>
    <n v="4"/>
    <n v="0"/>
  </r>
  <r>
    <n v="37"/>
    <s v="No"/>
    <s v="Travel_Rarely"/>
    <n v="1107"/>
    <x v="1"/>
    <n v="14"/>
    <n v="3"/>
    <s v="Life Sciences"/>
    <n v="1"/>
    <n v="515"/>
    <n v="4"/>
    <s v="Female"/>
    <n v="95"/>
    <n v="3"/>
    <n v="1"/>
    <x v="2"/>
    <n v="1"/>
    <s v="Divorced"/>
    <n v="3034"/>
    <n v="26914"/>
    <n v="1"/>
    <s v="Y"/>
    <s v="No"/>
    <n v="12"/>
    <n v="3"/>
    <n v="3"/>
    <n v="80"/>
    <n v="1"/>
    <n v="18"/>
    <n v="2"/>
    <n v="2"/>
    <n v="18"/>
    <n v="7"/>
    <n v="12"/>
    <n v="17"/>
    <s v="OK"/>
    <s v="OK"/>
    <s v="OK"/>
    <s v="OK"/>
    <x v="34"/>
    <n v="0.3888888888888889"/>
    <n v="0.1111111111111111"/>
    <n v="0.94444444444444442"/>
  </r>
  <r>
    <n v="40"/>
    <s v="No"/>
    <s v="Travel_Rarely"/>
    <n v="759"/>
    <x v="0"/>
    <n v="2"/>
    <n v="2"/>
    <s v="Marketing"/>
    <n v="1"/>
    <n v="516"/>
    <n v="4"/>
    <s v="Female"/>
    <n v="46"/>
    <n v="3"/>
    <n v="2"/>
    <x v="0"/>
    <n v="2"/>
    <s v="Divorced"/>
    <n v="5715"/>
    <n v="22553"/>
    <n v="7"/>
    <s v="Y"/>
    <s v="No"/>
    <n v="12"/>
    <n v="3"/>
    <n v="3"/>
    <n v="80"/>
    <n v="2"/>
    <n v="8"/>
    <n v="5"/>
    <n v="3"/>
    <n v="5"/>
    <n v="4"/>
    <n v="1"/>
    <n v="3"/>
    <s v="OK"/>
    <s v="OK"/>
    <s v="OK"/>
    <s v="OK"/>
    <x v="16"/>
    <n v="0.8"/>
    <n v="1"/>
    <n v="0.6"/>
  </r>
  <r>
    <n v="42"/>
    <s v="No"/>
    <s v="Travel_Rarely"/>
    <n v="201"/>
    <x v="1"/>
    <n v="1"/>
    <n v="4"/>
    <s v="Life Sciences"/>
    <n v="1"/>
    <n v="517"/>
    <n v="2"/>
    <s v="Female"/>
    <n v="95"/>
    <n v="3"/>
    <n v="1"/>
    <x v="2"/>
    <n v="1"/>
    <s v="Divorced"/>
    <n v="2576"/>
    <n v="20490"/>
    <n v="3"/>
    <s v="Y"/>
    <s v="No"/>
    <n v="16"/>
    <n v="3"/>
    <n v="2"/>
    <n v="80"/>
    <n v="1"/>
    <n v="8"/>
    <n v="5"/>
    <n v="3"/>
    <n v="5"/>
    <n v="2"/>
    <n v="1"/>
    <n v="2"/>
    <s v="OK"/>
    <s v="OK"/>
    <s v="OK"/>
    <s v="OK"/>
    <x v="16"/>
    <n v="0.4"/>
    <n v="1"/>
    <n v="0.4"/>
  </r>
  <r>
    <n v="37"/>
    <s v="No"/>
    <s v="Travel_Rarely"/>
    <n v="1305"/>
    <x v="1"/>
    <n v="10"/>
    <n v="4"/>
    <s v="Life Sciences"/>
    <n v="1"/>
    <n v="518"/>
    <n v="3"/>
    <s v="Male"/>
    <n v="49"/>
    <n v="3"/>
    <n v="2"/>
    <x v="3"/>
    <n v="2"/>
    <s v="Single"/>
    <n v="4197"/>
    <n v="21123"/>
    <n v="2"/>
    <s v="Y"/>
    <s v="Yes"/>
    <n v="12"/>
    <n v="3"/>
    <n v="4"/>
    <n v="80"/>
    <n v="0"/>
    <n v="18"/>
    <n v="2"/>
    <n v="2"/>
    <n v="1"/>
    <n v="0"/>
    <n v="0"/>
    <n v="1"/>
    <s v="OK"/>
    <s v="OK"/>
    <s v="OK"/>
    <s v="OK"/>
    <x v="0"/>
    <n v="0"/>
    <n v="2"/>
    <n v="1"/>
  </r>
  <r>
    <n v="43"/>
    <s v="No"/>
    <s v="Travel_Rarely"/>
    <n v="982"/>
    <x v="1"/>
    <n v="12"/>
    <n v="3"/>
    <s v="Life Sciences"/>
    <n v="1"/>
    <n v="520"/>
    <n v="1"/>
    <s v="Male"/>
    <n v="59"/>
    <n v="2"/>
    <n v="4"/>
    <x v="7"/>
    <n v="2"/>
    <s v="Divorced"/>
    <n v="14336"/>
    <n v="4345"/>
    <n v="1"/>
    <s v="Y"/>
    <s v="No"/>
    <n v="11"/>
    <n v="3"/>
    <n v="3"/>
    <n v="80"/>
    <n v="1"/>
    <n v="25"/>
    <n v="3"/>
    <n v="3"/>
    <n v="25"/>
    <n v="10"/>
    <n v="3"/>
    <n v="9"/>
    <s v="OK"/>
    <s v="OK"/>
    <s v="OK"/>
    <s v="OK"/>
    <x v="8"/>
    <n v="0.4"/>
    <n v="0.12"/>
    <n v="0.36"/>
  </r>
  <r>
    <n v="40"/>
    <s v="No"/>
    <s v="Travel_Rarely"/>
    <n v="555"/>
    <x v="1"/>
    <n v="2"/>
    <n v="3"/>
    <s v="Medical"/>
    <n v="1"/>
    <n v="521"/>
    <n v="2"/>
    <s v="Female"/>
    <n v="78"/>
    <n v="2"/>
    <n v="2"/>
    <x v="2"/>
    <n v="3"/>
    <s v="Married"/>
    <n v="3448"/>
    <n v="13436"/>
    <n v="6"/>
    <s v="Y"/>
    <s v="No"/>
    <n v="22"/>
    <n v="4"/>
    <n v="2"/>
    <n v="80"/>
    <n v="1"/>
    <n v="20"/>
    <n v="3"/>
    <n v="3"/>
    <n v="1"/>
    <n v="0"/>
    <n v="0"/>
    <n v="0"/>
    <s v="OK"/>
    <s v="OK"/>
    <s v="OK"/>
    <s v="OK"/>
    <x v="0"/>
    <n v="0"/>
    <n v="3"/>
    <n v="0"/>
  </r>
  <r>
    <n v="54"/>
    <s v="No"/>
    <s v="Travel_Rarely"/>
    <n v="821"/>
    <x v="1"/>
    <n v="5"/>
    <n v="2"/>
    <s v="Medical"/>
    <n v="1"/>
    <n v="522"/>
    <n v="1"/>
    <s v="Male"/>
    <n v="86"/>
    <n v="3"/>
    <n v="5"/>
    <x v="7"/>
    <n v="1"/>
    <s v="Married"/>
    <n v="19406"/>
    <n v="8509"/>
    <n v="4"/>
    <s v="Y"/>
    <s v="No"/>
    <n v="11"/>
    <n v="3"/>
    <n v="3"/>
    <n v="80"/>
    <n v="1"/>
    <n v="24"/>
    <n v="4"/>
    <n v="2"/>
    <n v="4"/>
    <n v="2"/>
    <n v="1"/>
    <n v="2"/>
    <s v="OK"/>
    <s v="OK"/>
    <s v="OK"/>
    <s v="OK"/>
    <x v="10"/>
    <n v="0.5"/>
    <n v="1"/>
    <n v="0.5"/>
  </r>
  <r>
    <n v="34"/>
    <s v="No"/>
    <s v="Non-Travel"/>
    <n v="1381"/>
    <x v="0"/>
    <n v="4"/>
    <n v="4"/>
    <s v="Marketing"/>
    <n v="1"/>
    <n v="523"/>
    <n v="3"/>
    <s v="Female"/>
    <n v="72"/>
    <n v="3"/>
    <n v="2"/>
    <x v="0"/>
    <n v="3"/>
    <s v="Married"/>
    <n v="6538"/>
    <n v="12740"/>
    <n v="9"/>
    <s v="Y"/>
    <s v="No"/>
    <n v="15"/>
    <n v="3"/>
    <n v="1"/>
    <n v="80"/>
    <n v="1"/>
    <n v="6"/>
    <n v="3"/>
    <n v="3"/>
    <n v="3"/>
    <n v="2"/>
    <n v="1"/>
    <n v="2"/>
    <s v="OK"/>
    <s v="OK"/>
    <s v="OK"/>
    <s v="OK"/>
    <x v="9"/>
    <n v="0.66666666666666663"/>
    <n v="1"/>
    <n v="0.66666666666666663"/>
  </r>
  <r>
    <n v="31"/>
    <s v="No"/>
    <s v="Travel_Rarely"/>
    <n v="480"/>
    <x v="1"/>
    <n v="7"/>
    <n v="2"/>
    <s v="Medical"/>
    <n v="1"/>
    <n v="524"/>
    <n v="2"/>
    <s v="Female"/>
    <n v="31"/>
    <n v="3"/>
    <n v="2"/>
    <x v="3"/>
    <n v="1"/>
    <s v="Married"/>
    <n v="4306"/>
    <n v="4156"/>
    <n v="1"/>
    <s v="Y"/>
    <s v="No"/>
    <n v="12"/>
    <n v="3"/>
    <n v="2"/>
    <n v="80"/>
    <n v="1"/>
    <n v="13"/>
    <n v="5"/>
    <n v="1"/>
    <n v="13"/>
    <n v="10"/>
    <n v="3"/>
    <n v="12"/>
    <s v="OK"/>
    <s v="OK"/>
    <s v="OK"/>
    <s v="OK"/>
    <x v="50"/>
    <n v="0.76923076923076927"/>
    <n v="0.38461538461538464"/>
    <n v="0.92307692307692313"/>
  </r>
  <r>
    <n v="43"/>
    <s v="No"/>
    <s v="Travel_Frequently"/>
    <n v="313"/>
    <x v="1"/>
    <n v="21"/>
    <n v="3"/>
    <s v="Medical"/>
    <n v="1"/>
    <n v="525"/>
    <n v="4"/>
    <s v="Male"/>
    <n v="61"/>
    <n v="3"/>
    <n v="1"/>
    <x v="2"/>
    <n v="4"/>
    <s v="Married"/>
    <n v="2258"/>
    <n v="15238"/>
    <n v="7"/>
    <s v="Y"/>
    <s v="No"/>
    <n v="20"/>
    <n v="4"/>
    <n v="1"/>
    <n v="80"/>
    <n v="1"/>
    <n v="8"/>
    <n v="1"/>
    <n v="3"/>
    <n v="3"/>
    <n v="2"/>
    <n v="1"/>
    <n v="2"/>
    <s v="OK"/>
    <s v="OK"/>
    <s v="OK"/>
    <s v="OK"/>
    <x v="9"/>
    <n v="0.66666666666666663"/>
    <n v="0.33333333333333331"/>
    <n v="0.66666666666666663"/>
  </r>
  <r>
    <n v="43"/>
    <s v="No"/>
    <s v="Travel_Rarely"/>
    <n v="1473"/>
    <x v="1"/>
    <n v="8"/>
    <n v="4"/>
    <s v="Other"/>
    <n v="1"/>
    <n v="526"/>
    <n v="3"/>
    <s v="Female"/>
    <n v="74"/>
    <n v="3"/>
    <n v="2"/>
    <x v="4"/>
    <n v="3"/>
    <s v="Divorced"/>
    <n v="4522"/>
    <n v="2227"/>
    <n v="4"/>
    <s v="Y"/>
    <s v="Yes"/>
    <n v="14"/>
    <n v="3"/>
    <n v="4"/>
    <n v="80"/>
    <n v="0"/>
    <n v="8"/>
    <n v="3"/>
    <n v="3"/>
    <n v="5"/>
    <n v="2"/>
    <n v="0"/>
    <n v="2"/>
    <s v="OK"/>
    <s v="OK"/>
    <s v="OK"/>
    <s v="OK"/>
    <x v="0"/>
    <n v="0.4"/>
    <n v="0.6"/>
    <n v="0.4"/>
  </r>
  <r>
    <n v="25"/>
    <s v="No"/>
    <s v="Travel_Rarely"/>
    <n v="891"/>
    <x v="0"/>
    <n v="4"/>
    <n v="2"/>
    <s v="Life Sciences"/>
    <n v="1"/>
    <n v="527"/>
    <n v="2"/>
    <s v="Female"/>
    <n v="99"/>
    <n v="2"/>
    <n v="2"/>
    <x v="0"/>
    <n v="4"/>
    <s v="Single"/>
    <n v="4487"/>
    <n v="12090"/>
    <n v="1"/>
    <s v="Y"/>
    <s v="Yes"/>
    <n v="11"/>
    <n v="3"/>
    <n v="2"/>
    <n v="80"/>
    <n v="0"/>
    <n v="5"/>
    <n v="3"/>
    <n v="3"/>
    <n v="5"/>
    <n v="4"/>
    <n v="1"/>
    <n v="3"/>
    <s v="OK"/>
    <s v="OK"/>
    <s v="OK"/>
    <s v="OK"/>
    <x v="16"/>
    <n v="0.8"/>
    <n v="0.6"/>
    <n v="0.6"/>
  </r>
  <r>
    <n v="37"/>
    <s v="No"/>
    <s v="Non-Travel"/>
    <n v="1063"/>
    <x v="1"/>
    <n v="25"/>
    <n v="5"/>
    <s v="Medical"/>
    <n v="1"/>
    <n v="529"/>
    <n v="2"/>
    <s v="Female"/>
    <n v="72"/>
    <n v="3"/>
    <n v="2"/>
    <x v="1"/>
    <n v="3"/>
    <s v="Married"/>
    <n v="4449"/>
    <n v="23866"/>
    <n v="3"/>
    <s v="Y"/>
    <s v="Yes"/>
    <n v="15"/>
    <n v="3"/>
    <n v="1"/>
    <n v="80"/>
    <n v="2"/>
    <n v="15"/>
    <n v="2"/>
    <n v="3"/>
    <n v="13"/>
    <n v="11"/>
    <n v="10"/>
    <n v="7"/>
    <s v="OK"/>
    <s v="OK"/>
    <s v="OK"/>
    <s v="OK"/>
    <x v="63"/>
    <n v="0.84615384615384615"/>
    <n v="0.15384615384615385"/>
    <n v="0.53846153846153844"/>
  </r>
  <r>
    <n v="31"/>
    <s v="No"/>
    <s v="Travel_Rarely"/>
    <n v="329"/>
    <x v="1"/>
    <n v="1"/>
    <n v="2"/>
    <s v="Life Sciences"/>
    <n v="1"/>
    <n v="530"/>
    <n v="4"/>
    <s v="Male"/>
    <n v="98"/>
    <n v="2"/>
    <n v="1"/>
    <x v="2"/>
    <n v="1"/>
    <s v="Married"/>
    <n v="2218"/>
    <n v="16193"/>
    <n v="1"/>
    <s v="Y"/>
    <s v="No"/>
    <n v="12"/>
    <n v="3"/>
    <n v="3"/>
    <n v="80"/>
    <n v="1"/>
    <n v="4"/>
    <n v="3"/>
    <n v="3"/>
    <n v="4"/>
    <n v="2"/>
    <n v="3"/>
    <n v="2"/>
    <s v="OK"/>
    <s v="OK"/>
    <s v="OK"/>
    <s v="OK"/>
    <x v="38"/>
    <n v="0.5"/>
    <n v="0.75"/>
    <n v="0.5"/>
  </r>
  <r>
    <n v="39"/>
    <s v="No"/>
    <s v="Travel_Frequently"/>
    <n v="1218"/>
    <x v="1"/>
    <n v="1"/>
    <n v="1"/>
    <s v="Life Sciences"/>
    <n v="1"/>
    <n v="531"/>
    <n v="2"/>
    <s v="Male"/>
    <n v="52"/>
    <n v="3"/>
    <n v="5"/>
    <x v="5"/>
    <n v="3"/>
    <s v="Divorced"/>
    <n v="19197"/>
    <n v="8213"/>
    <n v="1"/>
    <s v="Y"/>
    <s v="Yes"/>
    <n v="14"/>
    <n v="3"/>
    <n v="3"/>
    <n v="80"/>
    <n v="1"/>
    <n v="21"/>
    <n v="3"/>
    <n v="3"/>
    <n v="21"/>
    <n v="8"/>
    <n v="1"/>
    <n v="6"/>
    <s v="OK"/>
    <s v="OK"/>
    <s v="OK"/>
    <s v="OK"/>
    <x v="64"/>
    <n v="0.38095238095238093"/>
    <n v="0.14285714285714285"/>
    <n v="0.2857142857142857"/>
  </r>
  <r>
    <n v="56"/>
    <s v="No"/>
    <s v="Travel_Frequently"/>
    <n v="906"/>
    <x v="0"/>
    <n v="6"/>
    <n v="3"/>
    <s v="Life Sciences"/>
    <n v="1"/>
    <n v="532"/>
    <n v="3"/>
    <s v="Female"/>
    <n v="86"/>
    <n v="4"/>
    <n v="4"/>
    <x v="0"/>
    <n v="1"/>
    <s v="Married"/>
    <n v="13212"/>
    <n v="18256"/>
    <n v="9"/>
    <s v="Y"/>
    <s v="No"/>
    <n v="11"/>
    <n v="3"/>
    <n v="4"/>
    <n v="80"/>
    <n v="3"/>
    <n v="36"/>
    <n v="0"/>
    <n v="2"/>
    <n v="7"/>
    <n v="7"/>
    <n v="7"/>
    <n v="7"/>
    <s v="OK"/>
    <s v="OK"/>
    <s v="OK"/>
    <s v="OK"/>
    <x v="3"/>
    <n v="1"/>
    <n v="0"/>
    <n v="1"/>
  </r>
  <r>
    <n v="30"/>
    <s v="No"/>
    <s v="Travel_Rarely"/>
    <n v="1082"/>
    <x v="0"/>
    <n v="12"/>
    <n v="3"/>
    <s v="Technical Degree"/>
    <n v="1"/>
    <n v="533"/>
    <n v="2"/>
    <s v="Female"/>
    <n v="83"/>
    <n v="3"/>
    <n v="2"/>
    <x v="0"/>
    <n v="3"/>
    <s v="Single"/>
    <n v="6577"/>
    <n v="19558"/>
    <n v="0"/>
    <s v="Y"/>
    <s v="No"/>
    <n v="11"/>
    <n v="3"/>
    <n v="2"/>
    <n v="80"/>
    <n v="0"/>
    <n v="6"/>
    <n v="6"/>
    <n v="3"/>
    <n v="5"/>
    <n v="4"/>
    <n v="4"/>
    <n v="4"/>
    <s v="OK"/>
    <s v="OK"/>
    <s v="OK"/>
    <s v="OK"/>
    <x v="6"/>
    <n v="0.8"/>
    <n v="1.2"/>
    <n v="0.8"/>
  </r>
  <r>
    <n v="41"/>
    <s v="No"/>
    <s v="Travel_Rarely"/>
    <n v="645"/>
    <x v="0"/>
    <n v="1"/>
    <n v="3"/>
    <s v="Marketing"/>
    <n v="1"/>
    <n v="534"/>
    <n v="2"/>
    <s v="Male"/>
    <n v="49"/>
    <n v="4"/>
    <n v="3"/>
    <x v="0"/>
    <n v="1"/>
    <s v="Married"/>
    <n v="8392"/>
    <n v="19566"/>
    <n v="1"/>
    <s v="Y"/>
    <s v="No"/>
    <n v="16"/>
    <n v="3"/>
    <n v="3"/>
    <n v="80"/>
    <n v="1"/>
    <n v="10"/>
    <n v="2"/>
    <n v="3"/>
    <n v="10"/>
    <n v="7"/>
    <n v="0"/>
    <n v="7"/>
    <s v="OK"/>
    <s v="OK"/>
    <s v="OK"/>
    <s v="OK"/>
    <x v="0"/>
    <n v="0.7"/>
    <n v="0.2"/>
    <n v="0.7"/>
  </r>
  <r>
    <n v="28"/>
    <s v="No"/>
    <s v="Travel_Rarely"/>
    <n v="1300"/>
    <x v="1"/>
    <n v="17"/>
    <n v="2"/>
    <s v="Medical"/>
    <n v="1"/>
    <n v="536"/>
    <n v="3"/>
    <s v="Male"/>
    <n v="79"/>
    <n v="3"/>
    <n v="2"/>
    <x v="2"/>
    <n v="1"/>
    <s v="Divorced"/>
    <n v="4558"/>
    <n v="13535"/>
    <n v="1"/>
    <s v="Y"/>
    <s v="No"/>
    <n v="12"/>
    <n v="3"/>
    <n v="4"/>
    <n v="80"/>
    <n v="1"/>
    <n v="10"/>
    <n v="2"/>
    <n v="3"/>
    <n v="10"/>
    <n v="0"/>
    <n v="1"/>
    <n v="8"/>
    <s v="OK"/>
    <s v="OK"/>
    <s v="OK"/>
    <s v="OK"/>
    <x v="1"/>
    <n v="0"/>
    <n v="0.2"/>
    <n v="0.8"/>
  </r>
  <r>
    <n v="25"/>
    <s v="Yes"/>
    <s v="Travel_Rarely"/>
    <n v="688"/>
    <x v="1"/>
    <n v="3"/>
    <n v="3"/>
    <s v="Medical"/>
    <n v="1"/>
    <n v="538"/>
    <n v="1"/>
    <s v="Male"/>
    <n v="91"/>
    <n v="3"/>
    <n v="1"/>
    <x v="2"/>
    <n v="1"/>
    <s v="Married"/>
    <n v="4031"/>
    <n v="9396"/>
    <n v="5"/>
    <s v="Y"/>
    <s v="No"/>
    <n v="13"/>
    <n v="3"/>
    <n v="3"/>
    <n v="80"/>
    <n v="1"/>
    <n v="6"/>
    <n v="5"/>
    <n v="3"/>
    <n v="2"/>
    <n v="2"/>
    <n v="0"/>
    <n v="2"/>
    <s v="OK"/>
    <s v="OK"/>
    <s v="OK"/>
    <s v="OK"/>
    <x v="0"/>
    <n v="1"/>
    <n v="2.5"/>
    <n v="1"/>
  </r>
  <r>
    <n v="52"/>
    <s v="No"/>
    <s v="Travel_Rarely"/>
    <n v="319"/>
    <x v="1"/>
    <n v="3"/>
    <n v="3"/>
    <s v="Medical"/>
    <n v="1"/>
    <n v="543"/>
    <n v="4"/>
    <s v="Male"/>
    <n v="39"/>
    <n v="2"/>
    <n v="3"/>
    <x v="3"/>
    <n v="3"/>
    <s v="Married"/>
    <n v="7969"/>
    <n v="19609"/>
    <n v="2"/>
    <s v="Y"/>
    <s v="Yes"/>
    <n v="14"/>
    <n v="3"/>
    <n v="3"/>
    <n v="80"/>
    <n v="0"/>
    <n v="28"/>
    <n v="4"/>
    <n v="3"/>
    <n v="5"/>
    <n v="4"/>
    <n v="0"/>
    <n v="4"/>
    <s v="OK"/>
    <s v="OK"/>
    <s v="OK"/>
    <s v="OK"/>
    <x v="0"/>
    <n v="0.8"/>
    <n v="0.8"/>
    <n v="0.8"/>
  </r>
  <r>
    <n v="45"/>
    <s v="No"/>
    <s v="Travel_Rarely"/>
    <n v="192"/>
    <x v="1"/>
    <n v="10"/>
    <n v="2"/>
    <s v="Life Sciences"/>
    <n v="1"/>
    <n v="544"/>
    <n v="1"/>
    <s v="Male"/>
    <n v="69"/>
    <n v="3"/>
    <n v="1"/>
    <x v="1"/>
    <n v="4"/>
    <s v="Married"/>
    <n v="2654"/>
    <n v="9655"/>
    <n v="3"/>
    <s v="Y"/>
    <s v="No"/>
    <n v="21"/>
    <n v="4"/>
    <n v="4"/>
    <n v="80"/>
    <n v="2"/>
    <n v="8"/>
    <n v="3"/>
    <n v="2"/>
    <n v="2"/>
    <n v="2"/>
    <n v="0"/>
    <n v="2"/>
    <s v="OK"/>
    <s v="OK"/>
    <s v="OK"/>
    <s v="OK"/>
    <x v="0"/>
    <n v="1"/>
    <n v="1.5"/>
    <n v="1"/>
  </r>
  <r>
    <n v="52"/>
    <s v="No"/>
    <s v="Travel_Rarely"/>
    <n v="1490"/>
    <x v="1"/>
    <n v="4"/>
    <n v="2"/>
    <s v="Life Sciences"/>
    <n v="1"/>
    <n v="546"/>
    <n v="4"/>
    <s v="Female"/>
    <n v="30"/>
    <n v="3"/>
    <n v="4"/>
    <x v="5"/>
    <n v="4"/>
    <s v="Married"/>
    <n v="16555"/>
    <n v="10310"/>
    <n v="2"/>
    <s v="Y"/>
    <s v="No"/>
    <n v="13"/>
    <n v="3"/>
    <n v="4"/>
    <n v="80"/>
    <n v="0"/>
    <n v="31"/>
    <n v="2"/>
    <n v="1"/>
    <n v="5"/>
    <n v="2"/>
    <n v="1"/>
    <n v="4"/>
    <s v="OK"/>
    <s v="OK"/>
    <s v="OK"/>
    <s v="OK"/>
    <x v="16"/>
    <n v="0.4"/>
    <n v="0.4"/>
    <n v="0.8"/>
  </r>
  <r>
    <n v="42"/>
    <s v="No"/>
    <s v="Travel_Frequently"/>
    <n v="532"/>
    <x v="1"/>
    <n v="29"/>
    <n v="2"/>
    <s v="Life Sciences"/>
    <n v="1"/>
    <n v="547"/>
    <n v="1"/>
    <s v="Female"/>
    <n v="92"/>
    <n v="3"/>
    <n v="2"/>
    <x v="1"/>
    <n v="3"/>
    <s v="Divorced"/>
    <n v="4556"/>
    <n v="12932"/>
    <n v="2"/>
    <s v="Y"/>
    <s v="No"/>
    <n v="11"/>
    <n v="3"/>
    <n v="2"/>
    <n v="80"/>
    <n v="1"/>
    <n v="19"/>
    <n v="3"/>
    <n v="3"/>
    <n v="5"/>
    <n v="4"/>
    <n v="0"/>
    <n v="2"/>
    <s v="OK"/>
    <s v="OK"/>
    <s v="OK"/>
    <s v="OK"/>
    <x v="0"/>
    <n v="0.8"/>
    <n v="0.6"/>
    <n v="0.4"/>
  </r>
  <r>
    <n v="30"/>
    <s v="No"/>
    <s v="Travel_Rarely"/>
    <n v="317"/>
    <x v="1"/>
    <n v="2"/>
    <n v="3"/>
    <s v="Life Sciences"/>
    <n v="1"/>
    <n v="548"/>
    <n v="3"/>
    <s v="Female"/>
    <n v="43"/>
    <n v="1"/>
    <n v="2"/>
    <x v="3"/>
    <n v="4"/>
    <s v="Single"/>
    <n v="6091"/>
    <n v="24793"/>
    <n v="2"/>
    <s v="Y"/>
    <s v="No"/>
    <n v="20"/>
    <n v="4"/>
    <n v="3"/>
    <n v="80"/>
    <n v="0"/>
    <n v="11"/>
    <n v="2"/>
    <n v="3"/>
    <n v="5"/>
    <n v="4"/>
    <n v="0"/>
    <n v="2"/>
    <s v="OK"/>
    <s v="OK"/>
    <s v="OK"/>
    <s v="OK"/>
    <x v="0"/>
    <n v="0.8"/>
    <n v="0.4"/>
    <n v="0.4"/>
  </r>
  <r>
    <n v="60"/>
    <s v="No"/>
    <s v="Travel_Rarely"/>
    <n v="422"/>
    <x v="1"/>
    <n v="7"/>
    <n v="3"/>
    <s v="Life Sciences"/>
    <n v="1"/>
    <n v="549"/>
    <n v="1"/>
    <s v="Female"/>
    <n v="41"/>
    <n v="3"/>
    <n v="5"/>
    <x v="5"/>
    <n v="1"/>
    <s v="Married"/>
    <n v="19566"/>
    <n v="3854"/>
    <n v="5"/>
    <s v="Y"/>
    <s v="No"/>
    <n v="11"/>
    <n v="3"/>
    <n v="4"/>
    <n v="80"/>
    <n v="0"/>
    <n v="33"/>
    <n v="5"/>
    <n v="1"/>
    <n v="29"/>
    <n v="8"/>
    <n v="11"/>
    <n v="10"/>
    <s v="OK"/>
    <s v="OK"/>
    <s v="OK"/>
    <s v="OK"/>
    <x v="65"/>
    <n v="0.27586206896551724"/>
    <n v="0.17241379310344829"/>
    <n v="0.34482758620689657"/>
  </r>
  <r>
    <n v="46"/>
    <s v="No"/>
    <s v="Travel_Rarely"/>
    <n v="1485"/>
    <x v="1"/>
    <n v="18"/>
    <n v="3"/>
    <s v="Medical"/>
    <n v="1"/>
    <n v="550"/>
    <n v="3"/>
    <s v="Female"/>
    <n v="87"/>
    <n v="3"/>
    <n v="2"/>
    <x v="3"/>
    <n v="3"/>
    <s v="Divorced"/>
    <n v="4810"/>
    <n v="26314"/>
    <n v="2"/>
    <s v="Y"/>
    <s v="No"/>
    <n v="14"/>
    <n v="3"/>
    <n v="3"/>
    <n v="80"/>
    <n v="1"/>
    <n v="19"/>
    <n v="5"/>
    <n v="2"/>
    <n v="10"/>
    <n v="7"/>
    <n v="0"/>
    <n v="8"/>
    <s v="OK"/>
    <s v="OK"/>
    <s v="OK"/>
    <s v="OK"/>
    <x v="0"/>
    <n v="0.7"/>
    <n v="0.5"/>
    <n v="0.8"/>
  </r>
  <r>
    <n v="42"/>
    <s v="No"/>
    <s v="Travel_Frequently"/>
    <n v="1368"/>
    <x v="1"/>
    <n v="28"/>
    <n v="4"/>
    <s v="Technical Degree"/>
    <n v="1"/>
    <n v="551"/>
    <n v="4"/>
    <s v="Female"/>
    <n v="88"/>
    <n v="2"/>
    <n v="2"/>
    <x v="4"/>
    <n v="4"/>
    <s v="Married"/>
    <n v="4523"/>
    <n v="4386"/>
    <n v="0"/>
    <s v="Y"/>
    <s v="No"/>
    <n v="11"/>
    <n v="3"/>
    <n v="4"/>
    <n v="80"/>
    <n v="3"/>
    <n v="7"/>
    <n v="4"/>
    <n v="4"/>
    <n v="6"/>
    <n v="5"/>
    <n v="0"/>
    <n v="4"/>
    <s v="OK"/>
    <s v="OK"/>
    <s v="OK"/>
    <s v="OK"/>
    <x v="0"/>
    <n v="0.83333333333333337"/>
    <n v="0.66666666666666663"/>
    <n v="0.66666666666666663"/>
  </r>
  <r>
    <n v="24"/>
    <s v="Yes"/>
    <s v="Travel_Rarely"/>
    <n v="1448"/>
    <x v="0"/>
    <n v="1"/>
    <n v="1"/>
    <s v="Technical Degree"/>
    <n v="1"/>
    <n v="554"/>
    <n v="1"/>
    <s v="Female"/>
    <n v="62"/>
    <n v="3"/>
    <n v="1"/>
    <x v="6"/>
    <n v="2"/>
    <s v="Single"/>
    <n v="3202"/>
    <n v="21972"/>
    <n v="1"/>
    <s v="Y"/>
    <s v="Yes"/>
    <n v="16"/>
    <n v="3"/>
    <n v="2"/>
    <n v="80"/>
    <n v="0"/>
    <n v="6"/>
    <n v="4"/>
    <n v="3"/>
    <n v="5"/>
    <n v="3"/>
    <n v="1"/>
    <n v="4"/>
    <s v="OK"/>
    <s v="OK"/>
    <s v="OK"/>
    <s v="OK"/>
    <x v="16"/>
    <n v="0.6"/>
    <n v="0.8"/>
    <n v="0.8"/>
  </r>
  <r>
    <n v="34"/>
    <s v="Yes"/>
    <s v="Travel_Frequently"/>
    <n v="296"/>
    <x v="0"/>
    <n v="6"/>
    <n v="2"/>
    <s v="Marketing"/>
    <n v="1"/>
    <n v="555"/>
    <n v="4"/>
    <s v="Female"/>
    <n v="33"/>
    <n v="1"/>
    <n v="1"/>
    <x v="6"/>
    <n v="3"/>
    <s v="Divorced"/>
    <n v="2351"/>
    <n v="12253"/>
    <n v="0"/>
    <s v="Y"/>
    <s v="No"/>
    <n v="16"/>
    <n v="3"/>
    <n v="4"/>
    <n v="80"/>
    <n v="1"/>
    <n v="3"/>
    <n v="3"/>
    <n v="2"/>
    <n v="2"/>
    <n v="2"/>
    <n v="1"/>
    <n v="0"/>
    <s v="OK"/>
    <s v="OK"/>
    <s v="OK"/>
    <s v="OK"/>
    <x v="7"/>
    <n v="1"/>
    <n v="1.5"/>
    <n v="0"/>
  </r>
  <r>
    <n v="38"/>
    <s v="No"/>
    <s v="Travel_Frequently"/>
    <n v="1490"/>
    <x v="1"/>
    <n v="2"/>
    <n v="2"/>
    <s v="Life Sciences"/>
    <n v="1"/>
    <n v="556"/>
    <n v="4"/>
    <s v="Male"/>
    <n v="42"/>
    <n v="3"/>
    <n v="1"/>
    <x v="2"/>
    <n v="4"/>
    <s v="Married"/>
    <n v="1702"/>
    <n v="12106"/>
    <n v="1"/>
    <s v="Y"/>
    <s v="Yes"/>
    <n v="23"/>
    <n v="4"/>
    <n v="3"/>
    <n v="80"/>
    <n v="1"/>
    <n v="1"/>
    <n v="3"/>
    <n v="3"/>
    <n v="1"/>
    <n v="0"/>
    <n v="0"/>
    <n v="0"/>
    <s v="OK"/>
    <s v="OK"/>
    <s v="OK"/>
    <s v="OK"/>
    <x v="0"/>
    <n v="0"/>
    <n v="3"/>
    <n v="0"/>
  </r>
  <r>
    <n v="40"/>
    <s v="No"/>
    <s v="Travel_Rarely"/>
    <n v="1398"/>
    <x v="0"/>
    <n v="2"/>
    <n v="4"/>
    <s v="Life Sciences"/>
    <n v="1"/>
    <n v="558"/>
    <n v="3"/>
    <s v="Female"/>
    <n v="79"/>
    <n v="3"/>
    <n v="5"/>
    <x v="5"/>
    <n v="3"/>
    <s v="Married"/>
    <n v="18041"/>
    <n v="13022"/>
    <n v="0"/>
    <s v="Y"/>
    <s v="No"/>
    <n v="14"/>
    <n v="3"/>
    <n v="4"/>
    <n v="80"/>
    <n v="0"/>
    <n v="21"/>
    <n v="2"/>
    <n v="3"/>
    <n v="20"/>
    <n v="15"/>
    <n v="1"/>
    <n v="12"/>
    <s v="OK"/>
    <s v="OK"/>
    <s v="OK"/>
    <s v="OK"/>
    <x v="66"/>
    <n v="0.75"/>
    <n v="0.1"/>
    <n v="0.6"/>
  </r>
  <r>
    <n v="26"/>
    <s v="No"/>
    <s v="Travel_Rarely"/>
    <n v="1349"/>
    <x v="1"/>
    <n v="23"/>
    <n v="3"/>
    <s v="Life Sciences"/>
    <n v="1"/>
    <n v="560"/>
    <n v="1"/>
    <s v="Female"/>
    <n v="90"/>
    <n v="3"/>
    <n v="1"/>
    <x v="1"/>
    <n v="4"/>
    <s v="Divorced"/>
    <n v="2886"/>
    <n v="3032"/>
    <n v="1"/>
    <s v="Y"/>
    <s v="No"/>
    <n v="22"/>
    <n v="4"/>
    <n v="2"/>
    <n v="80"/>
    <n v="2"/>
    <n v="3"/>
    <n v="3"/>
    <n v="1"/>
    <n v="3"/>
    <n v="2"/>
    <n v="0"/>
    <n v="2"/>
    <s v="OK"/>
    <s v="OK"/>
    <s v="OK"/>
    <s v="OK"/>
    <x v="0"/>
    <n v="0.66666666666666663"/>
    <n v="1"/>
    <n v="0.66666666666666663"/>
  </r>
  <r>
    <n v="30"/>
    <s v="No"/>
    <s v="Non-Travel"/>
    <n v="1400"/>
    <x v="1"/>
    <n v="3"/>
    <n v="3"/>
    <s v="Life Sciences"/>
    <n v="1"/>
    <n v="562"/>
    <n v="3"/>
    <s v="Male"/>
    <n v="53"/>
    <n v="3"/>
    <n v="1"/>
    <x v="2"/>
    <n v="4"/>
    <s v="Married"/>
    <n v="2097"/>
    <n v="16734"/>
    <n v="4"/>
    <s v="Y"/>
    <s v="No"/>
    <n v="15"/>
    <n v="3"/>
    <n v="3"/>
    <n v="80"/>
    <n v="1"/>
    <n v="9"/>
    <n v="3"/>
    <n v="1"/>
    <n v="5"/>
    <n v="3"/>
    <n v="1"/>
    <n v="4"/>
    <s v="OK"/>
    <s v="OK"/>
    <s v="OK"/>
    <s v="OK"/>
    <x v="16"/>
    <n v="0.6"/>
    <n v="0.6"/>
    <n v="0.8"/>
  </r>
  <r>
    <n v="29"/>
    <s v="No"/>
    <s v="Travel_Rarely"/>
    <n v="986"/>
    <x v="1"/>
    <n v="3"/>
    <n v="4"/>
    <s v="Medical"/>
    <n v="1"/>
    <n v="564"/>
    <n v="2"/>
    <s v="Male"/>
    <n v="93"/>
    <n v="2"/>
    <n v="3"/>
    <x v="7"/>
    <n v="3"/>
    <s v="Married"/>
    <n v="11935"/>
    <n v="21526"/>
    <n v="1"/>
    <s v="Y"/>
    <s v="No"/>
    <n v="18"/>
    <n v="3"/>
    <n v="3"/>
    <n v="80"/>
    <n v="0"/>
    <n v="10"/>
    <n v="2"/>
    <n v="3"/>
    <n v="10"/>
    <n v="2"/>
    <n v="0"/>
    <n v="7"/>
    <s v="OK"/>
    <s v="OK"/>
    <s v="OK"/>
    <s v="OK"/>
    <x v="0"/>
    <n v="0.2"/>
    <n v="0.2"/>
    <n v="0.7"/>
  </r>
  <r>
    <n v="29"/>
    <s v="Yes"/>
    <s v="Travel_Rarely"/>
    <n v="408"/>
    <x v="1"/>
    <n v="25"/>
    <n v="5"/>
    <s v="Technical Degree"/>
    <n v="1"/>
    <n v="565"/>
    <n v="3"/>
    <s v="Female"/>
    <n v="71"/>
    <n v="2"/>
    <n v="1"/>
    <x v="1"/>
    <n v="2"/>
    <s v="Married"/>
    <n v="2546"/>
    <n v="18300"/>
    <n v="5"/>
    <s v="Y"/>
    <s v="No"/>
    <n v="16"/>
    <n v="3"/>
    <n v="2"/>
    <n v="80"/>
    <n v="0"/>
    <n v="6"/>
    <n v="2"/>
    <n v="4"/>
    <n v="2"/>
    <n v="2"/>
    <n v="1"/>
    <n v="1"/>
    <s v="OK"/>
    <s v="OK"/>
    <s v="OK"/>
    <s v="OK"/>
    <x v="7"/>
    <n v="1"/>
    <n v="1"/>
    <n v="0.5"/>
  </r>
  <r>
    <n v="19"/>
    <s v="Yes"/>
    <s v="Travel_Rarely"/>
    <n v="489"/>
    <x v="2"/>
    <n v="2"/>
    <n v="2"/>
    <s v="Technical Degree"/>
    <n v="1"/>
    <n v="566"/>
    <n v="1"/>
    <s v="Male"/>
    <n v="52"/>
    <n v="2"/>
    <n v="1"/>
    <x v="8"/>
    <n v="4"/>
    <s v="Single"/>
    <n v="2564"/>
    <n v="18437"/>
    <n v="1"/>
    <s v="Y"/>
    <s v="No"/>
    <n v="12"/>
    <n v="3"/>
    <n v="3"/>
    <n v="80"/>
    <n v="0"/>
    <n v="1"/>
    <n v="3"/>
    <n v="4"/>
    <n v="1"/>
    <n v="0"/>
    <n v="0"/>
    <n v="0"/>
    <s v="OK"/>
    <s v="OK"/>
    <s v="OK"/>
    <s v="OK"/>
    <x v="0"/>
    <n v="0"/>
    <n v="3"/>
    <n v="0"/>
  </r>
  <r>
    <n v="30"/>
    <s v="No"/>
    <s v="Non-Travel"/>
    <n v="1398"/>
    <x v="0"/>
    <n v="22"/>
    <n v="4"/>
    <s v="Other"/>
    <n v="1"/>
    <n v="567"/>
    <n v="3"/>
    <s v="Female"/>
    <n v="69"/>
    <n v="3"/>
    <n v="3"/>
    <x v="0"/>
    <n v="1"/>
    <s v="Married"/>
    <n v="8412"/>
    <n v="2890"/>
    <n v="0"/>
    <s v="Y"/>
    <s v="No"/>
    <n v="11"/>
    <n v="3"/>
    <n v="3"/>
    <n v="80"/>
    <n v="0"/>
    <n v="10"/>
    <n v="3"/>
    <n v="3"/>
    <n v="9"/>
    <n v="8"/>
    <n v="7"/>
    <n v="8"/>
    <s v="OK"/>
    <s v="OK"/>
    <s v="OK"/>
    <s v="OK"/>
    <x v="21"/>
    <n v="0.88888888888888884"/>
    <n v="0.33333333333333331"/>
    <n v="0.88888888888888884"/>
  </r>
  <r>
    <n v="57"/>
    <s v="No"/>
    <s v="Travel_Rarely"/>
    <n v="210"/>
    <x v="0"/>
    <n v="29"/>
    <n v="3"/>
    <s v="Marketing"/>
    <n v="1"/>
    <n v="568"/>
    <n v="1"/>
    <s v="Male"/>
    <n v="56"/>
    <n v="2"/>
    <n v="4"/>
    <x v="5"/>
    <n v="4"/>
    <s v="Divorced"/>
    <n v="14118"/>
    <n v="22102"/>
    <n v="3"/>
    <s v="Y"/>
    <s v="No"/>
    <n v="12"/>
    <n v="3"/>
    <n v="3"/>
    <n v="80"/>
    <n v="1"/>
    <n v="32"/>
    <n v="3"/>
    <n v="2"/>
    <n v="1"/>
    <n v="0"/>
    <n v="0"/>
    <n v="0"/>
    <s v="OK"/>
    <s v="OK"/>
    <s v="OK"/>
    <s v="OK"/>
    <x v="0"/>
    <n v="0"/>
    <n v="3"/>
    <n v="0"/>
  </r>
  <r>
    <n v="50"/>
    <s v="No"/>
    <s v="Travel_Rarely"/>
    <n v="1099"/>
    <x v="1"/>
    <n v="29"/>
    <n v="4"/>
    <s v="Life Sciences"/>
    <n v="1"/>
    <n v="569"/>
    <n v="2"/>
    <s v="Male"/>
    <n v="88"/>
    <n v="2"/>
    <n v="4"/>
    <x v="5"/>
    <n v="3"/>
    <s v="Married"/>
    <n v="17046"/>
    <n v="9314"/>
    <n v="0"/>
    <s v="Y"/>
    <s v="No"/>
    <n v="15"/>
    <n v="3"/>
    <n v="2"/>
    <n v="80"/>
    <n v="1"/>
    <n v="28"/>
    <n v="2"/>
    <n v="3"/>
    <n v="27"/>
    <n v="10"/>
    <n v="15"/>
    <n v="7"/>
    <s v="OK"/>
    <s v="OK"/>
    <s v="OK"/>
    <s v="OK"/>
    <x v="52"/>
    <n v="0.37037037037037035"/>
    <n v="7.407407407407407E-2"/>
    <n v="0.25925925925925924"/>
  </r>
  <r>
    <n v="30"/>
    <s v="No"/>
    <s v="Non-Travel"/>
    <n v="1116"/>
    <x v="1"/>
    <n v="2"/>
    <n v="3"/>
    <s v="Medical"/>
    <n v="1"/>
    <n v="571"/>
    <n v="3"/>
    <s v="Female"/>
    <n v="49"/>
    <n v="3"/>
    <n v="1"/>
    <x v="2"/>
    <n v="4"/>
    <s v="Single"/>
    <n v="2564"/>
    <n v="7181"/>
    <n v="0"/>
    <s v="Y"/>
    <s v="No"/>
    <n v="14"/>
    <n v="3"/>
    <n v="3"/>
    <n v="80"/>
    <n v="0"/>
    <n v="12"/>
    <n v="2"/>
    <n v="2"/>
    <n v="11"/>
    <n v="7"/>
    <n v="6"/>
    <n v="7"/>
    <s v="OK"/>
    <s v="OK"/>
    <s v="OK"/>
    <s v="OK"/>
    <x v="58"/>
    <n v="0.63636363636363635"/>
    <n v="0.18181818181818182"/>
    <n v="0.63636363636363635"/>
  </r>
  <r>
    <n v="60"/>
    <s v="No"/>
    <s v="Travel_Frequently"/>
    <n v="1499"/>
    <x v="0"/>
    <n v="28"/>
    <n v="3"/>
    <s v="Marketing"/>
    <n v="1"/>
    <n v="573"/>
    <n v="3"/>
    <s v="Female"/>
    <n v="80"/>
    <n v="2"/>
    <n v="3"/>
    <x v="0"/>
    <n v="1"/>
    <s v="Married"/>
    <n v="10266"/>
    <n v="2845"/>
    <n v="4"/>
    <s v="Y"/>
    <s v="No"/>
    <n v="19"/>
    <n v="3"/>
    <n v="4"/>
    <n v="80"/>
    <n v="0"/>
    <n v="22"/>
    <n v="5"/>
    <n v="4"/>
    <n v="18"/>
    <n v="13"/>
    <n v="13"/>
    <n v="11"/>
    <s v="OK"/>
    <s v="OK"/>
    <s v="OK"/>
    <s v="OK"/>
    <x v="67"/>
    <n v="0.72222222222222221"/>
    <n v="0.27777777777777779"/>
    <n v="0.61111111111111116"/>
  </r>
  <r>
    <n v="47"/>
    <s v="No"/>
    <s v="Travel_Rarely"/>
    <n v="983"/>
    <x v="1"/>
    <n v="2"/>
    <n v="2"/>
    <s v="Medical"/>
    <n v="1"/>
    <n v="574"/>
    <n v="1"/>
    <s v="Female"/>
    <n v="65"/>
    <n v="3"/>
    <n v="2"/>
    <x v="3"/>
    <n v="4"/>
    <s v="Divorced"/>
    <n v="5070"/>
    <n v="7389"/>
    <n v="5"/>
    <s v="Y"/>
    <s v="No"/>
    <n v="13"/>
    <n v="3"/>
    <n v="3"/>
    <n v="80"/>
    <n v="3"/>
    <n v="20"/>
    <n v="2"/>
    <n v="3"/>
    <n v="5"/>
    <n v="0"/>
    <n v="0"/>
    <n v="4"/>
    <s v="OK"/>
    <s v="OK"/>
    <s v="OK"/>
    <s v="OK"/>
    <x v="0"/>
    <n v="0"/>
    <n v="0.4"/>
    <n v="0.8"/>
  </r>
  <r>
    <n v="46"/>
    <s v="No"/>
    <s v="Travel_Rarely"/>
    <n v="1009"/>
    <x v="1"/>
    <n v="2"/>
    <n v="3"/>
    <s v="Life Sciences"/>
    <n v="1"/>
    <n v="575"/>
    <n v="1"/>
    <s v="Male"/>
    <n v="51"/>
    <n v="3"/>
    <n v="4"/>
    <x v="7"/>
    <n v="3"/>
    <s v="Married"/>
    <n v="17861"/>
    <n v="2288"/>
    <n v="6"/>
    <s v="Y"/>
    <s v="No"/>
    <n v="13"/>
    <n v="3"/>
    <n v="3"/>
    <n v="80"/>
    <n v="0"/>
    <n v="26"/>
    <n v="2"/>
    <n v="1"/>
    <n v="3"/>
    <n v="2"/>
    <n v="0"/>
    <n v="1"/>
    <s v="OK"/>
    <s v="OK"/>
    <s v="OK"/>
    <s v="OK"/>
    <x v="0"/>
    <n v="0.66666666666666663"/>
    <n v="0.66666666666666663"/>
    <n v="0.33333333333333331"/>
  </r>
  <r>
    <n v="35"/>
    <s v="No"/>
    <s v="Travel_Rarely"/>
    <n v="144"/>
    <x v="1"/>
    <n v="22"/>
    <n v="3"/>
    <s v="Life Sciences"/>
    <n v="1"/>
    <n v="577"/>
    <n v="4"/>
    <s v="Male"/>
    <n v="46"/>
    <n v="1"/>
    <n v="1"/>
    <x v="2"/>
    <n v="3"/>
    <s v="Single"/>
    <n v="4230"/>
    <n v="19225"/>
    <n v="0"/>
    <s v="Y"/>
    <s v="No"/>
    <n v="15"/>
    <n v="3"/>
    <n v="3"/>
    <n v="80"/>
    <n v="0"/>
    <n v="6"/>
    <n v="2"/>
    <n v="3"/>
    <n v="5"/>
    <n v="4"/>
    <n v="4"/>
    <n v="3"/>
    <s v="OK"/>
    <s v="OK"/>
    <s v="OK"/>
    <s v="OK"/>
    <x v="6"/>
    <n v="0.8"/>
    <n v="0.4"/>
    <n v="0.6"/>
  </r>
  <r>
    <n v="54"/>
    <s v="No"/>
    <s v="Travel_Rarely"/>
    <n v="548"/>
    <x v="1"/>
    <n v="8"/>
    <n v="4"/>
    <s v="Life Sciences"/>
    <n v="1"/>
    <n v="578"/>
    <n v="3"/>
    <s v="Female"/>
    <n v="42"/>
    <n v="3"/>
    <n v="2"/>
    <x v="2"/>
    <n v="3"/>
    <s v="Single"/>
    <n v="3780"/>
    <n v="23428"/>
    <n v="7"/>
    <s v="Y"/>
    <s v="No"/>
    <n v="11"/>
    <n v="3"/>
    <n v="3"/>
    <n v="80"/>
    <n v="0"/>
    <n v="19"/>
    <n v="3"/>
    <n v="3"/>
    <n v="1"/>
    <n v="0"/>
    <n v="0"/>
    <n v="0"/>
    <s v="OK"/>
    <s v="OK"/>
    <s v="OK"/>
    <s v="OK"/>
    <x v="0"/>
    <n v="0"/>
    <n v="3"/>
    <n v="0"/>
  </r>
  <r>
    <n v="34"/>
    <s v="No"/>
    <s v="Travel_Rarely"/>
    <n v="1303"/>
    <x v="1"/>
    <n v="2"/>
    <n v="4"/>
    <s v="Life Sciences"/>
    <n v="1"/>
    <n v="579"/>
    <n v="4"/>
    <s v="Male"/>
    <n v="62"/>
    <n v="2"/>
    <n v="1"/>
    <x v="1"/>
    <n v="3"/>
    <s v="Divorced"/>
    <n v="2768"/>
    <n v="8416"/>
    <n v="3"/>
    <s v="Y"/>
    <s v="No"/>
    <n v="12"/>
    <n v="3"/>
    <n v="3"/>
    <n v="80"/>
    <n v="1"/>
    <n v="14"/>
    <n v="3"/>
    <n v="3"/>
    <n v="7"/>
    <n v="3"/>
    <n v="5"/>
    <n v="7"/>
    <s v="OK"/>
    <s v="OK"/>
    <s v="OK"/>
    <s v="OK"/>
    <x v="68"/>
    <n v="0.42857142857142855"/>
    <n v="0.42857142857142855"/>
    <n v="1"/>
  </r>
  <r>
    <n v="46"/>
    <s v="No"/>
    <s v="Travel_Rarely"/>
    <n v="1125"/>
    <x v="0"/>
    <n v="10"/>
    <n v="3"/>
    <s v="Marketing"/>
    <n v="1"/>
    <n v="580"/>
    <n v="3"/>
    <s v="Female"/>
    <n v="94"/>
    <n v="2"/>
    <n v="3"/>
    <x v="0"/>
    <n v="4"/>
    <s v="Married"/>
    <n v="9071"/>
    <n v="11563"/>
    <n v="2"/>
    <s v="Y"/>
    <s v="Yes"/>
    <n v="19"/>
    <n v="3"/>
    <n v="3"/>
    <n v="80"/>
    <n v="1"/>
    <n v="15"/>
    <n v="3"/>
    <n v="3"/>
    <n v="3"/>
    <n v="2"/>
    <n v="1"/>
    <n v="2"/>
    <s v="OK"/>
    <s v="OK"/>
    <s v="OK"/>
    <s v="OK"/>
    <x v="9"/>
    <n v="0.66666666666666663"/>
    <n v="1"/>
    <n v="0.66666666666666663"/>
  </r>
  <r>
    <n v="31"/>
    <s v="No"/>
    <s v="Travel_Rarely"/>
    <n v="1274"/>
    <x v="1"/>
    <n v="9"/>
    <n v="1"/>
    <s v="Life Sciences"/>
    <n v="1"/>
    <n v="581"/>
    <n v="3"/>
    <s v="Male"/>
    <n v="33"/>
    <n v="3"/>
    <n v="3"/>
    <x v="3"/>
    <n v="2"/>
    <s v="Divorced"/>
    <n v="10648"/>
    <n v="14394"/>
    <n v="1"/>
    <s v="Y"/>
    <s v="No"/>
    <n v="25"/>
    <n v="4"/>
    <n v="4"/>
    <n v="80"/>
    <n v="1"/>
    <n v="13"/>
    <n v="6"/>
    <n v="4"/>
    <n v="13"/>
    <n v="8"/>
    <n v="0"/>
    <n v="8"/>
    <s v="OK"/>
    <s v="OK"/>
    <s v="OK"/>
    <s v="OK"/>
    <x v="0"/>
    <n v="0.61538461538461542"/>
    <n v="0.46153846153846156"/>
    <n v="0.61538461538461542"/>
  </r>
  <r>
    <n v="33"/>
    <s v="Yes"/>
    <s v="Travel_Rarely"/>
    <n v="1277"/>
    <x v="1"/>
    <n v="15"/>
    <n v="1"/>
    <s v="Medical"/>
    <n v="1"/>
    <n v="582"/>
    <n v="2"/>
    <s v="Male"/>
    <n v="56"/>
    <n v="3"/>
    <n v="3"/>
    <x v="5"/>
    <n v="3"/>
    <s v="Married"/>
    <n v="13610"/>
    <n v="24619"/>
    <n v="7"/>
    <s v="Y"/>
    <s v="Yes"/>
    <n v="12"/>
    <n v="3"/>
    <n v="4"/>
    <n v="80"/>
    <n v="0"/>
    <n v="15"/>
    <n v="2"/>
    <n v="4"/>
    <n v="7"/>
    <n v="6"/>
    <n v="7"/>
    <n v="7"/>
    <s v="OK"/>
    <s v="OK"/>
    <s v="OK"/>
    <s v="OK"/>
    <x v="3"/>
    <n v="0.8571428571428571"/>
    <n v="0.2857142857142857"/>
    <n v="1"/>
  </r>
  <r>
    <n v="33"/>
    <s v="Yes"/>
    <s v="Travel_Rarely"/>
    <n v="587"/>
    <x v="1"/>
    <n v="10"/>
    <n v="1"/>
    <s v="Medical"/>
    <n v="1"/>
    <n v="584"/>
    <n v="1"/>
    <s v="Male"/>
    <n v="38"/>
    <n v="1"/>
    <n v="1"/>
    <x v="2"/>
    <n v="4"/>
    <s v="Divorced"/>
    <n v="3408"/>
    <n v="6705"/>
    <n v="7"/>
    <s v="Y"/>
    <s v="No"/>
    <n v="13"/>
    <n v="3"/>
    <n v="1"/>
    <n v="80"/>
    <n v="3"/>
    <n v="8"/>
    <n v="2"/>
    <n v="3"/>
    <n v="4"/>
    <n v="3"/>
    <n v="1"/>
    <n v="3"/>
    <s v="OK"/>
    <s v="OK"/>
    <s v="OK"/>
    <s v="OK"/>
    <x v="10"/>
    <n v="0.75"/>
    <n v="0.5"/>
    <n v="0.75"/>
  </r>
  <r>
    <n v="30"/>
    <s v="No"/>
    <s v="Travel_Rarely"/>
    <n v="413"/>
    <x v="0"/>
    <n v="7"/>
    <n v="1"/>
    <s v="Marketing"/>
    <n v="1"/>
    <n v="585"/>
    <n v="4"/>
    <s v="Male"/>
    <n v="57"/>
    <n v="3"/>
    <n v="1"/>
    <x v="6"/>
    <n v="2"/>
    <s v="Single"/>
    <n v="2983"/>
    <n v="18398"/>
    <n v="0"/>
    <s v="Y"/>
    <s v="No"/>
    <n v="14"/>
    <n v="3"/>
    <n v="1"/>
    <n v="80"/>
    <n v="0"/>
    <n v="4"/>
    <n v="3"/>
    <n v="3"/>
    <n v="3"/>
    <n v="2"/>
    <n v="1"/>
    <n v="2"/>
    <s v="OK"/>
    <s v="OK"/>
    <s v="OK"/>
    <s v="OK"/>
    <x v="9"/>
    <n v="0.66666666666666663"/>
    <n v="1"/>
    <n v="0.66666666666666663"/>
  </r>
  <r>
    <n v="35"/>
    <s v="No"/>
    <s v="Travel_Rarely"/>
    <n v="1276"/>
    <x v="1"/>
    <n v="16"/>
    <n v="3"/>
    <s v="Life Sciences"/>
    <n v="1"/>
    <n v="586"/>
    <n v="4"/>
    <s v="Male"/>
    <n v="72"/>
    <n v="3"/>
    <n v="3"/>
    <x v="4"/>
    <n v="3"/>
    <s v="Married"/>
    <n v="7632"/>
    <n v="14295"/>
    <n v="4"/>
    <s v="Y"/>
    <s v="Yes"/>
    <n v="12"/>
    <n v="3"/>
    <n v="3"/>
    <n v="80"/>
    <n v="0"/>
    <n v="10"/>
    <n v="2"/>
    <n v="3"/>
    <n v="8"/>
    <n v="7"/>
    <n v="0"/>
    <n v="0"/>
    <s v="OK"/>
    <s v="OK"/>
    <s v="OK"/>
    <s v="OK"/>
    <x v="0"/>
    <n v="0.875"/>
    <n v="0.25"/>
    <n v="0"/>
  </r>
  <r>
    <n v="31"/>
    <s v="Yes"/>
    <s v="Travel_Frequently"/>
    <n v="534"/>
    <x v="1"/>
    <n v="20"/>
    <n v="3"/>
    <s v="Life Sciences"/>
    <n v="1"/>
    <n v="587"/>
    <n v="1"/>
    <s v="Male"/>
    <n v="66"/>
    <n v="3"/>
    <n v="3"/>
    <x v="4"/>
    <n v="3"/>
    <s v="Married"/>
    <n v="9824"/>
    <n v="22908"/>
    <n v="3"/>
    <s v="Y"/>
    <s v="No"/>
    <n v="12"/>
    <n v="3"/>
    <n v="1"/>
    <n v="80"/>
    <n v="0"/>
    <n v="12"/>
    <n v="2"/>
    <n v="3"/>
    <n v="1"/>
    <n v="0"/>
    <n v="0"/>
    <n v="0"/>
    <s v="OK"/>
    <s v="OK"/>
    <s v="OK"/>
    <s v="OK"/>
    <x v="0"/>
    <n v="0"/>
    <n v="2"/>
    <n v="0"/>
  </r>
  <r>
    <n v="34"/>
    <s v="Yes"/>
    <s v="Travel_Frequently"/>
    <n v="988"/>
    <x v="2"/>
    <n v="23"/>
    <n v="3"/>
    <s v="Human Resources"/>
    <n v="1"/>
    <n v="590"/>
    <n v="2"/>
    <s v="Female"/>
    <n v="43"/>
    <n v="3"/>
    <n v="3"/>
    <x v="8"/>
    <n v="1"/>
    <s v="Divorced"/>
    <n v="9950"/>
    <n v="11533"/>
    <n v="9"/>
    <s v="Y"/>
    <s v="Yes"/>
    <n v="15"/>
    <n v="3"/>
    <n v="3"/>
    <n v="80"/>
    <n v="3"/>
    <n v="11"/>
    <n v="2"/>
    <n v="3"/>
    <n v="3"/>
    <n v="2"/>
    <n v="0"/>
    <n v="2"/>
    <s v="OK"/>
    <s v="OK"/>
    <s v="OK"/>
    <s v="OK"/>
    <x v="0"/>
    <n v="0.66666666666666663"/>
    <n v="0.66666666666666663"/>
    <n v="0.66666666666666663"/>
  </r>
  <r>
    <n v="42"/>
    <s v="No"/>
    <s v="Travel_Frequently"/>
    <n v="1474"/>
    <x v="1"/>
    <n v="5"/>
    <n v="2"/>
    <s v="Other"/>
    <n v="1"/>
    <n v="591"/>
    <n v="2"/>
    <s v="Male"/>
    <n v="97"/>
    <n v="3"/>
    <n v="1"/>
    <x v="2"/>
    <n v="3"/>
    <s v="Married"/>
    <n v="2093"/>
    <n v="9260"/>
    <n v="4"/>
    <s v="Y"/>
    <s v="No"/>
    <n v="17"/>
    <n v="3"/>
    <n v="4"/>
    <n v="80"/>
    <n v="1"/>
    <n v="8"/>
    <n v="4"/>
    <n v="3"/>
    <n v="2"/>
    <n v="2"/>
    <n v="2"/>
    <n v="0"/>
    <s v="OK"/>
    <s v="OK"/>
    <s v="OK"/>
    <s v="OK"/>
    <x v="3"/>
    <n v="1"/>
    <n v="2"/>
    <n v="0"/>
  </r>
  <r>
    <n v="36"/>
    <s v="No"/>
    <s v="Non-Travel"/>
    <n v="635"/>
    <x v="0"/>
    <n v="10"/>
    <n v="4"/>
    <s v="Medical"/>
    <n v="1"/>
    <n v="592"/>
    <n v="2"/>
    <s v="Male"/>
    <n v="32"/>
    <n v="3"/>
    <n v="3"/>
    <x v="0"/>
    <n v="4"/>
    <s v="Single"/>
    <n v="9980"/>
    <n v="15318"/>
    <n v="1"/>
    <s v="Y"/>
    <s v="No"/>
    <n v="14"/>
    <n v="3"/>
    <n v="4"/>
    <n v="80"/>
    <n v="0"/>
    <n v="10"/>
    <n v="3"/>
    <n v="2"/>
    <n v="10"/>
    <n v="3"/>
    <n v="9"/>
    <n v="7"/>
    <s v="OK"/>
    <s v="OK"/>
    <s v="OK"/>
    <s v="OK"/>
    <x v="22"/>
    <n v="0.3"/>
    <n v="0.3"/>
    <n v="0.7"/>
  </r>
  <r>
    <n v="22"/>
    <s v="Yes"/>
    <s v="Travel_Frequently"/>
    <n v="1368"/>
    <x v="1"/>
    <n v="4"/>
    <n v="1"/>
    <s v="Technical Degree"/>
    <n v="1"/>
    <n v="593"/>
    <n v="3"/>
    <s v="Male"/>
    <n v="99"/>
    <n v="2"/>
    <n v="1"/>
    <x v="2"/>
    <n v="3"/>
    <s v="Single"/>
    <n v="3894"/>
    <n v="9129"/>
    <n v="5"/>
    <s v="Y"/>
    <s v="No"/>
    <n v="16"/>
    <n v="3"/>
    <n v="3"/>
    <n v="80"/>
    <n v="0"/>
    <n v="4"/>
    <n v="3"/>
    <n v="3"/>
    <n v="2"/>
    <n v="2"/>
    <n v="1"/>
    <n v="2"/>
    <s v="OK"/>
    <s v="OK"/>
    <s v="OK"/>
    <s v="OK"/>
    <x v="7"/>
    <n v="1"/>
    <n v="1.5"/>
    <n v="1"/>
  </r>
  <r>
    <n v="48"/>
    <s v="No"/>
    <s v="Travel_Rarely"/>
    <n v="163"/>
    <x v="0"/>
    <n v="2"/>
    <n v="5"/>
    <s v="Marketing"/>
    <n v="1"/>
    <n v="595"/>
    <n v="2"/>
    <s v="Female"/>
    <n v="37"/>
    <n v="3"/>
    <n v="2"/>
    <x v="0"/>
    <n v="4"/>
    <s v="Married"/>
    <n v="4051"/>
    <n v="19658"/>
    <n v="2"/>
    <s v="Y"/>
    <s v="No"/>
    <n v="14"/>
    <n v="3"/>
    <n v="1"/>
    <n v="80"/>
    <n v="1"/>
    <n v="14"/>
    <n v="2"/>
    <n v="3"/>
    <n v="9"/>
    <n v="7"/>
    <n v="6"/>
    <n v="7"/>
    <s v="OK"/>
    <s v="OK"/>
    <s v="OK"/>
    <s v="OK"/>
    <x v="34"/>
    <n v="0.77777777777777779"/>
    <n v="0.22222222222222221"/>
    <n v="0.77777777777777779"/>
  </r>
  <r>
    <n v="55"/>
    <s v="No"/>
    <s v="Travel_Rarely"/>
    <n v="1117"/>
    <x v="0"/>
    <n v="18"/>
    <n v="5"/>
    <s v="Life Sciences"/>
    <n v="1"/>
    <n v="597"/>
    <n v="1"/>
    <s v="Female"/>
    <n v="83"/>
    <n v="3"/>
    <n v="4"/>
    <x v="5"/>
    <n v="2"/>
    <s v="Single"/>
    <n v="16835"/>
    <n v="9873"/>
    <n v="3"/>
    <s v="Y"/>
    <s v="No"/>
    <n v="23"/>
    <n v="4"/>
    <n v="4"/>
    <n v="80"/>
    <n v="0"/>
    <n v="37"/>
    <n v="2"/>
    <n v="3"/>
    <n v="10"/>
    <n v="9"/>
    <n v="7"/>
    <n v="7"/>
    <s v="OK"/>
    <s v="OK"/>
    <s v="OK"/>
    <s v="OK"/>
    <x v="42"/>
    <n v="0.9"/>
    <n v="0.2"/>
    <n v="0.7"/>
  </r>
  <r>
    <n v="41"/>
    <s v="No"/>
    <s v="Non-Travel"/>
    <n v="267"/>
    <x v="0"/>
    <n v="10"/>
    <n v="2"/>
    <s v="Life Sciences"/>
    <n v="1"/>
    <n v="599"/>
    <n v="4"/>
    <s v="Male"/>
    <n v="56"/>
    <n v="3"/>
    <n v="2"/>
    <x v="0"/>
    <n v="4"/>
    <s v="Single"/>
    <n v="6230"/>
    <n v="13430"/>
    <n v="7"/>
    <s v="Y"/>
    <s v="No"/>
    <n v="14"/>
    <n v="3"/>
    <n v="4"/>
    <n v="80"/>
    <n v="0"/>
    <n v="16"/>
    <n v="3"/>
    <n v="3"/>
    <n v="14"/>
    <n v="3"/>
    <n v="1"/>
    <n v="10"/>
    <s v="OK"/>
    <s v="OK"/>
    <s v="OK"/>
    <s v="OK"/>
    <x v="69"/>
    <n v="0.21428571428571427"/>
    <n v="0.21428571428571427"/>
    <n v="0.7142857142857143"/>
  </r>
  <r>
    <n v="35"/>
    <s v="No"/>
    <s v="Travel_Rarely"/>
    <n v="619"/>
    <x v="0"/>
    <n v="1"/>
    <n v="3"/>
    <s v="Marketing"/>
    <n v="1"/>
    <n v="600"/>
    <n v="2"/>
    <s v="Male"/>
    <n v="85"/>
    <n v="3"/>
    <n v="2"/>
    <x v="0"/>
    <n v="3"/>
    <s v="Married"/>
    <n v="4717"/>
    <n v="18659"/>
    <n v="9"/>
    <s v="Y"/>
    <s v="No"/>
    <n v="11"/>
    <n v="3"/>
    <n v="3"/>
    <n v="80"/>
    <n v="0"/>
    <n v="15"/>
    <n v="2"/>
    <n v="3"/>
    <n v="11"/>
    <n v="9"/>
    <n v="6"/>
    <n v="9"/>
    <s v="OK"/>
    <s v="OK"/>
    <s v="OK"/>
    <s v="OK"/>
    <x v="58"/>
    <n v="0.81818181818181823"/>
    <n v="0.18181818181818182"/>
    <n v="0.81818181818181823"/>
  </r>
  <r>
    <n v="40"/>
    <s v="No"/>
    <s v="Travel_Rarely"/>
    <n v="302"/>
    <x v="1"/>
    <n v="6"/>
    <n v="3"/>
    <s v="Life Sciences"/>
    <n v="1"/>
    <n v="601"/>
    <n v="2"/>
    <s v="Female"/>
    <n v="75"/>
    <n v="3"/>
    <n v="4"/>
    <x v="3"/>
    <n v="3"/>
    <s v="Single"/>
    <n v="13237"/>
    <n v="20364"/>
    <n v="7"/>
    <s v="Y"/>
    <s v="No"/>
    <n v="15"/>
    <n v="3"/>
    <n v="3"/>
    <n v="80"/>
    <n v="0"/>
    <n v="22"/>
    <n v="3"/>
    <n v="3"/>
    <n v="20"/>
    <n v="6"/>
    <n v="5"/>
    <n v="13"/>
    <s v="OK"/>
    <s v="OK"/>
    <s v="OK"/>
    <s v="OK"/>
    <x v="10"/>
    <n v="0.3"/>
    <n v="0.15"/>
    <n v="0.65"/>
  </r>
  <r>
    <n v="39"/>
    <s v="No"/>
    <s v="Travel_Frequently"/>
    <n v="443"/>
    <x v="1"/>
    <n v="8"/>
    <n v="1"/>
    <s v="Life Sciences"/>
    <n v="1"/>
    <n v="602"/>
    <n v="3"/>
    <s v="Female"/>
    <n v="48"/>
    <n v="3"/>
    <n v="1"/>
    <x v="2"/>
    <n v="3"/>
    <s v="Married"/>
    <n v="3755"/>
    <n v="17872"/>
    <n v="1"/>
    <s v="Y"/>
    <s v="No"/>
    <n v="11"/>
    <n v="3"/>
    <n v="1"/>
    <n v="80"/>
    <n v="1"/>
    <n v="8"/>
    <n v="3"/>
    <n v="3"/>
    <n v="8"/>
    <n v="3"/>
    <n v="0"/>
    <n v="7"/>
    <s v="OK"/>
    <s v="OK"/>
    <s v="OK"/>
    <s v="OK"/>
    <x v="0"/>
    <n v="0.375"/>
    <n v="0.375"/>
    <n v="0.875"/>
  </r>
  <r>
    <n v="31"/>
    <s v="No"/>
    <s v="Travel_Rarely"/>
    <n v="828"/>
    <x v="0"/>
    <n v="2"/>
    <n v="1"/>
    <s v="Life Sciences"/>
    <n v="1"/>
    <n v="604"/>
    <n v="2"/>
    <s v="Male"/>
    <n v="77"/>
    <n v="3"/>
    <n v="2"/>
    <x v="0"/>
    <n v="4"/>
    <s v="Single"/>
    <n v="6582"/>
    <n v="8346"/>
    <n v="4"/>
    <s v="Y"/>
    <s v="Yes"/>
    <n v="13"/>
    <n v="3"/>
    <n v="3"/>
    <n v="80"/>
    <n v="0"/>
    <n v="10"/>
    <n v="2"/>
    <n v="4"/>
    <n v="6"/>
    <n v="5"/>
    <n v="0"/>
    <n v="5"/>
    <s v="OK"/>
    <s v="OK"/>
    <s v="OK"/>
    <s v="OK"/>
    <x v="0"/>
    <n v="0.83333333333333337"/>
    <n v="0.33333333333333331"/>
    <n v="0.83333333333333337"/>
  </r>
  <r>
    <n v="42"/>
    <s v="No"/>
    <s v="Travel_Rarely"/>
    <n v="319"/>
    <x v="1"/>
    <n v="24"/>
    <n v="3"/>
    <s v="Medical"/>
    <n v="1"/>
    <n v="605"/>
    <n v="4"/>
    <s v="Male"/>
    <n v="56"/>
    <n v="3"/>
    <n v="3"/>
    <x v="3"/>
    <n v="1"/>
    <s v="Married"/>
    <n v="7406"/>
    <n v="6950"/>
    <n v="1"/>
    <s v="Y"/>
    <s v="Yes"/>
    <n v="21"/>
    <n v="4"/>
    <n v="4"/>
    <n v="80"/>
    <n v="1"/>
    <n v="10"/>
    <n v="5"/>
    <n v="2"/>
    <n v="10"/>
    <n v="9"/>
    <n v="5"/>
    <n v="8"/>
    <s v="OK"/>
    <s v="OK"/>
    <s v="OK"/>
    <s v="OK"/>
    <x v="7"/>
    <n v="0.9"/>
    <n v="0.5"/>
    <n v="0.8"/>
  </r>
  <r>
    <n v="45"/>
    <s v="No"/>
    <s v="Travel_Rarely"/>
    <n v="561"/>
    <x v="0"/>
    <n v="2"/>
    <n v="3"/>
    <s v="Other"/>
    <n v="1"/>
    <n v="606"/>
    <n v="4"/>
    <s v="Male"/>
    <n v="61"/>
    <n v="3"/>
    <n v="2"/>
    <x v="0"/>
    <n v="2"/>
    <s v="Married"/>
    <n v="4805"/>
    <n v="16177"/>
    <n v="0"/>
    <s v="Y"/>
    <s v="No"/>
    <n v="19"/>
    <n v="3"/>
    <n v="2"/>
    <n v="80"/>
    <n v="1"/>
    <n v="9"/>
    <n v="3"/>
    <n v="4"/>
    <n v="8"/>
    <n v="7"/>
    <n v="3"/>
    <n v="7"/>
    <s v="OK"/>
    <s v="OK"/>
    <s v="OK"/>
    <s v="OK"/>
    <x v="2"/>
    <n v="0.875"/>
    <n v="0.375"/>
    <n v="0.875"/>
  </r>
  <r>
    <n v="26"/>
    <s v="Yes"/>
    <s v="Travel_Frequently"/>
    <n v="426"/>
    <x v="2"/>
    <n v="17"/>
    <n v="4"/>
    <s v="Life Sciences"/>
    <n v="1"/>
    <n v="608"/>
    <n v="2"/>
    <s v="Female"/>
    <n v="58"/>
    <n v="3"/>
    <n v="1"/>
    <x v="8"/>
    <n v="3"/>
    <s v="Divorced"/>
    <n v="2741"/>
    <n v="22808"/>
    <n v="0"/>
    <s v="Y"/>
    <s v="Yes"/>
    <n v="11"/>
    <n v="3"/>
    <n v="2"/>
    <n v="80"/>
    <n v="1"/>
    <n v="8"/>
    <n v="2"/>
    <n v="2"/>
    <n v="7"/>
    <n v="7"/>
    <n v="1"/>
    <n v="0"/>
    <s v="OK"/>
    <s v="OK"/>
    <s v="OK"/>
    <s v="OK"/>
    <x v="20"/>
    <n v="1"/>
    <n v="0.2857142857142857"/>
    <n v="0"/>
  </r>
  <r>
    <n v="29"/>
    <s v="No"/>
    <s v="Travel_Rarely"/>
    <n v="232"/>
    <x v="1"/>
    <n v="19"/>
    <n v="3"/>
    <s v="Technical Degree"/>
    <n v="1"/>
    <n v="611"/>
    <n v="4"/>
    <s v="Male"/>
    <n v="34"/>
    <n v="3"/>
    <n v="2"/>
    <x v="3"/>
    <n v="4"/>
    <s v="Divorced"/>
    <n v="4262"/>
    <n v="22645"/>
    <n v="4"/>
    <s v="Y"/>
    <s v="No"/>
    <n v="12"/>
    <n v="3"/>
    <n v="2"/>
    <n v="80"/>
    <n v="2"/>
    <n v="8"/>
    <n v="2"/>
    <n v="4"/>
    <n v="3"/>
    <n v="2"/>
    <n v="1"/>
    <n v="2"/>
    <s v="OK"/>
    <s v="OK"/>
    <s v="OK"/>
    <s v="OK"/>
    <x v="9"/>
    <n v="0.66666666666666663"/>
    <n v="0.66666666666666663"/>
    <n v="0.66666666666666663"/>
  </r>
  <r>
    <n v="33"/>
    <s v="No"/>
    <s v="Travel_Rarely"/>
    <n v="922"/>
    <x v="1"/>
    <n v="1"/>
    <n v="5"/>
    <s v="Medical"/>
    <n v="1"/>
    <n v="612"/>
    <n v="1"/>
    <s v="Female"/>
    <n v="95"/>
    <n v="4"/>
    <n v="4"/>
    <x v="7"/>
    <n v="3"/>
    <s v="Divorced"/>
    <n v="16184"/>
    <n v="22578"/>
    <n v="4"/>
    <s v="Y"/>
    <s v="No"/>
    <n v="19"/>
    <n v="3"/>
    <n v="3"/>
    <n v="80"/>
    <n v="1"/>
    <n v="10"/>
    <n v="2"/>
    <n v="3"/>
    <n v="6"/>
    <n v="1"/>
    <n v="0"/>
    <n v="5"/>
    <s v="OK"/>
    <s v="OK"/>
    <s v="OK"/>
    <s v="OK"/>
    <x v="0"/>
    <n v="0.16666666666666666"/>
    <n v="0.33333333333333331"/>
    <n v="0.83333333333333337"/>
  </r>
  <r>
    <n v="31"/>
    <s v="No"/>
    <s v="Travel_Rarely"/>
    <n v="688"/>
    <x v="0"/>
    <n v="7"/>
    <n v="3"/>
    <s v="Life Sciences"/>
    <n v="1"/>
    <n v="613"/>
    <n v="3"/>
    <s v="Male"/>
    <n v="44"/>
    <n v="2"/>
    <n v="3"/>
    <x v="5"/>
    <n v="4"/>
    <s v="Divorced"/>
    <n v="11557"/>
    <n v="25291"/>
    <n v="9"/>
    <s v="Y"/>
    <s v="No"/>
    <n v="21"/>
    <n v="4"/>
    <n v="3"/>
    <n v="80"/>
    <n v="1"/>
    <n v="10"/>
    <n v="3"/>
    <n v="2"/>
    <n v="5"/>
    <n v="4"/>
    <n v="0"/>
    <n v="1"/>
    <s v="OK"/>
    <s v="OK"/>
    <s v="OK"/>
    <s v="OK"/>
    <x v="0"/>
    <n v="0.8"/>
    <n v="0.6"/>
    <n v="0.2"/>
  </r>
  <r>
    <n v="18"/>
    <s v="Yes"/>
    <s v="Travel_Frequently"/>
    <n v="1306"/>
    <x v="0"/>
    <n v="5"/>
    <n v="3"/>
    <s v="Marketing"/>
    <n v="1"/>
    <n v="614"/>
    <n v="2"/>
    <s v="Male"/>
    <n v="69"/>
    <n v="3"/>
    <n v="1"/>
    <x v="6"/>
    <n v="2"/>
    <s v="Single"/>
    <n v="1878"/>
    <n v="8059"/>
    <n v="1"/>
    <s v="Y"/>
    <s v="Yes"/>
    <n v="14"/>
    <n v="3"/>
    <n v="4"/>
    <n v="80"/>
    <n v="0"/>
    <n v="0"/>
    <n v="3"/>
    <n v="3"/>
    <n v="0"/>
    <n v="0"/>
    <n v="0"/>
    <n v="0"/>
    <s v="OK"/>
    <s v="OK"/>
    <s v="OK"/>
    <s v="OK"/>
    <x v="0"/>
    <n v="0"/>
    <n v="0"/>
    <n v="0"/>
  </r>
  <r>
    <n v="40"/>
    <s v="No"/>
    <s v="Non-Travel"/>
    <n v="1094"/>
    <x v="0"/>
    <n v="28"/>
    <n v="3"/>
    <s v="Other"/>
    <n v="1"/>
    <n v="615"/>
    <n v="3"/>
    <s v="Male"/>
    <n v="58"/>
    <n v="1"/>
    <n v="3"/>
    <x v="0"/>
    <n v="1"/>
    <s v="Divorced"/>
    <n v="10932"/>
    <n v="11373"/>
    <n v="3"/>
    <s v="Y"/>
    <s v="No"/>
    <n v="15"/>
    <n v="3"/>
    <n v="3"/>
    <n v="80"/>
    <n v="1"/>
    <n v="20"/>
    <n v="2"/>
    <n v="3"/>
    <n v="1"/>
    <n v="0"/>
    <n v="0"/>
    <n v="1"/>
    <s v="OK"/>
    <s v="OK"/>
    <s v="OK"/>
    <s v="OK"/>
    <x v="0"/>
    <n v="0"/>
    <n v="2"/>
    <n v="1"/>
  </r>
  <r>
    <n v="41"/>
    <s v="No"/>
    <s v="Non-Travel"/>
    <n v="509"/>
    <x v="1"/>
    <n v="2"/>
    <n v="4"/>
    <s v="Other"/>
    <n v="1"/>
    <n v="616"/>
    <n v="1"/>
    <s v="Female"/>
    <n v="62"/>
    <n v="2"/>
    <n v="2"/>
    <x v="4"/>
    <n v="3"/>
    <s v="Single"/>
    <n v="6811"/>
    <n v="2112"/>
    <n v="2"/>
    <s v="Y"/>
    <s v="Yes"/>
    <n v="17"/>
    <n v="3"/>
    <n v="1"/>
    <n v="80"/>
    <n v="0"/>
    <n v="10"/>
    <n v="3"/>
    <n v="3"/>
    <n v="8"/>
    <n v="7"/>
    <n v="0"/>
    <n v="7"/>
    <s v="OK"/>
    <s v="OK"/>
    <s v="OK"/>
    <s v="OK"/>
    <x v="0"/>
    <n v="0.875"/>
    <n v="0.375"/>
    <n v="0.875"/>
  </r>
  <r>
    <n v="26"/>
    <s v="No"/>
    <s v="Travel_Rarely"/>
    <n v="775"/>
    <x v="0"/>
    <n v="29"/>
    <n v="2"/>
    <s v="Medical"/>
    <n v="1"/>
    <n v="618"/>
    <n v="1"/>
    <s v="Male"/>
    <n v="45"/>
    <n v="3"/>
    <n v="2"/>
    <x v="0"/>
    <n v="3"/>
    <s v="Divorced"/>
    <n v="4306"/>
    <n v="4267"/>
    <n v="5"/>
    <s v="Y"/>
    <s v="No"/>
    <n v="12"/>
    <n v="3"/>
    <n v="1"/>
    <n v="80"/>
    <n v="2"/>
    <n v="8"/>
    <n v="5"/>
    <n v="3"/>
    <n v="0"/>
    <n v="0"/>
    <n v="0"/>
    <n v="0"/>
    <s v="OK"/>
    <s v="OK"/>
    <s v="OK"/>
    <s v="OK"/>
    <x v="0"/>
    <n v="0"/>
    <n v="0"/>
    <n v="0"/>
  </r>
  <r>
    <n v="35"/>
    <s v="No"/>
    <s v="Travel_Rarely"/>
    <n v="195"/>
    <x v="0"/>
    <n v="1"/>
    <n v="3"/>
    <s v="Medical"/>
    <n v="1"/>
    <n v="620"/>
    <n v="1"/>
    <s v="Female"/>
    <n v="80"/>
    <n v="3"/>
    <n v="2"/>
    <x v="0"/>
    <n v="3"/>
    <s v="Single"/>
    <n v="4859"/>
    <n v="6698"/>
    <n v="1"/>
    <s v="Y"/>
    <s v="No"/>
    <n v="16"/>
    <n v="3"/>
    <n v="4"/>
    <n v="80"/>
    <n v="0"/>
    <n v="5"/>
    <n v="3"/>
    <n v="3"/>
    <n v="5"/>
    <n v="4"/>
    <n v="0"/>
    <n v="3"/>
    <s v="OK"/>
    <s v="OK"/>
    <s v="OK"/>
    <s v="OK"/>
    <x v="0"/>
    <n v="0.8"/>
    <n v="0.6"/>
    <n v="0.6"/>
  </r>
  <r>
    <n v="34"/>
    <s v="No"/>
    <s v="Travel_Rarely"/>
    <n v="258"/>
    <x v="0"/>
    <n v="21"/>
    <n v="4"/>
    <s v="Life Sciences"/>
    <n v="1"/>
    <n v="621"/>
    <n v="4"/>
    <s v="Male"/>
    <n v="74"/>
    <n v="4"/>
    <n v="2"/>
    <x v="0"/>
    <n v="4"/>
    <s v="Single"/>
    <n v="5337"/>
    <n v="19921"/>
    <n v="1"/>
    <s v="Y"/>
    <s v="No"/>
    <n v="12"/>
    <n v="3"/>
    <n v="4"/>
    <n v="80"/>
    <n v="0"/>
    <n v="10"/>
    <n v="3"/>
    <n v="3"/>
    <n v="10"/>
    <n v="7"/>
    <n v="5"/>
    <n v="7"/>
    <s v="OK"/>
    <s v="OK"/>
    <s v="OK"/>
    <s v="OK"/>
    <x v="7"/>
    <n v="0.7"/>
    <n v="0.3"/>
    <n v="0.7"/>
  </r>
  <r>
    <n v="26"/>
    <s v="Yes"/>
    <s v="Travel_Rarely"/>
    <n v="471"/>
    <x v="1"/>
    <n v="24"/>
    <n v="3"/>
    <s v="Technical Degree"/>
    <n v="1"/>
    <n v="622"/>
    <n v="3"/>
    <s v="Male"/>
    <n v="66"/>
    <n v="1"/>
    <n v="1"/>
    <x v="2"/>
    <n v="4"/>
    <s v="Single"/>
    <n v="2340"/>
    <n v="23213"/>
    <n v="1"/>
    <s v="Y"/>
    <s v="Yes"/>
    <n v="18"/>
    <n v="3"/>
    <n v="2"/>
    <n v="80"/>
    <n v="0"/>
    <n v="1"/>
    <n v="3"/>
    <n v="1"/>
    <n v="1"/>
    <n v="0"/>
    <n v="0"/>
    <n v="0"/>
    <s v="OK"/>
    <s v="OK"/>
    <s v="OK"/>
    <s v="OK"/>
    <x v="0"/>
    <n v="0"/>
    <n v="3"/>
    <n v="0"/>
  </r>
  <r>
    <n v="37"/>
    <s v="No"/>
    <s v="Travel_Rarely"/>
    <n v="799"/>
    <x v="1"/>
    <n v="1"/>
    <n v="3"/>
    <s v="Technical Degree"/>
    <n v="1"/>
    <n v="623"/>
    <n v="2"/>
    <s v="Female"/>
    <n v="59"/>
    <n v="3"/>
    <n v="3"/>
    <x v="3"/>
    <n v="4"/>
    <s v="Single"/>
    <n v="7491"/>
    <n v="23848"/>
    <n v="4"/>
    <s v="Y"/>
    <s v="No"/>
    <n v="17"/>
    <n v="3"/>
    <n v="4"/>
    <n v="80"/>
    <n v="0"/>
    <n v="12"/>
    <n v="3"/>
    <n v="4"/>
    <n v="6"/>
    <n v="5"/>
    <n v="1"/>
    <n v="2"/>
    <s v="OK"/>
    <s v="OK"/>
    <s v="OK"/>
    <s v="OK"/>
    <x v="11"/>
    <n v="0.83333333333333337"/>
    <n v="0.5"/>
    <n v="0.33333333333333331"/>
  </r>
  <r>
    <n v="46"/>
    <s v="No"/>
    <s v="Travel_Frequently"/>
    <n v="1034"/>
    <x v="1"/>
    <n v="18"/>
    <n v="1"/>
    <s v="Medical"/>
    <n v="1"/>
    <n v="624"/>
    <n v="1"/>
    <s v="Female"/>
    <n v="86"/>
    <n v="3"/>
    <n v="3"/>
    <x v="4"/>
    <n v="3"/>
    <s v="Married"/>
    <n v="10527"/>
    <n v="8984"/>
    <n v="5"/>
    <s v="Y"/>
    <s v="No"/>
    <n v="11"/>
    <n v="3"/>
    <n v="4"/>
    <n v="80"/>
    <n v="0"/>
    <n v="28"/>
    <n v="3"/>
    <n v="2"/>
    <n v="2"/>
    <n v="2"/>
    <n v="1"/>
    <n v="2"/>
    <s v="OK"/>
    <s v="OK"/>
    <s v="OK"/>
    <s v="OK"/>
    <x v="7"/>
    <n v="1"/>
    <n v="1.5"/>
    <n v="1"/>
  </r>
  <r>
    <n v="41"/>
    <s v="No"/>
    <s v="Travel_Rarely"/>
    <n v="1276"/>
    <x v="0"/>
    <n v="2"/>
    <n v="5"/>
    <s v="Life Sciences"/>
    <n v="1"/>
    <n v="625"/>
    <n v="2"/>
    <s v="Female"/>
    <n v="91"/>
    <n v="3"/>
    <n v="4"/>
    <x v="5"/>
    <n v="1"/>
    <s v="Married"/>
    <n v="16595"/>
    <n v="5626"/>
    <n v="7"/>
    <s v="Y"/>
    <s v="No"/>
    <n v="16"/>
    <n v="3"/>
    <n v="2"/>
    <n v="80"/>
    <n v="1"/>
    <n v="22"/>
    <n v="2"/>
    <n v="3"/>
    <n v="18"/>
    <n v="16"/>
    <n v="11"/>
    <n v="8"/>
    <s v="OK"/>
    <s v="OK"/>
    <s v="OK"/>
    <s v="OK"/>
    <x v="70"/>
    <n v="0.88888888888888884"/>
    <n v="0.1111111111111111"/>
    <n v="0.44444444444444442"/>
  </r>
  <r>
    <n v="37"/>
    <s v="No"/>
    <s v="Non-Travel"/>
    <n v="142"/>
    <x v="0"/>
    <n v="9"/>
    <n v="4"/>
    <s v="Medical"/>
    <n v="1"/>
    <n v="626"/>
    <n v="1"/>
    <s v="Male"/>
    <n v="69"/>
    <n v="3"/>
    <n v="3"/>
    <x v="0"/>
    <n v="2"/>
    <s v="Divorced"/>
    <n v="8834"/>
    <n v="24666"/>
    <n v="1"/>
    <s v="Y"/>
    <s v="No"/>
    <n v="13"/>
    <n v="3"/>
    <n v="4"/>
    <n v="80"/>
    <n v="1"/>
    <n v="9"/>
    <n v="6"/>
    <n v="3"/>
    <n v="9"/>
    <n v="5"/>
    <n v="7"/>
    <n v="7"/>
    <s v="OK"/>
    <s v="OK"/>
    <s v="OK"/>
    <s v="OK"/>
    <x v="21"/>
    <n v="0.55555555555555558"/>
    <n v="0.66666666666666663"/>
    <n v="0.77777777777777779"/>
  </r>
  <r>
    <n v="52"/>
    <s v="No"/>
    <s v="Travel_Rarely"/>
    <n v="956"/>
    <x v="1"/>
    <n v="6"/>
    <n v="2"/>
    <s v="Technical Degree"/>
    <n v="1"/>
    <n v="630"/>
    <n v="4"/>
    <s v="Male"/>
    <n v="78"/>
    <n v="3"/>
    <n v="2"/>
    <x v="1"/>
    <n v="1"/>
    <s v="Divorced"/>
    <n v="5577"/>
    <n v="22087"/>
    <n v="3"/>
    <s v="Y"/>
    <s v="Yes"/>
    <n v="12"/>
    <n v="3"/>
    <n v="2"/>
    <n v="80"/>
    <n v="2"/>
    <n v="18"/>
    <n v="3"/>
    <n v="3"/>
    <n v="10"/>
    <n v="9"/>
    <n v="6"/>
    <n v="9"/>
    <s v="OK"/>
    <s v="OK"/>
    <s v="OK"/>
    <s v="OK"/>
    <x v="13"/>
    <n v="0.9"/>
    <n v="0.3"/>
    <n v="0.9"/>
  </r>
  <r>
    <n v="32"/>
    <s v="Yes"/>
    <s v="Non-Travel"/>
    <n v="1474"/>
    <x v="0"/>
    <n v="11"/>
    <n v="4"/>
    <s v="Other"/>
    <n v="1"/>
    <n v="631"/>
    <n v="4"/>
    <s v="Male"/>
    <n v="60"/>
    <n v="4"/>
    <n v="2"/>
    <x v="0"/>
    <n v="3"/>
    <s v="Married"/>
    <n v="4707"/>
    <n v="23914"/>
    <n v="8"/>
    <s v="Y"/>
    <s v="No"/>
    <n v="12"/>
    <n v="3"/>
    <n v="4"/>
    <n v="80"/>
    <n v="0"/>
    <n v="6"/>
    <n v="2"/>
    <n v="3"/>
    <n v="4"/>
    <n v="2"/>
    <n v="1"/>
    <n v="2"/>
    <s v="OK"/>
    <s v="OK"/>
    <s v="OK"/>
    <s v="OK"/>
    <x v="10"/>
    <n v="0.5"/>
    <n v="0.5"/>
    <n v="0.5"/>
  </r>
  <r>
    <n v="24"/>
    <s v="No"/>
    <s v="Travel_Frequently"/>
    <n v="535"/>
    <x v="0"/>
    <n v="24"/>
    <n v="3"/>
    <s v="Medical"/>
    <n v="1"/>
    <n v="632"/>
    <n v="4"/>
    <s v="Male"/>
    <n v="38"/>
    <n v="3"/>
    <n v="1"/>
    <x v="6"/>
    <n v="4"/>
    <s v="Married"/>
    <n v="2400"/>
    <n v="5530"/>
    <n v="0"/>
    <s v="Y"/>
    <s v="No"/>
    <n v="13"/>
    <n v="3"/>
    <n v="3"/>
    <n v="80"/>
    <n v="2"/>
    <n v="3"/>
    <n v="3"/>
    <n v="3"/>
    <n v="2"/>
    <n v="2"/>
    <n v="2"/>
    <n v="1"/>
    <s v="OK"/>
    <s v="OK"/>
    <s v="OK"/>
    <s v="OK"/>
    <x v="3"/>
    <n v="1"/>
    <n v="1.5"/>
    <n v="0.5"/>
  </r>
  <r>
    <n v="38"/>
    <s v="No"/>
    <s v="Travel_Rarely"/>
    <n v="1495"/>
    <x v="1"/>
    <n v="10"/>
    <n v="3"/>
    <s v="Medical"/>
    <n v="1"/>
    <n v="634"/>
    <n v="3"/>
    <s v="Female"/>
    <n v="76"/>
    <n v="3"/>
    <n v="2"/>
    <x v="4"/>
    <n v="3"/>
    <s v="Married"/>
    <n v="9824"/>
    <n v="22174"/>
    <n v="3"/>
    <s v="Y"/>
    <s v="No"/>
    <n v="19"/>
    <n v="3"/>
    <n v="3"/>
    <n v="80"/>
    <n v="1"/>
    <n v="18"/>
    <n v="4"/>
    <n v="3"/>
    <n v="1"/>
    <n v="0"/>
    <n v="0"/>
    <n v="0"/>
    <s v="OK"/>
    <s v="OK"/>
    <s v="OK"/>
    <s v="OK"/>
    <x v="0"/>
    <n v="0"/>
    <n v="4"/>
    <n v="0"/>
  </r>
  <r>
    <n v="37"/>
    <s v="No"/>
    <s v="Travel_Rarely"/>
    <n v="446"/>
    <x v="1"/>
    <n v="1"/>
    <n v="4"/>
    <s v="Life Sciences"/>
    <n v="1"/>
    <n v="635"/>
    <n v="2"/>
    <s v="Female"/>
    <n v="65"/>
    <n v="3"/>
    <n v="2"/>
    <x v="3"/>
    <n v="2"/>
    <s v="Married"/>
    <n v="6447"/>
    <n v="15701"/>
    <n v="6"/>
    <s v="Y"/>
    <s v="No"/>
    <n v="12"/>
    <n v="3"/>
    <n v="2"/>
    <n v="80"/>
    <n v="1"/>
    <n v="8"/>
    <n v="2"/>
    <n v="2"/>
    <n v="6"/>
    <n v="5"/>
    <n v="4"/>
    <n v="3"/>
    <s v="OK"/>
    <s v="OK"/>
    <s v="OK"/>
    <s v="OK"/>
    <x v="34"/>
    <n v="0.83333333333333337"/>
    <n v="0.33333333333333331"/>
    <n v="0.5"/>
  </r>
  <r>
    <n v="49"/>
    <s v="No"/>
    <s v="Travel_Rarely"/>
    <n v="1245"/>
    <x v="1"/>
    <n v="18"/>
    <n v="4"/>
    <s v="Life Sciences"/>
    <n v="1"/>
    <n v="638"/>
    <n v="4"/>
    <s v="Male"/>
    <n v="58"/>
    <n v="2"/>
    <n v="5"/>
    <x v="7"/>
    <n v="3"/>
    <s v="Divorced"/>
    <n v="19502"/>
    <n v="2125"/>
    <n v="1"/>
    <s v="Y"/>
    <s v="Yes"/>
    <n v="17"/>
    <n v="3"/>
    <n v="3"/>
    <n v="80"/>
    <n v="1"/>
    <n v="31"/>
    <n v="5"/>
    <n v="3"/>
    <n v="31"/>
    <n v="9"/>
    <n v="0"/>
    <n v="9"/>
    <s v="OK"/>
    <s v="OK"/>
    <s v="OK"/>
    <s v="OK"/>
    <x v="0"/>
    <n v="0.29032258064516131"/>
    <n v="0.16129032258064516"/>
    <n v="0.29032258064516131"/>
  </r>
  <r>
    <n v="24"/>
    <s v="No"/>
    <s v="Travel_Rarely"/>
    <n v="691"/>
    <x v="1"/>
    <n v="23"/>
    <n v="3"/>
    <s v="Medical"/>
    <n v="1"/>
    <n v="639"/>
    <n v="2"/>
    <s v="Male"/>
    <n v="89"/>
    <n v="4"/>
    <n v="1"/>
    <x v="1"/>
    <n v="4"/>
    <s v="Married"/>
    <n v="2725"/>
    <n v="21630"/>
    <n v="1"/>
    <s v="Y"/>
    <s v="Yes"/>
    <n v="11"/>
    <n v="3"/>
    <n v="2"/>
    <n v="80"/>
    <n v="2"/>
    <n v="6"/>
    <n v="3"/>
    <n v="3"/>
    <n v="6"/>
    <n v="5"/>
    <n v="1"/>
    <n v="4"/>
    <s v="OK"/>
    <s v="OK"/>
    <s v="OK"/>
    <s v="OK"/>
    <x v="11"/>
    <n v="0.83333333333333337"/>
    <n v="0.5"/>
    <n v="0.66666666666666663"/>
  </r>
  <r>
    <n v="26"/>
    <s v="No"/>
    <s v="Travel_Rarely"/>
    <n v="703"/>
    <x v="0"/>
    <n v="28"/>
    <n v="2"/>
    <s v="Marketing"/>
    <n v="1"/>
    <n v="641"/>
    <n v="1"/>
    <s v="Male"/>
    <n v="66"/>
    <n v="3"/>
    <n v="2"/>
    <x v="0"/>
    <n v="2"/>
    <s v="Married"/>
    <n v="6272"/>
    <n v="7428"/>
    <n v="1"/>
    <s v="Y"/>
    <s v="No"/>
    <n v="20"/>
    <n v="4"/>
    <n v="4"/>
    <n v="80"/>
    <n v="2"/>
    <n v="6"/>
    <n v="5"/>
    <n v="4"/>
    <n v="5"/>
    <n v="3"/>
    <n v="1"/>
    <n v="4"/>
    <s v="OK"/>
    <s v="OK"/>
    <s v="OK"/>
    <s v="OK"/>
    <x v="16"/>
    <n v="0.6"/>
    <n v="1"/>
    <n v="0.8"/>
  </r>
  <r>
    <n v="24"/>
    <s v="No"/>
    <s v="Travel_Rarely"/>
    <n v="823"/>
    <x v="1"/>
    <n v="17"/>
    <n v="2"/>
    <s v="Other"/>
    <n v="1"/>
    <n v="643"/>
    <n v="4"/>
    <s v="Male"/>
    <n v="94"/>
    <n v="2"/>
    <n v="1"/>
    <x v="2"/>
    <n v="2"/>
    <s v="Married"/>
    <n v="2127"/>
    <n v="9100"/>
    <n v="1"/>
    <s v="Y"/>
    <s v="No"/>
    <n v="21"/>
    <n v="4"/>
    <n v="4"/>
    <n v="80"/>
    <n v="1"/>
    <n v="1"/>
    <n v="2"/>
    <n v="3"/>
    <n v="1"/>
    <n v="0"/>
    <n v="0"/>
    <n v="0"/>
    <s v="OK"/>
    <s v="OK"/>
    <s v="OK"/>
    <s v="OK"/>
    <x v="0"/>
    <n v="0"/>
    <n v="2"/>
    <n v="0"/>
  </r>
  <r>
    <n v="50"/>
    <s v="No"/>
    <s v="Travel_Frequently"/>
    <n v="1246"/>
    <x v="2"/>
    <n v="3"/>
    <n v="3"/>
    <s v="Medical"/>
    <n v="1"/>
    <n v="644"/>
    <n v="1"/>
    <s v="Male"/>
    <n v="99"/>
    <n v="3"/>
    <n v="5"/>
    <x v="5"/>
    <n v="2"/>
    <s v="Married"/>
    <n v="18200"/>
    <n v="7999"/>
    <n v="1"/>
    <s v="Y"/>
    <s v="No"/>
    <n v="11"/>
    <n v="3"/>
    <n v="3"/>
    <n v="80"/>
    <n v="1"/>
    <n v="32"/>
    <n v="2"/>
    <n v="3"/>
    <n v="32"/>
    <n v="5"/>
    <n v="10"/>
    <n v="7"/>
    <s v="OK"/>
    <s v="OK"/>
    <s v="OK"/>
    <s v="OK"/>
    <x v="51"/>
    <n v="0.15625"/>
    <n v="6.25E-2"/>
    <n v="0.21875"/>
  </r>
  <r>
    <n v="25"/>
    <s v="No"/>
    <s v="Travel_Rarely"/>
    <n v="622"/>
    <x v="0"/>
    <n v="13"/>
    <n v="1"/>
    <s v="Medical"/>
    <n v="1"/>
    <n v="645"/>
    <n v="2"/>
    <s v="Male"/>
    <n v="40"/>
    <n v="3"/>
    <n v="1"/>
    <x v="6"/>
    <n v="3"/>
    <s v="Married"/>
    <n v="2096"/>
    <n v="26376"/>
    <n v="1"/>
    <s v="Y"/>
    <s v="No"/>
    <n v="11"/>
    <n v="3"/>
    <n v="3"/>
    <n v="80"/>
    <n v="0"/>
    <n v="7"/>
    <n v="1"/>
    <n v="3"/>
    <n v="7"/>
    <n v="4"/>
    <n v="0"/>
    <n v="6"/>
    <s v="OK"/>
    <s v="OK"/>
    <s v="OK"/>
    <s v="OK"/>
    <x v="0"/>
    <n v="0.5714285714285714"/>
    <n v="0.14285714285714285"/>
    <n v="0.8571428571428571"/>
  </r>
  <r>
    <n v="24"/>
    <s v="Yes"/>
    <s v="Travel_Frequently"/>
    <n v="1287"/>
    <x v="1"/>
    <n v="7"/>
    <n v="3"/>
    <s v="Life Sciences"/>
    <n v="1"/>
    <n v="647"/>
    <n v="1"/>
    <s v="Female"/>
    <n v="55"/>
    <n v="3"/>
    <n v="1"/>
    <x v="2"/>
    <n v="3"/>
    <s v="Married"/>
    <n v="2886"/>
    <n v="14168"/>
    <n v="1"/>
    <s v="Y"/>
    <s v="Yes"/>
    <n v="16"/>
    <n v="3"/>
    <n v="4"/>
    <n v="80"/>
    <n v="1"/>
    <n v="6"/>
    <n v="4"/>
    <n v="3"/>
    <n v="6"/>
    <n v="3"/>
    <n v="1"/>
    <n v="2"/>
    <s v="OK"/>
    <s v="OK"/>
    <s v="OK"/>
    <s v="OK"/>
    <x v="11"/>
    <n v="0.5"/>
    <n v="0.66666666666666663"/>
    <n v="0.33333333333333331"/>
  </r>
  <r>
    <n v="30"/>
    <s v="Yes"/>
    <s v="Travel_Frequently"/>
    <n v="448"/>
    <x v="0"/>
    <n v="12"/>
    <n v="4"/>
    <s v="Life Sciences"/>
    <n v="1"/>
    <n v="648"/>
    <n v="2"/>
    <s v="Male"/>
    <n v="74"/>
    <n v="2"/>
    <n v="1"/>
    <x v="6"/>
    <n v="1"/>
    <s v="Married"/>
    <n v="2033"/>
    <n v="14470"/>
    <n v="1"/>
    <s v="Y"/>
    <s v="No"/>
    <n v="18"/>
    <n v="3"/>
    <n v="3"/>
    <n v="80"/>
    <n v="1"/>
    <n v="1"/>
    <n v="2"/>
    <n v="4"/>
    <n v="1"/>
    <n v="0"/>
    <n v="0"/>
    <n v="0"/>
    <s v="OK"/>
    <s v="OK"/>
    <s v="OK"/>
    <s v="OK"/>
    <x v="0"/>
    <n v="0"/>
    <n v="2"/>
    <n v="0"/>
  </r>
  <r>
    <n v="34"/>
    <s v="No"/>
    <s v="Travel_Rarely"/>
    <n v="254"/>
    <x v="1"/>
    <n v="1"/>
    <n v="2"/>
    <s v="Life Sciences"/>
    <n v="1"/>
    <n v="649"/>
    <n v="2"/>
    <s v="Male"/>
    <n v="83"/>
    <n v="2"/>
    <n v="1"/>
    <x v="1"/>
    <n v="4"/>
    <s v="Married"/>
    <n v="3622"/>
    <n v="22794"/>
    <n v="1"/>
    <s v="Y"/>
    <s v="Yes"/>
    <n v="13"/>
    <n v="3"/>
    <n v="4"/>
    <n v="80"/>
    <n v="1"/>
    <n v="6"/>
    <n v="3"/>
    <n v="3"/>
    <n v="6"/>
    <n v="5"/>
    <n v="1"/>
    <n v="3"/>
    <s v="OK"/>
    <s v="OK"/>
    <s v="OK"/>
    <s v="OK"/>
    <x v="11"/>
    <n v="0.83333333333333337"/>
    <n v="0.5"/>
    <n v="0.5"/>
  </r>
  <r>
    <n v="31"/>
    <s v="Yes"/>
    <s v="Travel_Rarely"/>
    <n v="1365"/>
    <x v="0"/>
    <n v="13"/>
    <n v="4"/>
    <s v="Medical"/>
    <n v="1"/>
    <n v="650"/>
    <n v="2"/>
    <s v="Male"/>
    <n v="46"/>
    <n v="3"/>
    <n v="2"/>
    <x v="0"/>
    <n v="1"/>
    <s v="Divorced"/>
    <n v="4233"/>
    <n v="11512"/>
    <n v="2"/>
    <s v="Y"/>
    <s v="No"/>
    <n v="17"/>
    <n v="3"/>
    <n v="3"/>
    <n v="80"/>
    <n v="0"/>
    <n v="9"/>
    <n v="2"/>
    <n v="1"/>
    <n v="3"/>
    <n v="1"/>
    <n v="1"/>
    <n v="2"/>
    <s v="OK"/>
    <s v="OK"/>
    <s v="OK"/>
    <s v="OK"/>
    <x v="9"/>
    <n v="0.33333333333333331"/>
    <n v="0.66666666666666663"/>
    <n v="0.66666666666666663"/>
  </r>
  <r>
    <n v="35"/>
    <s v="No"/>
    <s v="Travel_Rarely"/>
    <n v="538"/>
    <x v="1"/>
    <n v="25"/>
    <n v="2"/>
    <s v="Other"/>
    <n v="1"/>
    <n v="652"/>
    <n v="1"/>
    <s v="Male"/>
    <n v="54"/>
    <n v="2"/>
    <n v="2"/>
    <x v="2"/>
    <n v="4"/>
    <s v="Single"/>
    <n v="3681"/>
    <n v="14004"/>
    <n v="4"/>
    <s v="Y"/>
    <s v="No"/>
    <n v="14"/>
    <n v="3"/>
    <n v="4"/>
    <n v="80"/>
    <n v="0"/>
    <n v="9"/>
    <n v="3"/>
    <n v="3"/>
    <n v="3"/>
    <n v="2"/>
    <n v="0"/>
    <n v="2"/>
    <s v="OK"/>
    <s v="OK"/>
    <s v="OK"/>
    <s v="OK"/>
    <x v="0"/>
    <n v="0.66666666666666663"/>
    <n v="1"/>
    <n v="0.66666666666666663"/>
  </r>
  <r>
    <n v="31"/>
    <s v="No"/>
    <s v="Travel_Rarely"/>
    <n v="525"/>
    <x v="0"/>
    <n v="6"/>
    <n v="4"/>
    <s v="Medical"/>
    <n v="1"/>
    <n v="653"/>
    <n v="1"/>
    <s v="Male"/>
    <n v="66"/>
    <n v="4"/>
    <n v="2"/>
    <x v="0"/>
    <n v="4"/>
    <s v="Divorced"/>
    <n v="5460"/>
    <n v="6219"/>
    <n v="4"/>
    <s v="Y"/>
    <s v="No"/>
    <n v="22"/>
    <n v="4"/>
    <n v="4"/>
    <n v="80"/>
    <n v="2"/>
    <n v="13"/>
    <n v="4"/>
    <n v="4"/>
    <n v="7"/>
    <n v="7"/>
    <n v="5"/>
    <n v="7"/>
    <s v="OK"/>
    <s v="OK"/>
    <s v="OK"/>
    <s v="OK"/>
    <x v="68"/>
    <n v="1"/>
    <n v="0.5714285714285714"/>
    <n v="1"/>
  </r>
  <r>
    <n v="27"/>
    <s v="No"/>
    <s v="Travel_Rarely"/>
    <n v="798"/>
    <x v="1"/>
    <n v="6"/>
    <n v="4"/>
    <s v="Medical"/>
    <n v="1"/>
    <n v="655"/>
    <n v="1"/>
    <s v="Female"/>
    <n v="66"/>
    <n v="2"/>
    <n v="1"/>
    <x v="1"/>
    <n v="3"/>
    <s v="Divorced"/>
    <n v="2187"/>
    <n v="5013"/>
    <n v="0"/>
    <s v="Y"/>
    <s v="No"/>
    <n v="12"/>
    <n v="3"/>
    <n v="3"/>
    <n v="80"/>
    <n v="2"/>
    <n v="6"/>
    <n v="5"/>
    <n v="2"/>
    <n v="5"/>
    <n v="3"/>
    <n v="0"/>
    <n v="3"/>
    <s v="OK"/>
    <s v="OK"/>
    <s v="OK"/>
    <s v="OK"/>
    <x v="0"/>
    <n v="0.6"/>
    <n v="1"/>
    <n v="0.6"/>
  </r>
  <r>
    <n v="37"/>
    <s v="No"/>
    <s v="Travel_Rarely"/>
    <n v="558"/>
    <x v="0"/>
    <n v="2"/>
    <n v="3"/>
    <s v="Marketing"/>
    <n v="1"/>
    <n v="656"/>
    <n v="4"/>
    <s v="Male"/>
    <n v="75"/>
    <n v="3"/>
    <n v="2"/>
    <x v="0"/>
    <n v="3"/>
    <s v="Married"/>
    <n v="9602"/>
    <n v="3010"/>
    <n v="4"/>
    <s v="Y"/>
    <s v="Yes"/>
    <n v="11"/>
    <n v="3"/>
    <n v="3"/>
    <n v="80"/>
    <n v="1"/>
    <n v="17"/>
    <n v="3"/>
    <n v="2"/>
    <n v="3"/>
    <n v="0"/>
    <n v="1"/>
    <n v="0"/>
    <s v="OK"/>
    <s v="OK"/>
    <s v="OK"/>
    <s v="OK"/>
    <x v="9"/>
    <n v="0"/>
    <n v="1"/>
    <n v="0"/>
  </r>
  <r>
    <n v="20"/>
    <s v="No"/>
    <s v="Travel_Rarely"/>
    <n v="959"/>
    <x v="1"/>
    <n v="1"/>
    <n v="3"/>
    <s v="Life Sciences"/>
    <n v="1"/>
    <n v="657"/>
    <n v="4"/>
    <s v="Female"/>
    <n v="83"/>
    <n v="2"/>
    <n v="1"/>
    <x v="1"/>
    <n v="2"/>
    <s v="Single"/>
    <n v="2836"/>
    <n v="11757"/>
    <n v="1"/>
    <s v="Y"/>
    <s v="No"/>
    <n v="13"/>
    <n v="3"/>
    <n v="4"/>
    <n v="80"/>
    <n v="0"/>
    <n v="1"/>
    <n v="0"/>
    <n v="4"/>
    <n v="1"/>
    <n v="0"/>
    <n v="0"/>
    <n v="0"/>
    <s v="OK"/>
    <s v="OK"/>
    <s v="OK"/>
    <s v="OK"/>
    <x v="0"/>
    <n v="0"/>
    <n v="0"/>
    <n v="0"/>
  </r>
  <r>
    <n v="42"/>
    <s v="No"/>
    <s v="Travel_Rarely"/>
    <n v="622"/>
    <x v="1"/>
    <n v="2"/>
    <n v="4"/>
    <s v="Life Sciences"/>
    <n v="1"/>
    <n v="659"/>
    <n v="3"/>
    <s v="Female"/>
    <n v="81"/>
    <n v="3"/>
    <n v="2"/>
    <x v="4"/>
    <n v="4"/>
    <s v="Married"/>
    <n v="4089"/>
    <n v="5718"/>
    <n v="1"/>
    <s v="Y"/>
    <s v="No"/>
    <n v="13"/>
    <n v="3"/>
    <n v="2"/>
    <n v="80"/>
    <n v="2"/>
    <n v="10"/>
    <n v="4"/>
    <n v="3"/>
    <n v="10"/>
    <n v="2"/>
    <n v="2"/>
    <n v="2"/>
    <s v="OK"/>
    <s v="OK"/>
    <s v="OK"/>
    <s v="OK"/>
    <x v="16"/>
    <n v="0.2"/>
    <n v="0.4"/>
    <n v="0.2"/>
  </r>
  <r>
    <n v="43"/>
    <s v="No"/>
    <s v="Travel_Rarely"/>
    <n v="782"/>
    <x v="1"/>
    <n v="6"/>
    <n v="4"/>
    <s v="Other"/>
    <n v="1"/>
    <n v="661"/>
    <n v="2"/>
    <s v="Male"/>
    <n v="50"/>
    <n v="2"/>
    <n v="4"/>
    <x v="7"/>
    <n v="4"/>
    <s v="Divorced"/>
    <n v="16627"/>
    <n v="2671"/>
    <n v="4"/>
    <s v="Y"/>
    <s v="Yes"/>
    <n v="14"/>
    <n v="3"/>
    <n v="3"/>
    <n v="80"/>
    <n v="1"/>
    <n v="21"/>
    <n v="3"/>
    <n v="2"/>
    <n v="1"/>
    <n v="0"/>
    <n v="0"/>
    <n v="0"/>
    <s v="OK"/>
    <s v="OK"/>
    <s v="OK"/>
    <s v="OK"/>
    <x v="0"/>
    <n v="0"/>
    <n v="3"/>
    <n v="0"/>
  </r>
  <r>
    <n v="38"/>
    <s v="No"/>
    <s v="Travel_Rarely"/>
    <n v="362"/>
    <x v="1"/>
    <n v="1"/>
    <n v="1"/>
    <s v="Life Sciences"/>
    <n v="1"/>
    <n v="662"/>
    <n v="3"/>
    <s v="Female"/>
    <n v="43"/>
    <n v="3"/>
    <n v="1"/>
    <x v="1"/>
    <n v="1"/>
    <s v="Single"/>
    <n v="2619"/>
    <n v="14561"/>
    <n v="3"/>
    <s v="Y"/>
    <s v="No"/>
    <n v="17"/>
    <n v="3"/>
    <n v="4"/>
    <n v="80"/>
    <n v="0"/>
    <n v="8"/>
    <n v="3"/>
    <n v="2"/>
    <n v="0"/>
    <n v="0"/>
    <n v="0"/>
    <n v="0"/>
    <s v="OK"/>
    <s v="OK"/>
    <s v="OK"/>
    <s v="OK"/>
    <x v="0"/>
    <n v="0"/>
    <n v="0"/>
    <n v="0"/>
  </r>
  <r>
    <n v="43"/>
    <s v="No"/>
    <s v="Travel_Frequently"/>
    <n v="1001"/>
    <x v="1"/>
    <n v="9"/>
    <n v="5"/>
    <s v="Medical"/>
    <n v="1"/>
    <n v="663"/>
    <n v="4"/>
    <s v="Male"/>
    <n v="72"/>
    <n v="3"/>
    <n v="2"/>
    <x v="2"/>
    <n v="3"/>
    <s v="Divorced"/>
    <n v="5679"/>
    <n v="19627"/>
    <n v="3"/>
    <s v="Y"/>
    <s v="Yes"/>
    <n v="13"/>
    <n v="3"/>
    <n v="2"/>
    <n v="80"/>
    <n v="1"/>
    <n v="10"/>
    <n v="3"/>
    <n v="3"/>
    <n v="8"/>
    <n v="7"/>
    <n v="4"/>
    <n v="7"/>
    <s v="OK"/>
    <s v="OK"/>
    <s v="OK"/>
    <s v="OK"/>
    <x v="7"/>
    <n v="0.875"/>
    <n v="0.375"/>
    <n v="0.875"/>
  </r>
  <r>
    <n v="48"/>
    <s v="No"/>
    <s v="Travel_Rarely"/>
    <n v="1236"/>
    <x v="1"/>
    <n v="1"/>
    <n v="4"/>
    <s v="Life Sciences"/>
    <n v="1"/>
    <n v="664"/>
    <n v="4"/>
    <s v="Female"/>
    <n v="40"/>
    <n v="2"/>
    <n v="4"/>
    <x v="5"/>
    <n v="1"/>
    <s v="Married"/>
    <n v="15402"/>
    <n v="17997"/>
    <n v="7"/>
    <s v="Y"/>
    <s v="No"/>
    <n v="11"/>
    <n v="3"/>
    <n v="1"/>
    <n v="80"/>
    <n v="1"/>
    <n v="21"/>
    <n v="3"/>
    <n v="1"/>
    <n v="3"/>
    <n v="2"/>
    <n v="0"/>
    <n v="2"/>
    <s v="OK"/>
    <s v="OK"/>
    <s v="OK"/>
    <s v="OK"/>
    <x v="0"/>
    <n v="0.66666666666666663"/>
    <n v="1"/>
    <n v="0.66666666666666663"/>
  </r>
  <r>
    <n v="44"/>
    <s v="No"/>
    <s v="Travel_Rarely"/>
    <n v="1112"/>
    <x v="2"/>
    <n v="1"/>
    <n v="4"/>
    <s v="Life Sciences"/>
    <n v="1"/>
    <n v="665"/>
    <n v="1"/>
    <s v="Female"/>
    <n v="50"/>
    <n v="2"/>
    <n v="2"/>
    <x v="8"/>
    <n v="3"/>
    <s v="Single"/>
    <n v="5985"/>
    <n v="26894"/>
    <n v="4"/>
    <s v="Y"/>
    <s v="No"/>
    <n v="11"/>
    <n v="3"/>
    <n v="2"/>
    <n v="80"/>
    <n v="0"/>
    <n v="10"/>
    <n v="1"/>
    <n v="4"/>
    <n v="2"/>
    <n v="2"/>
    <n v="0"/>
    <n v="2"/>
    <s v="OK"/>
    <s v="OK"/>
    <s v="OK"/>
    <s v="OK"/>
    <x v="0"/>
    <n v="1"/>
    <n v="0.5"/>
    <n v="1"/>
  </r>
  <r>
    <n v="34"/>
    <s v="No"/>
    <s v="Travel_Rarely"/>
    <n v="204"/>
    <x v="0"/>
    <n v="14"/>
    <n v="3"/>
    <s v="Technical Degree"/>
    <n v="1"/>
    <n v="666"/>
    <n v="3"/>
    <s v="Female"/>
    <n v="31"/>
    <n v="3"/>
    <n v="1"/>
    <x v="6"/>
    <n v="3"/>
    <s v="Divorced"/>
    <n v="2579"/>
    <n v="2912"/>
    <n v="1"/>
    <s v="Y"/>
    <s v="Yes"/>
    <n v="18"/>
    <n v="3"/>
    <n v="4"/>
    <n v="80"/>
    <n v="2"/>
    <n v="8"/>
    <n v="3"/>
    <n v="3"/>
    <n v="8"/>
    <n v="2"/>
    <n v="0"/>
    <n v="6"/>
    <s v="OK"/>
    <s v="OK"/>
    <s v="OK"/>
    <s v="OK"/>
    <x v="0"/>
    <n v="0.25"/>
    <n v="0.375"/>
    <n v="0.75"/>
  </r>
  <r>
    <n v="27"/>
    <s v="Yes"/>
    <s v="Travel_Rarely"/>
    <n v="1420"/>
    <x v="0"/>
    <n v="2"/>
    <n v="1"/>
    <s v="Marketing"/>
    <n v="1"/>
    <n v="667"/>
    <n v="3"/>
    <s v="Male"/>
    <n v="85"/>
    <n v="3"/>
    <n v="1"/>
    <x v="6"/>
    <n v="1"/>
    <s v="Divorced"/>
    <n v="3041"/>
    <n v="16346"/>
    <n v="0"/>
    <s v="Y"/>
    <s v="No"/>
    <n v="11"/>
    <n v="3"/>
    <n v="2"/>
    <n v="80"/>
    <n v="1"/>
    <n v="5"/>
    <n v="3"/>
    <n v="3"/>
    <n v="4"/>
    <n v="3"/>
    <n v="0"/>
    <n v="2"/>
    <s v="OK"/>
    <s v="OK"/>
    <s v="OK"/>
    <s v="OK"/>
    <x v="0"/>
    <n v="0.75"/>
    <n v="0.75"/>
    <n v="0.5"/>
  </r>
  <r>
    <n v="21"/>
    <s v="No"/>
    <s v="Travel_Rarely"/>
    <n v="1343"/>
    <x v="0"/>
    <n v="22"/>
    <n v="1"/>
    <s v="Technical Degree"/>
    <n v="1"/>
    <n v="669"/>
    <n v="3"/>
    <s v="Male"/>
    <n v="49"/>
    <n v="3"/>
    <n v="1"/>
    <x v="6"/>
    <n v="3"/>
    <s v="Single"/>
    <n v="3447"/>
    <n v="24444"/>
    <n v="1"/>
    <s v="Y"/>
    <s v="No"/>
    <n v="11"/>
    <n v="3"/>
    <n v="3"/>
    <n v="80"/>
    <n v="0"/>
    <n v="3"/>
    <n v="2"/>
    <n v="3"/>
    <n v="3"/>
    <n v="2"/>
    <n v="1"/>
    <n v="2"/>
    <s v="OK"/>
    <s v="OK"/>
    <s v="OK"/>
    <s v="OK"/>
    <x v="9"/>
    <n v="0.66666666666666663"/>
    <n v="0.66666666666666663"/>
    <n v="0.66666666666666663"/>
  </r>
  <r>
    <n v="44"/>
    <s v="No"/>
    <s v="Travel_Rarely"/>
    <n v="1315"/>
    <x v="1"/>
    <n v="3"/>
    <n v="4"/>
    <s v="Other"/>
    <n v="1"/>
    <n v="671"/>
    <n v="4"/>
    <s v="Male"/>
    <n v="35"/>
    <n v="3"/>
    <n v="5"/>
    <x v="5"/>
    <n v="4"/>
    <s v="Married"/>
    <n v="19513"/>
    <n v="9358"/>
    <n v="4"/>
    <s v="Y"/>
    <s v="Yes"/>
    <n v="12"/>
    <n v="3"/>
    <n v="1"/>
    <n v="80"/>
    <n v="1"/>
    <n v="26"/>
    <n v="2"/>
    <n v="4"/>
    <n v="2"/>
    <n v="2"/>
    <n v="0"/>
    <n v="1"/>
    <s v="OK"/>
    <s v="OK"/>
    <s v="OK"/>
    <s v="OK"/>
    <x v="0"/>
    <n v="1"/>
    <n v="1"/>
    <n v="0.5"/>
  </r>
  <r>
    <n v="22"/>
    <s v="No"/>
    <s v="Travel_Rarely"/>
    <n v="604"/>
    <x v="1"/>
    <n v="6"/>
    <n v="1"/>
    <s v="Medical"/>
    <n v="1"/>
    <n v="675"/>
    <n v="1"/>
    <s v="Male"/>
    <n v="69"/>
    <n v="3"/>
    <n v="1"/>
    <x v="1"/>
    <n v="3"/>
    <s v="Married"/>
    <n v="2773"/>
    <n v="12145"/>
    <n v="0"/>
    <s v="Y"/>
    <s v="No"/>
    <n v="20"/>
    <n v="4"/>
    <n v="4"/>
    <n v="80"/>
    <n v="0"/>
    <n v="3"/>
    <n v="3"/>
    <n v="3"/>
    <n v="2"/>
    <n v="2"/>
    <n v="2"/>
    <n v="2"/>
    <s v="OK"/>
    <s v="OK"/>
    <s v="OK"/>
    <s v="OK"/>
    <x v="3"/>
    <n v="1"/>
    <n v="1.5"/>
    <n v="1"/>
  </r>
  <r>
    <n v="33"/>
    <s v="No"/>
    <s v="Travel_Rarely"/>
    <n v="1216"/>
    <x v="0"/>
    <n v="8"/>
    <n v="4"/>
    <s v="Marketing"/>
    <n v="1"/>
    <n v="677"/>
    <n v="3"/>
    <s v="Male"/>
    <n v="39"/>
    <n v="3"/>
    <n v="2"/>
    <x v="0"/>
    <n v="3"/>
    <s v="Divorced"/>
    <n v="7104"/>
    <n v="20431"/>
    <n v="0"/>
    <s v="Y"/>
    <s v="No"/>
    <n v="12"/>
    <n v="3"/>
    <n v="4"/>
    <n v="80"/>
    <n v="0"/>
    <n v="6"/>
    <n v="3"/>
    <n v="3"/>
    <n v="5"/>
    <n v="0"/>
    <n v="1"/>
    <n v="2"/>
    <s v="OK"/>
    <s v="OK"/>
    <s v="OK"/>
    <s v="OK"/>
    <x v="16"/>
    <n v="0"/>
    <n v="0.6"/>
    <n v="0.4"/>
  </r>
  <r>
    <n v="32"/>
    <s v="No"/>
    <s v="Travel_Rarely"/>
    <n v="646"/>
    <x v="1"/>
    <n v="9"/>
    <n v="4"/>
    <s v="Life Sciences"/>
    <n v="1"/>
    <n v="679"/>
    <n v="1"/>
    <s v="Female"/>
    <n v="92"/>
    <n v="3"/>
    <n v="2"/>
    <x v="1"/>
    <n v="4"/>
    <s v="Married"/>
    <n v="6322"/>
    <n v="18089"/>
    <n v="1"/>
    <s v="Y"/>
    <s v="Yes"/>
    <n v="12"/>
    <n v="3"/>
    <n v="4"/>
    <n v="80"/>
    <n v="1"/>
    <n v="6"/>
    <n v="2"/>
    <n v="2"/>
    <n v="6"/>
    <n v="4"/>
    <n v="0"/>
    <n v="5"/>
    <s v="OK"/>
    <s v="OK"/>
    <s v="OK"/>
    <s v="OK"/>
    <x v="0"/>
    <n v="0.66666666666666663"/>
    <n v="0.33333333333333331"/>
    <n v="0.83333333333333337"/>
  </r>
  <r>
    <n v="30"/>
    <s v="No"/>
    <s v="Travel_Frequently"/>
    <n v="160"/>
    <x v="1"/>
    <n v="3"/>
    <n v="3"/>
    <s v="Medical"/>
    <n v="1"/>
    <n v="680"/>
    <n v="3"/>
    <s v="Female"/>
    <n v="71"/>
    <n v="3"/>
    <n v="1"/>
    <x v="1"/>
    <n v="3"/>
    <s v="Divorced"/>
    <n v="2083"/>
    <n v="22653"/>
    <n v="1"/>
    <s v="Y"/>
    <s v="No"/>
    <n v="20"/>
    <n v="4"/>
    <n v="3"/>
    <n v="80"/>
    <n v="1"/>
    <n v="1"/>
    <n v="2"/>
    <n v="3"/>
    <n v="1"/>
    <n v="0"/>
    <n v="0"/>
    <n v="0"/>
    <s v="OK"/>
    <s v="OK"/>
    <s v="OK"/>
    <s v="OK"/>
    <x v="0"/>
    <n v="0"/>
    <n v="2"/>
    <n v="0"/>
  </r>
  <r>
    <n v="53"/>
    <s v="No"/>
    <s v="Travel_Rarely"/>
    <n v="238"/>
    <x v="0"/>
    <n v="1"/>
    <n v="1"/>
    <s v="Medical"/>
    <n v="1"/>
    <n v="682"/>
    <n v="4"/>
    <s v="Female"/>
    <n v="34"/>
    <n v="3"/>
    <n v="2"/>
    <x v="0"/>
    <n v="1"/>
    <s v="Single"/>
    <n v="8381"/>
    <n v="7507"/>
    <n v="7"/>
    <s v="Y"/>
    <s v="No"/>
    <n v="20"/>
    <n v="4"/>
    <n v="4"/>
    <n v="80"/>
    <n v="0"/>
    <n v="18"/>
    <n v="2"/>
    <n v="4"/>
    <n v="14"/>
    <n v="7"/>
    <n v="8"/>
    <n v="10"/>
    <s v="OK"/>
    <s v="OK"/>
    <s v="OK"/>
    <s v="OK"/>
    <x v="41"/>
    <n v="0.5"/>
    <n v="0.14285714285714285"/>
    <n v="0.7142857142857143"/>
  </r>
  <r>
    <n v="34"/>
    <s v="No"/>
    <s v="Travel_Rarely"/>
    <n v="1397"/>
    <x v="1"/>
    <n v="1"/>
    <n v="5"/>
    <s v="Life Sciences"/>
    <n v="1"/>
    <n v="683"/>
    <n v="2"/>
    <s v="Male"/>
    <n v="42"/>
    <n v="3"/>
    <n v="1"/>
    <x v="1"/>
    <n v="4"/>
    <s v="Married"/>
    <n v="2691"/>
    <n v="7660"/>
    <n v="1"/>
    <s v="Y"/>
    <s v="No"/>
    <n v="12"/>
    <n v="3"/>
    <n v="4"/>
    <n v="80"/>
    <n v="1"/>
    <n v="10"/>
    <n v="4"/>
    <n v="2"/>
    <n v="10"/>
    <n v="9"/>
    <n v="8"/>
    <n v="8"/>
    <s v="OK"/>
    <s v="OK"/>
    <s v="OK"/>
    <s v="OK"/>
    <x v="6"/>
    <n v="0.9"/>
    <n v="0.4"/>
    <n v="0.8"/>
  </r>
  <r>
    <n v="45"/>
    <s v="Yes"/>
    <s v="Travel_Frequently"/>
    <n v="306"/>
    <x v="0"/>
    <n v="26"/>
    <n v="4"/>
    <s v="Life Sciences"/>
    <n v="1"/>
    <n v="684"/>
    <n v="1"/>
    <s v="Female"/>
    <n v="100"/>
    <n v="3"/>
    <n v="2"/>
    <x v="0"/>
    <n v="1"/>
    <s v="Married"/>
    <n v="4286"/>
    <n v="5630"/>
    <n v="2"/>
    <s v="Y"/>
    <s v="No"/>
    <n v="14"/>
    <n v="3"/>
    <n v="4"/>
    <n v="80"/>
    <n v="2"/>
    <n v="5"/>
    <n v="4"/>
    <n v="3"/>
    <n v="1"/>
    <n v="1"/>
    <n v="0"/>
    <n v="0"/>
    <s v="OK"/>
    <s v="OK"/>
    <s v="OK"/>
    <s v="OK"/>
    <x v="0"/>
    <n v="1"/>
    <n v="4"/>
    <n v="0"/>
  </r>
  <r>
    <n v="26"/>
    <s v="No"/>
    <s v="Travel_Rarely"/>
    <n v="991"/>
    <x v="1"/>
    <n v="6"/>
    <n v="3"/>
    <s v="Life Sciences"/>
    <n v="1"/>
    <n v="686"/>
    <n v="3"/>
    <s v="Female"/>
    <n v="71"/>
    <n v="3"/>
    <n v="1"/>
    <x v="2"/>
    <n v="4"/>
    <s v="Married"/>
    <n v="2659"/>
    <n v="17759"/>
    <n v="1"/>
    <s v="Y"/>
    <s v="Yes"/>
    <n v="13"/>
    <n v="3"/>
    <n v="3"/>
    <n v="80"/>
    <n v="1"/>
    <n v="3"/>
    <n v="2"/>
    <n v="3"/>
    <n v="3"/>
    <n v="2"/>
    <n v="0"/>
    <n v="2"/>
    <s v="OK"/>
    <s v="OK"/>
    <s v="OK"/>
    <s v="OK"/>
    <x v="0"/>
    <n v="0.66666666666666663"/>
    <n v="0.66666666666666663"/>
    <n v="0.66666666666666663"/>
  </r>
  <r>
    <n v="37"/>
    <s v="No"/>
    <s v="Travel_Rarely"/>
    <n v="482"/>
    <x v="1"/>
    <n v="3"/>
    <n v="3"/>
    <s v="Other"/>
    <n v="1"/>
    <n v="689"/>
    <n v="3"/>
    <s v="Male"/>
    <n v="36"/>
    <n v="3"/>
    <n v="3"/>
    <x v="3"/>
    <n v="3"/>
    <s v="Married"/>
    <n v="9434"/>
    <n v="9606"/>
    <n v="1"/>
    <s v="Y"/>
    <s v="No"/>
    <n v="15"/>
    <n v="3"/>
    <n v="3"/>
    <n v="80"/>
    <n v="1"/>
    <n v="10"/>
    <n v="2"/>
    <n v="3"/>
    <n v="10"/>
    <n v="7"/>
    <n v="7"/>
    <n v="8"/>
    <s v="OK"/>
    <s v="OK"/>
    <s v="OK"/>
    <s v="OK"/>
    <x v="42"/>
    <n v="0.7"/>
    <n v="0.2"/>
    <n v="0.8"/>
  </r>
  <r>
    <n v="29"/>
    <s v="No"/>
    <s v="Travel_Rarely"/>
    <n v="1176"/>
    <x v="0"/>
    <n v="3"/>
    <n v="2"/>
    <s v="Medical"/>
    <n v="1"/>
    <n v="690"/>
    <n v="2"/>
    <s v="Female"/>
    <n v="62"/>
    <n v="3"/>
    <n v="2"/>
    <x v="0"/>
    <n v="3"/>
    <s v="Married"/>
    <n v="5561"/>
    <n v="3487"/>
    <n v="1"/>
    <s v="Y"/>
    <s v="No"/>
    <n v="14"/>
    <n v="3"/>
    <n v="1"/>
    <n v="80"/>
    <n v="1"/>
    <n v="6"/>
    <n v="5"/>
    <n v="2"/>
    <n v="6"/>
    <n v="0"/>
    <n v="1"/>
    <n v="2"/>
    <s v="OK"/>
    <s v="OK"/>
    <s v="OK"/>
    <s v="OK"/>
    <x v="11"/>
    <n v="0"/>
    <n v="0.83333333333333337"/>
    <n v="0.33333333333333331"/>
  </r>
  <r>
    <n v="35"/>
    <s v="No"/>
    <s v="Travel_Rarely"/>
    <n v="1017"/>
    <x v="1"/>
    <n v="6"/>
    <n v="4"/>
    <s v="Life Sciences"/>
    <n v="1"/>
    <n v="691"/>
    <n v="2"/>
    <s v="Male"/>
    <n v="82"/>
    <n v="1"/>
    <n v="2"/>
    <x v="1"/>
    <n v="4"/>
    <s v="Single"/>
    <n v="6646"/>
    <n v="19368"/>
    <n v="1"/>
    <s v="Y"/>
    <s v="No"/>
    <n v="13"/>
    <n v="3"/>
    <n v="2"/>
    <n v="80"/>
    <n v="0"/>
    <n v="17"/>
    <n v="3"/>
    <n v="3"/>
    <n v="17"/>
    <n v="11"/>
    <n v="11"/>
    <n v="8"/>
    <s v="OK"/>
    <s v="OK"/>
    <s v="OK"/>
    <s v="OK"/>
    <x v="71"/>
    <n v="0.6470588235294118"/>
    <n v="0.17647058823529413"/>
    <n v="0.47058823529411764"/>
  </r>
  <r>
    <n v="33"/>
    <s v="No"/>
    <s v="Travel_Frequently"/>
    <n v="1296"/>
    <x v="1"/>
    <n v="6"/>
    <n v="3"/>
    <s v="Life Sciences"/>
    <n v="1"/>
    <n v="692"/>
    <n v="3"/>
    <s v="Male"/>
    <n v="30"/>
    <n v="3"/>
    <n v="2"/>
    <x v="4"/>
    <n v="4"/>
    <s v="Divorced"/>
    <n v="7725"/>
    <n v="5335"/>
    <n v="3"/>
    <s v="Y"/>
    <s v="No"/>
    <n v="23"/>
    <n v="4"/>
    <n v="3"/>
    <n v="80"/>
    <n v="1"/>
    <n v="15"/>
    <n v="2"/>
    <n v="1"/>
    <n v="13"/>
    <n v="11"/>
    <n v="4"/>
    <n v="7"/>
    <s v="OK"/>
    <s v="OK"/>
    <s v="OK"/>
    <s v="OK"/>
    <x v="59"/>
    <n v="0.84615384615384615"/>
    <n v="0.15384615384615385"/>
    <n v="0.53846153846153844"/>
  </r>
  <r>
    <n v="54"/>
    <s v="No"/>
    <s v="Travel_Rarely"/>
    <n v="397"/>
    <x v="2"/>
    <n v="19"/>
    <n v="4"/>
    <s v="Medical"/>
    <n v="1"/>
    <n v="698"/>
    <n v="3"/>
    <s v="Male"/>
    <n v="88"/>
    <n v="3"/>
    <n v="3"/>
    <x v="8"/>
    <n v="2"/>
    <s v="Married"/>
    <n v="10725"/>
    <n v="6729"/>
    <n v="2"/>
    <s v="Y"/>
    <s v="No"/>
    <n v="15"/>
    <n v="3"/>
    <n v="3"/>
    <n v="80"/>
    <n v="1"/>
    <n v="16"/>
    <n v="1"/>
    <n v="4"/>
    <n v="9"/>
    <n v="7"/>
    <n v="7"/>
    <n v="1"/>
    <s v="OK"/>
    <s v="OK"/>
    <s v="OK"/>
    <s v="OK"/>
    <x v="21"/>
    <n v="0.77777777777777779"/>
    <n v="0.1111111111111111"/>
    <n v="0.1111111111111111"/>
  </r>
  <r>
    <n v="36"/>
    <s v="No"/>
    <s v="Travel_Rarely"/>
    <n v="913"/>
    <x v="1"/>
    <n v="9"/>
    <n v="2"/>
    <s v="Medical"/>
    <n v="1"/>
    <n v="699"/>
    <n v="2"/>
    <s v="Male"/>
    <n v="48"/>
    <n v="2"/>
    <n v="2"/>
    <x v="3"/>
    <n v="2"/>
    <s v="Divorced"/>
    <n v="8847"/>
    <n v="13934"/>
    <n v="2"/>
    <s v="Y"/>
    <s v="Yes"/>
    <n v="11"/>
    <n v="3"/>
    <n v="3"/>
    <n v="80"/>
    <n v="1"/>
    <n v="13"/>
    <n v="2"/>
    <n v="3"/>
    <n v="3"/>
    <n v="2"/>
    <n v="0"/>
    <n v="2"/>
    <s v="OK"/>
    <s v="OK"/>
    <s v="OK"/>
    <s v="OK"/>
    <x v="0"/>
    <n v="0.66666666666666663"/>
    <n v="0.66666666666666663"/>
    <n v="0.66666666666666663"/>
  </r>
  <r>
    <n v="27"/>
    <s v="No"/>
    <s v="Travel_Rarely"/>
    <n v="1115"/>
    <x v="1"/>
    <n v="3"/>
    <n v="4"/>
    <s v="Medical"/>
    <n v="1"/>
    <n v="700"/>
    <n v="1"/>
    <s v="Male"/>
    <n v="54"/>
    <n v="2"/>
    <n v="1"/>
    <x v="1"/>
    <n v="4"/>
    <s v="Single"/>
    <n v="2045"/>
    <n v="15174"/>
    <n v="0"/>
    <s v="Y"/>
    <s v="No"/>
    <n v="13"/>
    <n v="3"/>
    <n v="4"/>
    <n v="80"/>
    <n v="0"/>
    <n v="5"/>
    <n v="0"/>
    <n v="3"/>
    <n v="4"/>
    <n v="2"/>
    <n v="1"/>
    <n v="1"/>
    <s v="OK"/>
    <s v="OK"/>
    <s v="OK"/>
    <s v="OK"/>
    <x v="10"/>
    <n v="0.5"/>
    <n v="0"/>
    <n v="0.25"/>
  </r>
  <r>
    <n v="20"/>
    <s v="Yes"/>
    <s v="Travel_Rarely"/>
    <n v="1362"/>
    <x v="1"/>
    <n v="10"/>
    <n v="1"/>
    <s v="Medical"/>
    <n v="1"/>
    <n v="701"/>
    <n v="4"/>
    <s v="Male"/>
    <n v="32"/>
    <n v="3"/>
    <n v="1"/>
    <x v="1"/>
    <n v="3"/>
    <s v="Single"/>
    <n v="1009"/>
    <n v="26999"/>
    <n v="1"/>
    <s v="Y"/>
    <s v="Yes"/>
    <n v="11"/>
    <n v="3"/>
    <n v="4"/>
    <n v="80"/>
    <n v="0"/>
    <n v="1"/>
    <n v="5"/>
    <n v="3"/>
    <n v="1"/>
    <n v="0"/>
    <n v="1"/>
    <n v="1"/>
    <s v="OK"/>
    <s v="OK"/>
    <s v="OK"/>
    <s v="OK"/>
    <x v="3"/>
    <n v="0"/>
    <n v="5"/>
    <n v="1"/>
  </r>
  <r>
    <n v="33"/>
    <s v="Yes"/>
    <s v="Travel_Frequently"/>
    <n v="1076"/>
    <x v="1"/>
    <n v="3"/>
    <n v="3"/>
    <s v="Life Sciences"/>
    <n v="1"/>
    <n v="702"/>
    <n v="1"/>
    <s v="Male"/>
    <n v="70"/>
    <n v="3"/>
    <n v="1"/>
    <x v="1"/>
    <n v="1"/>
    <s v="Single"/>
    <n v="3348"/>
    <n v="3164"/>
    <n v="1"/>
    <s v="Y"/>
    <s v="Yes"/>
    <n v="11"/>
    <n v="3"/>
    <n v="1"/>
    <n v="80"/>
    <n v="0"/>
    <n v="10"/>
    <n v="3"/>
    <n v="3"/>
    <n v="10"/>
    <n v="8"/>
    <n v="9"/>
    <n v="7"/>
    <s v="OK"/>
    <s v="OK"/>
    <s v="OK"/>
    <s v="OK"/>
    <x v="22"/>
    <n v="0.8"/>
    <n v="0.3"/>
    <n v="0.7"/>
  </r>
  <r>
    <n v="35"/>
    <s v="No"/>
    <s v="Non-Travel"/>
    <n v="727"/>
    <x v="1"/>
    <n v="3"/>
    <n v="3"/>
    <s v="Life Sciences"/>
    <n v="1"/>
    <n v="704"/>
    <n v="3"/>
    <s v="Male"/>
    <n v="41"/>
    <n v="2"/>
    <n v="1"/>
    <x v="2"/>
    <n v="3"/>
    <s v="Married"/>
    <n v="1281"/>
    <n v="16900"/>
    <n v="1"/>
    <s v="Y"/>
    <s v="No"/>
    <n v="18"/>
    <n v="3"/>
    <n v="3"/>
    <n v="80"/>
    <n v="2"/>
    <n v="1"/>
    <n v="3"/>
    <n v="3"/>
    <n v="1"/>
    <n v="0"/>
    <n v="0"/>
    <n v="0"/>
    <s v="OK"/>
    <s v="OK"/>
    <s v="OK"/>
    <s v="OK"/>
    <x v="0"/>
    <n v="0"/>
    <n v="3"/>
    <n v="0"/>
  </r>
  <r>
    <n v="23"/>
    <s v="No"/>
    <s v="Travel_Rarely"/>
    <n v="885"/>
    <x v="1"/>
    <n v="4"/>
    <n v="3"/>
    <s v="Medical"/>
    <n v="1"/>
    <n v="705"/>
    <n v="1"/>
    <s v="Male"/>
    <n v="58"/>
    <n v="4"/>
    <n v="1"/>
    <x v="1"/>
    <n v="1"/>
    <s v="Married"/>
    <n v="2819"/>
    <n v="8544"/>
    <n v="2"/>
    <s v="Y"/>
    <s v="No"/>
    <n v="16"/>
    <n v="3"/>
    <n v="1"/>
    <n v="80"/>
    <n v="1"/>
    <n v="5"/>
    <n v="3"/>
    <n v="4"/>
    <n v="3"/>
    <n v="2"/>
    <n v="0"/>
    <n v="2"/>
    <s v="OK"/>
    <s v="OK"/>
    <s v="OK"/>
    <s v="OK"/>
    <x v="0"/>
    <n v="0.66666666666666663"/>
    <n v="1"/>
    <n v="0.66666666666666663"/>
  </r>
  <r>
    <n v="25"/>
    <s v="No"/>
    <s v="Travel_Rarely"/>
    <n v="810"/>
    <x v="0"/>
    <n v="8"/>
    <n v="3"/>
    <s v="Life Sciences"/>
    <n v="1"/>
    <n v="707"/>
    <n v="4"/>
    <s v="Male"/>
    <n v="57"/>
    <n v="4"/>
    <n v="2"/>
    <x v="0"/>
    <n v="2"/>
    <s v="Married"/>
    <n v="4851"/>
    <n v="15678"/>
    <n v="0"/>
    <s v="Y"/>
    <s v="No"/>
    <n v="22"/>
    <n v="4"/>
    <n v="3"/>
    <n v="80"/>
    <n v="1"/>
    <n v="4"/>
    <n v="4"/>
    <n v="3"/>
    <n v="3"/>
    <n v="2"/>
    <n v="1"/>
    <n v="2"/>
    <s v="OK"/>
    <s v="OK"/>
    <s v="OK"/>
    <s v="OK"/>
    <x v="9"/>
    <n v="0.66666666666666663"/>
    <n v="1.3333333333333333"/>
    <n v="0.66666666666666663"/>
  </r>
  <r>
    <n v="38"/>
    <s v="No"/>
    <s v="Travel_Rarely"/>
    <n v="243"/>
    <x v="0"/>
    <n v="7"/>
    <n v="4"/>
    <s v="Marketing"/>
    <n v="1"/>
    <n v="709"/>
    <n v="4"/>
    <s v="Female"/>
    <n v="46"/>
    <n v="2"/>
    <n v="2"/>
    <x v="0"/>
    <n v="4"/>
    <s v="Single"/>
    <n v="4028"/>
    <n v="7791"/>
    <n v="0"/>
    <s v="Y"/>
    <s v="No"/>
    <n v="20"/>
    <n v="4"/>
    <n v="1"/>
    <n v="80"/>
    <n v="0"/>
    <n v="8"/>
    <n v="2"/>
    <n v="3"/>
    <n v="7"/>
    <n v="7"/>
    <n v="0"/>
    <n v="5"/>
    <s v="OK"/>
    <s v="OK"/>
    <s v="OK"/>
    <s v="OK"/>
    <x v="0"/>
    <n v="1"/>
    <n v="0.2857142857142857"/>
    <n v="0.7142857142857143"/>
  </r>
  <r>
    <n v="29"/>
    <s v="No"/>
    <s v="Travel_Frequently"/>
    <n v="806"/>
    <x v="1"/>
    <n v="1"/>
    <n v="4"/>
    <s v="Life Sciences"/>
    <n v="1"/>
    <n v="710"/>
    <n v="2"/>
    <s v="Male"/>
    <n v="76"/>
    <n v="1"/>
    <n v="1"/>
    <x v="1"/>
    <n v="4"/>
    <s v="Divorced"/>
    <n v="2720"/>
    <n v="18959"/>
    <n v="1"/>
    <s v="Y"/>
    <s v="No"/>
    <n v="18"/>
    <n v="3"/>
    <n v="4"/>
    <n v="80"/>
    <n v="1"/>
    <n v="10"/>
    <n v="5"/>
    <n v="3"/>
    <n v="10"/>
    <n v="7"/>
    <n v="2"/>
    <n v="8"/>
    <s v="OK"/>
    <s v="OK"/>
    <s v="OK"/>
    <s v="OK"/>
    <x v="16"/>
    <n v="0.7"/>
    <n v="0.5"/>
    <n v="0.8"/>
  </r>
  <r>
    <n v="48"/>
    <s v="No"/>
    <s v="Travel_Rarely"/>
    <n v="817"/>
    <x v="0"/>
    <n v="2"/>
    <n v="1"/>
    <s v="Marketing"/>
    <n v="1"/>
    <n v="712"/>
    <n v="2"/>
    <s v="Male"/>
    <n v="56"/>
    <n v="4"/>
    <n v="2"/>
    <x v="0"/>
    <n v="2"/>
    <s v="Married"/>
    <n v="8120"/>
    <n v="18597"/>
    <n v="3"/>
    <s v="Y"/>
    <s v="No"/>
    <n v="12"/>
    <n v="3"/>
    <n v="4"/>
    <n v="80"/>
    <n v="0"/>
    <n v="12"/>
    <n v="3"/>
    <n v="3"/>
    <n v="2"/>
    <n v="2"/>
    <n v="2"/>
    <n v="2"/>
    <s v="OK"/>
    <s v="OK"/>
    <s v="OK"/>
    <s v="OK"/>
    <x v="3"/>
    <n v="1"/>
    <n v="1.5"/>
    <n v="1"/>
  </r>
  <r>
    <n v="27"/>
    <s v="No"/>
    <s v="Travel_Frequently"/>
    <n v="1410"/>
    <x v="0"/>
    <n v="3"/>
    <n v="1"/>
    <s v="Medical"/>
    <n v="1"/>
    <n v="714"/>
    <n v="4"/>
    <s v="Female"/>
    <n v="71"/>
    <n v="4"/>
    <n v="2"/>
    <x v="0"/>
    <n v="4"/>
    <s v="Divorced"/>
    <n v="4647"/>
    <n v="16673"/>
    <n v="1"/>
    <s v="Y"/>
    <s v="Yes"/>
    <n v="20"/>
    <n v="4"/>
    <n v="2"/>
    <n v="80"/>
    <n v="2"/>
    <n v="6"/>
    <n v="3"/>
    <n v="3"/>
    <n v="6"/>
    <n v="5"/>
    <n v="0"/>
    <n v="4"/>
    <s v="OK"/>
    <s v="OK"/>
    <s v="OK"/>
    <s v="OK"/>
    <x v="0"/>
    <n v="0.83333333333333337"/>
    <n v="0.5"/>
    <n v="0.66666666666666663"/>
  </r>
  <r>
    <n v="37"/>
    <s v="No"/>
    <s v="Travel_Rarely"/>
    <n v="1225"/>
    <x v="1"/>
    <n v="10"/>
    <n v="2"/>
    <s v="Life Sciences"/>
    <n v="1"/>
    <n v="715"/>
    <n v="4"/>
    <s v="Male"/>
    <n v="80"/>
    <n v="4"/>
    <n v="1"/>
    <x v="1"/>
    <n v="4"/>
    <s v="Single"/>
    <n v="4680"/>
    <n v="15232"/>
    <n v="3"/>
    <s v="Y"/>
    <s v="No"/>
    <n v="17"/>
    <n v="3"/>
    <n v="1"/>
    <n v="80"/>
    <n v="0"/>
    <n v="4"/>
    <n v="2"/>
    <n v="3"/>
    <n v="1"/>
    <n v="0"/>
    <n v="0"/>
    <n v="0"/>
    <s v="OK"/>
    <s v="OK"/>
    <s v="OK"/>
    <s v="OK"/>
    <x v="0"/>
    <n v="0"/>
    <n v="2"/>
    <n v="0"/>
  </r>
  <r>
    <n v="50"/>
    <s v="No"/>
    <s v="Travel_Rarely"/>
    <n v="1207"/>
    <x v="1"/>
    <n v="28"/>
    <n v="1"/>
    <s v="Medical"/>
    <n v="1"/>
    <n v="716"/>
    <n v="4"/>
    <s v="Male"/>
    <n v="74"/>
    <n v="4"/>
    <n v="1"/>
    <x v="2"/>
    <n v="3"/>
    <s v="Married"/>
    <n v="3221"/>
    <n v="3297"/>
    <n v="1"/>
    <s v="Y"/>
    <s v="Yes"/>
    <n v="11"/>
    <n v="3"/>
    <n v="3"/>
    <n v="80"/>
    <n v="3"/>
    <n v="20"/>
    <n v="3"/>
    <n v="3"/>
    <n v="20"/>
    <n v="8"/>
    <n v="3"/>
    <n v="8"/>
    <s v="OK"/>
    <s v="OK"/>
    <s v="OK"/>
    <s v="OK"/>
    <x v="72"/>
    <n v="0.4"/>
    <n v="0.15"/>
    <n v="0.4"/>
  </r>
  <r>
    <n v="34"/>
    <s v="No"/>
    <s v="Travel_Rarely"/>
    <n v="1442"/>
    <x v="1"/>
    <n v="9"/>
    <n v="3"/>
    <s v="Medical"/>
    <n v="1"/>
    <n v="717"/>
    <n v="4"/>
    <s v="Female"/>
    <n v="46"/>
    <n v="2"/>
    <n v="3"/>
    <x v="4"/>
    <n v="2"/>
    <s v="Single"/>
    <n v="8621"/>
    <n v="17654"/>
    <n v="1"/>
    <s v="Y"/>
    <s v="No"/>
    <n v="14"/>
    <n v="3"/>
    <n v="2"/>
    <n v="80"/>
    <n v="0"/>
    <n v="9"/>
    <n v="3"/>
    <n v="4"/>
    <n v="8"/>
    <n v="7"/>
    <n v="7"/>
    <n v="7"/>
    <s v="OK"/>
    <s v="OK"/>
    <s v="OK"/>
    <s v="OK"/>
    <x v="43"/>
    <n v="0.875"/>
    <n v="0.375"/>
    <n v="0.875"/>
  </r>
  <r>
    <n v="24"/>
    <s v="Yes"/>
    <s v="Travel_Rarely"/>
    <n v="693"/>
    <x v="0"/>
    <n v="3"/>
    <n v="2"/>
    <s v="Life Sciences"/>
    <n v="1"/>
    <n v="720"/>
    <n v="1"/>
    <s v="Female"/>
    <n v="65"/>
    <n v="3"/>
    <n v="2"/>
    <x v="0"/>
    <n v="3"/>
    <s v="Single"/>
    <n v="4577"/>
    <n v="24785"/>
    <n v="9"/>
    <s v="Y"/>
    <s v="No"/>
    <n v="14"/>
    <n v="3"/>
    <n v="1"/>
    <n v="80"/>
    <n v="0"/>
    <n v="4"/>
    <n v="3"/>
    <n v="3"/>
    <n v="2"/>
    <n v="2"/>
    <n v="2"/>
    <n v="0"/>
    <s v="OK"/>
    <s v="OK"/>
    <s v="OK"/>
    <s v="OK"/>
    <x v="3"/>
    <n v="1"/>
    <n v="1.5"/>
    <n v="0"/>
  </r>
  <r>
    <n v="39"/>
    <s v="No"/>
    <s v="Travel_Rarely"/>
    <n v="408"/>
    <x v="1"/>
    <n v="2"/>
    <n v="4"/>
    <s v="Technical Degree"/>
    <n v="1"/>
    <n v="721"/>
    <n v="4"/>
    <s v="Female"/>
    <n v="80"/>
    <n v="2"/>
    <n v="2"/>
    <x v="4"/>
    <n v="3"/>
    <s v="Single"/>
    <n v="4553"/>
    <n v="20978"/>
    <n v="1"/>
    <s v="Y"/>
    <s v="No"/>
    <n v="11"/>
    <n v="3"/>
    <n v="1"/>
    <n v="80"/>
    <n v="0"/>
    <n v="20"/>
    <n v="4"/>
    <n v="3"/>
    <n v="20"/>
    <n v="7"/>
    <n v="11"/>
    <n v="10"/>
    <s v="OK"/>
    <s v="OK"/>
    <s v="OK"/>
    <s v="OK"/>
    <x v="47"/>
    <n v="0.35"/>
    <n v="0.2"/>
    <n v="0.5"/>
  </r>
  <r>
    <n v="32"/>
    <s v="No"/>
    <s v="Travel_Rarely"/>
    <n v="929"/>
    <x v="0"/>
    <n v="10"/>
    <n v="3"/>
    <s v="Marketing"/>
    <n v="1"/>
    <n v="722"/>
    <n v="4"/>
    <s v="Male"/>
    <n v="55"/>
    <n v="3"/>
    <n v="2"/>
    <x v="0"/>
    <n v="4"/>
    <s v="Single"/>
    <n v="5396"/>
    <n v="21703"/>
    <n v="1"/>
    <s v="Y"/>
    <s v="No"/>
    <n v="12"/>
    <n v="3"/>
    <n v="4"/>
    <n v="80"/>
    <n v="0"/>
    <n v="10"/>
    <n v="2"/>
    <n v="2"/>
    <n v="10"/>
    <n v="7"/>
    <n v="0"/>
    <n v="8"/>
    <s v="OK"/>
    <s v="OK"/>
    <s v="OK"/>
    <s v="OK"/>
    <x v="0"/>
    <n v="0.7"/>
    <n v="0.2"/>
    <n v="0.8"/>
  </r>
  <r>
    <n v="50"/>
    <s v="Yes"/>
    <s v="Travel_Frequently"/>
    <n v="562"/>
    <x v="0"/>
    <n v="8"/>
    <n v="2"/>
    <s v="Technical Degree"/>
    <n v="1"/>
    <n v="723"/>
    <n v="2"/>
    <s v="Male"/>
    <n v="50"/>
    <n v="3"/>
    <n v="2"/>
    <x v="0"/>
    <n v="3"/>
    <s v="Married"/>
    <n v="6796"/>
    <n v="23452"/>
    <n v="3"/>
    <s v="Y"/>
    <s v="Yes"/>
    <n v="14"/>
    <n v="3"/>
    <n v="1"/>
    <n v="80"/>
    <n v="1"/>
    <n v="18"/>
    <n v="4"/>
    <n v="3"/>
    <n v="4"/>
    <n v="3"/>
    <n v="1"/>
    <n v="3"/>
    <s v="OK"/>
    <s v="OK"/>
    <s v="OK"/>
    <s v="OK"/>
    <x v="10"/>
    <n v="0.75"/>
    <n v="1"/>
    <n v="0.75"/>
  </r>
  <r>
    <n v="38"/>
    <s v="No"/>
    <s v="Travel_Rarely"/>
    <n v="827"/>
    <x v="1"/>
    <n v="1"/>
    <n v="4"/>
    <s v="Life Sciences"/>
    <n v="1"/>
    <n v="724"/>
    <n v="2"/>
    <s v="Female"/>
    <n v="33"/>
    <n v="4"/>
    <n v="2"/>
    <x v="4"/>
    <n v="4"/>
    <s v="Single"/>
    <n v="7625"/>
    <n v="19383"/>
    <n v="0"/>
    <s v="Y"/>
    <s v="No"/>
    <n v="13"/>
    <n v="3"/>
    <n v="3"/>
    <n v="80"/>
    <n v="0"/>
    <n v="10"/>
    <n v="4"/>
    <n v="2"/>
    <n v="9"/>
    <n v="7"/>
    <n v="1"/>
    <n v="8"/>
    <s v="OK"/>
    <s v="OK"/>
    <s v="OK"/>
    <s v="OK"/>
    <x v="5"/>
    <n v="0.77777777777777779"/>
    <n v="0.44444444444444442"/>
    <n v="0.88888888888888884"/>
  </r>
  <r>
    <n v="27"/>
    <s v="No"/>
    <s v="Travel_Rarely"/>
    <n v="608"/>
    <x v="1"/>
    <n v="1"/>
    <n v="2"/>
    <s v="Life Sciences"/>
    <n v="1"/>
    <n v="725"/>
    <n v="3"/>
    <s v="Female"/>
    <n v="68"/>
    <n v="3"/>
    <n v="3"/>
    <x v="3"/>
    <n v="1"/>
    <s v="Married"/>
    <n v="7412"/>
    <n v="6009"/>
    <n v="1"/>
    <s v="Y"/>
    <s v="No"/>
    <n v="11"/>
    <n v="3"/>
    <n v="4"/>
    <n v="80"/>
    <n v="0"/>
    <n v="9"/>
    <n v="3"/>
    <n v="3"/>
    <n v="9"/>
    <n v="7"/>
    <n v="0"/>
    <n v="7"/>
    <s v="OK"/>
    <s v="OK"/>
    <s v="OK"/>
    <s v="OK"/>
    <x v="0"/>
    <n v="0.77777777777777779"/>
    <n v="0.33333333333333331"/>
    <n v="0.77777777777777779"/>
  </r>
  <r>
    <n v="32"/>
    <s v="No"/>
    <s v="Travel_Rarely"/>
    <n v="1018"/>
    <x v="1"/>
    <n v="3"/>
    <n v="2"/>
    <s v="Life Sciences"/>
    <n v="1"/>
    <n v="727"/>
    <n v="3"/>
    <s v="Female"/>
    <n v="39"/>
    <n v="3"/>
    <n v="3"/>
    <x v="7"/>
    <n v="4"/>
    <s v="Single"/>
    <n v="11159"/>
    <n v="19373"/>
    <n v="3"/>
    <s v="Y"/>
    <s v="No"/>
    <n v="15"/>
    <n v="3"/>
    <n v="4"/>
    <n v="80"/>
    <n v="0"/>
    <n v="10"/>
    <n v="6"/>
    <n v="3"/>
    <n v="7"/>
    <n v="7"/>
    <n v="7"/>
    <n v="7"/>
    <s v="OK"/>
    <s v="OK"/>
    <s v="OK"/>
    <s v="OK"/>
    <x v="3"/>
    <n v="1"/>
    <n v="0.8571428571428571"/>
    <n v="1"/>
  </r>
  <r>
    <n v="47"/>
    <s v="No"/>
    <s v="Travel_Rarely"/>
    <n v="703"/>
    <x v="0"/>
    <n v="14"/>
    <n v="4"/>
    <s v="Marketing"/>
    <n v="1"/>
    <n v="728"/>
    <n v="4"/>
    <s v="Male"/>
    <n v="42"/>
    <n v="3"/>
    <n v="2"/>
    <x v="0"/>
    <n v="1"/>
    <s v="Single"/>
    <n v="4960"/>
    <n v="11825"/>
    <n v="2"/>
    <s v="Y"/>
    <s v="No"/>
    <n v="12"/>
    <n v="3"/>
    <n v="4"/>
    <n v="80"/>
    <n v="0"/>
    <n v="20"/>
    <n v="2"/>
    <n v="3"/>
    <n v="7"/>
    <n v="7"/>
    <n v="1"/>
    <n v="7"/>
    <s v="OK"/>
    <s v="OK"/>
    <s v="OK"/>
    <s v="OK"/>
    <x v="20"/>
    <n v="1"/>
    <n v="0.2857142857142857"/>
    <n v="1"/>
  </r>
  <r>
    <n v="40"/>
    <s v="No"/>
    <s v="Travel_Frequently"/>
    <n v="580"/>
    <x v="0"/>
    <n v="5"/>
    <n v="4"/>
    <s v="Life Sciences"/>
    <n v="1"/>
    <n v="729"/>
    <n v="4"/>
    <s v="Male"/>
    <n v="48"/>
    <n v="2"/>
    <n v="3"/>
    <x v="0"/>
    <n v="1"/>
    <s v="Married"/>
    <n v="10475"/>
    <n v="23772"/>
    <n v="5"/>
    <s v="Y"/>
    <s v="Yes"/>
    <n v="21"/>
    <n v="4"/>
    <n v="3"/>
    <n v="80"/>
    <n v="1"/>
    <n v="20"/>
    <n v="2"/>
    <n v="3"/>
    <n v="18"/>
    <n v="13"/>
    <n v="1"/>
    <n v="12"/>
    <s v="OK"/>
    <s v="OK"/>
    <s v="OK"/>
    <s v="OK"/>
    <x v="73"/>
    <n v="0.72222222222222221"/>
    <n v="0.1111111111111111"/>
    <n v="0.66666666666666663"/>
  </r>
  <r>
    <n v="53"/>
    <s v="No"/>
    <s v="Travel_Rarely"/>
    <n v="970"/>
    <x v="1"/>
    <n v="7"/>
    <n v="3"/>
    <s v="Life Sciences"/>
    <n v="1"/>
    <n v="730"/>
    <n v="3"/>
    <s v="Male"/>
    <n v="59"/>
    <n v="4"/>
    <n v="4"/>
    <x v="7"/>
    <n v="3"/>
    <s v="Married"/>
    <n v="14814"/>
    <n v="13514"/>
    <n v="3"/>
    <s v="Y"/>
    <s v="No"/>
    <n v="19"/>
    <n v="3"/>
    <n v="3"/>
    <n v="80"/>
    <n v="0"/>
    <n v="32"/>
    <n v="3"/>
    <n v="3"/>
    <n v="5"/>
    <n v="1"/>
    <n v="1"/>
    <n v="3"/>
    <s v="OK"/>
    <s v="OK"/>
    <s v="OK"/>
    <s v="OK"/>
    <x v="16"/>
    <n v="0.2"/>
    <n v="0.6"/>
    <n v="0.6"/>
  </r>
  <r>
    <n v="41"/>
    <s v="No"/>
    <s v="Travel_Rarely"/>
    <n v="427"/>
    <x v="2"/>
    <n v="10"/>
    <n v="4"/>
    <s v="Human Resources"/>
    <n v="1"/>
    <n v="731"/>
    <n v="2"/>
    <s v="Male"/>
    <n v="73"/>
    <n v="2"/>
    <n v="5"/>
    <x v="5"/>
    <n v="4"/>
    <s v="Divorced"/>
    <n v="19141"/>
    <n v="8861"/>
    <n v="3"/>
    <s v="Y"/>
    <s v="No"/>
    <n v="15"/>
    <n v="3"/>
    <n v="2"/>
    <n v="80"/>
    <n v="3"/>
    <n v="23"/>
    <n v="2"/>
    <n v="2"/>
    <n v="21"/>
    <n v="6"/>
    <n v="12"/>
    <n v="6"/>
    <s v="OK"/>
    <s v="OK"/>
    <s v="OK"/>
    <s v="OK"/>
    <x v="41"/>
    <n v="0.2857142857142857"/>
    <n v="9.5238095238095233E-2"/>
    <n v="0.2857142857142857"/>
  </r>
  <r>
    <n v="60"/>
    <s v="No"/>
    <s v="Travel_Rarely"/>
    <n v="1179"/>
    <x v="0"/>
    <n v="16"/>
    <n v="4"/>
    <s v="Marketing"/>
    <n v="1"/>
    <n v="732"/>
    <n v="1"/>
    <s v="Male"/>
    <n v="84"/>
    <n v="3"/>
    <n v="2"/>
    <x v="0"/>
    <n v="1"/>
    <s v="Single"/>
    <n v="5405"/>
    <n v="11924"/>
    <n v="8"/>
    <s v="Y"/>
    <s v="No"/>
    <n v="14"/>
    <n v="3"/>
    <n v="4"/>
    <n v="80"/>
    <n v="0"/>
    <n v="10"/>
    <n v="1"/>
    <n v="3"/>
    <n v="2"/>
    <n v="2"/>
    <n v="2"/>
    <n v="2"/>
    <s v="OK"/>
    <s v="OK"/>
    <s v="OK"/>
    <s v="OK"/>
    <x v="3"/>
    <n v="1"/>
    <n v="0.5"/>
    <n v="1"/>
  </r>
  <r>
    <n v="27"/>
    <s v="No"/>
    <s v="Travel_Frequently"/>
    <n v="294"/>
    <x v="1"/>
    <n v="10"/>
    <n v="2"/>
    <s v="Life Sciences"/>
    <n v="1"/>
    <n v="733"/>
    <n v="4"/>
    <s v="Male"/>
    <n v="32"/>
    <n v="3"/>
    <n v="3"/>
    <x v="3"/>
    <n v="1"/>
    <s v="Divorced"/>
    <n v="8793"/>
    <n v="4809"/>
    <n v="1"/>
    <s v="Y"/>
    <s v="No"/>
    <n v="21"/>
    <n v="4"/>
    <n v="3"/>
    <n v="80"/>
    <n v="2"/>
    <n v="9"/>
    <n v="4"/>
    <n v="2"/>
    <n v="9"/>
    <n v="7"/>
    <n v="1"/>
    <n v="7"/>
    <s v="OK"/>
    <s v="OK"/>
    <s v="OK"/>
    <s v="OK"/>
    <x v="5"/>
    <n v="0.77777777777777779"/>
    <n v="0.44444444444444442"/>
    <n v="0.77777777777777779"/>
  </r>
  <r>
    <n v="41"/>
    <s v="No"/>
    <s v="Travel_Rarely"/>
    <n v="314"/>
    <x v="2"/>
    <n v="1"/>
    <n v="3"/>
    <s v="Human Resources"/>
    <n v="1"/>
    <n v="734"/>
    <n v="4"/>
    <s v="Male"/>
    <n v="59"/>
    <n v="2"/>
    <n v="5"/>
    <x v="5"/>
    <n v="3"/>
    <s v="Married"/>
    <n v="19189"/>
    <n v="19562"/>
    <n v="1"/>
    <s v="Y"/>
    <s v="No"/>
    <n v="12"/>
    <n v="3"/>
    <n v="2"/>
    <n v="80"/>
    <n v="1"/>
    <n v="22"/>
    <n v="3"/>
    <n v="3"/>
    <n v="22"/>
    <n v="7"/>
    <n v="2"/>
    <n v="10"/>
    <s v="OK"/>
    <s v="OK"/>
    <s v="OK"/>
    <s v="OK"/>
    <x v="25"/>
    <n v="0.31818181818181818"/>
    <n v="0.13636363636363635"/>
    <n v="0.45454545454545453"/>
  </r>
  <r>
    <n v="50"/>
    <s v="No"/>
    <s v="Travel_Rarely"/>
    <n v="316"/>
    <x v="0"/>
    <n v="8"/>
    <n v="4"/>
    <s v="Marketing"/>
    <n v="1"/>
    <n v="738"/>
    <n v="4"/>
    <s v="Male"/>
    <n v="54"/>
    <n v="3"/>
    <n v="1"/>
    <x v="6"/>
    <n v="2"/>
    <s v="Married"/>
    <n v="3875"/>
    <n v="9983"/>
    <n v="7"/>
    <s v="Y"/>
    <s v="No"/>
    <n v="15"/>
    <n v="3"/>
    <n v="4"/>
    <n v="80"/>
    <n v="1"/>
    <n v="4"/>
    <n v="2"/>
    <n v="3"/>
    <n v="2"/>
    <n v="2"/>
    <n v="2"/>
    <n v="2"/>
    <s v="OK"/>
    <s v="OK"/>
    <s v="OK"/>
    <s v="OK"/>
    <x v="3"/>
    <n v="1"/>
    <n v="1"/>
    <n v="1"/>
  </r>
  <r>
    <n v="28"/>
    <s v="Yes"/>
    <s v="Travel_Rarely"/>
    <n v="654"/>
    <x v="1"/>
    <n v="1"/>
    <n v="2"/>
    <s v="Life Sciences"/>
    <n v="1"/>
    <n v="741"/>
    <n v="1"/>
    <s v="Female"/>
    <n v="67"/>
    <n v="1"/>
    <n v="1"/>
    <x v="1"/>
    <n v="2"/>
    <s v="Single"/>
    <n v="2216"/>
    <n v="3872"/>
    <n v="7"/>
    <s v="Y"/>
    <s v="Yes"/>
    <n v="13"/>
    <n v="3"/>
    <n v="4"/>
    <n v="80"/>
    <n v="0"/>
    <n v="10"/>
    <n v="4"/>
    <n v="3"/>
    <n v="7"/>
    <n v="7"/>
    <n v="3"/>
    <n v="7"/>
    <s v="OK"/>
    <s v="OK"/>
    <s v="OK"/>
    <s v="OK"/>
    <x v="4"/>
    <n v="1"/>
    <n v="0.5714285714285714"/>
    <n v="1"/>
  </r>
  <r>
    <n v="36"/>
    <s v="No"/>
    <s v="Non-Travel"/>
    <n v="427"/>
    <x v="1"/>
    <n v="8"/>
    <n v="3"/>
    <s v="Life Sciences"/>
    <n v="1"/>
    <n v="742"/>
    <n v="1"/>
    <s v="Female"/>
    <n v="63"/>
    <n v="4"/>
    <n v="3"/>
    <x v="7"/>
    <n v="1"/>
    <s v="Married"/>
    <n v="11713"/>
    <n v="20335"/>
    <n v="9"/>
    <s v="Y"/>
    <s v="No"/>
    <n v="14"/>
    <n v="3"/>
    <n v="1"/>
    <n v="80"/>
    <n v="1"/>
    <n v="10"/>
    <n v="2"/>
    <n v="3"/>
    <n v="8"/>
    <n v="7"/>
    <n v="0"/>
    <n v="5"/>
    <s v="OK"/>
    <s v="OK"/>
    <s v="OK"/>
    <s v="OK"/>
    <x v="0"/>
    <n v="0.875"/>
    <n v="0.25"/>
    <n v="0.625"/>
  </r>
  <r>
    <n v="38"/>
    <s v="No"/>
    <s v="Travel_Rarely"/>
    <n v="168"/>
    <x v="1"/>
    <n v="1"/>
    <n v="3"/>
    <s v="Life Sciences"/>
    <n v="1"/>
    <n v="743"/>
    <n v="3"/>
    <s v="Female"/>
    <n v="81"/>
    <n v="3"/>
    <n v="3"/>
    <x v="3"/>
    <n v="3"/>
    <s v="Single"/>
    <n v="7861"/>
    <n v="15397"/>
    <n v="4"/>
    <s v="Y"/>
    <s v="Yes"/>
    <n v="14"/>
    <n v="3"/>
    <n v="4"/>
    <n v="80"/>
    <n v="0"/>
    <n v="10"/>
    <n v="4"/>
    <n v="4"/>
    <n v="1"/>
    <n v="0"/>
    <n v="0"/>
    <n v="0"/>
    <s v="OK"/>
    <s v="OK"/>
    <s v="OK"/>
    <s v="OK"/>
    <x v="0"/>
    <n v="0"/>
    <n v="4"/>
    <n v="0"/>
  </r>
  <r>
    <n v="44"/>
    <s v="No"/>
    <s v="Non-Travel"/>
    <n v="381"/>
    <x v="1"/>
    <n v="24"/>
    <n v="3"/>
    <s v="Medical"/>
    <n v="1"/>
    <n v="744"/>
    <n v="1"/>
    <s v="Male"/>
    <n v="49"/>
    <n v="1"/>
    <n v="1"/>
    <x v="2"/>
    <n v="3"/>
    <s v="Single"/>
    <n v="3708"/>
    <n v="2104"/>
    <n v="2"/>
    <s v="Y"/>
    <s v="No"/>
    <n v="14"/>
    <n v="3"/>
    <n v="3"/>
    <n v="80"/>
    <n v="0"/>
    <n v="9"/>
    <n v="5"/>
    <n v="3"/>
    <n v="5"/>
    <n v="2"/>
    <n v="1"/>
    <n v="4"/>
    <s v="OK"/>
    <s v="OK"/>
    <s v="OK"/>
    <s v="OK"/>
    <x v="16"/>
    <n v="0.4"/>
    <n v="1"/>
    <n v="0.8"/>
  </r>
  <r>
    <n v="47"/>
    <s v="No"/>
    <s v="Travel_Frequently"/>
    <n v="217"/>
    <x v="0"/>
    <n v="3"/>
    <n v="3"/>
    <s v="Medical"/>
    <n v="1"/>
    <n v="746"/>
    <n v="4"/>
    <s v="Female"/>
    <n v="49"/>
    <n v="3"/>
    <n v="4"/>
    <x v="0"/>
    <n v="3"/>
    <s v="Divorced"/>
    <n v="13770"/>
    <n v="10225"/>
    <n v="9"/>
    <s v="Y"/>
    <s v="Yes"/>
    <n v="12"/>
    <n v="3"/>
    <n v="4"/>
    <n v="80"/>
    <n v="2"/>
    <n v="28"/>
    <n v="2"/>
    <n v="2"/>
    <n v="22"/>
    <n v="2"/>
    <n v="11"/>
    <n v="13"/>
    <s v="OK"/>
    <s v="OK"/>
    <s v="OK"/>
    <s v="OK"/>
    <x v="7"/>
    <n v="9.0909090909090912E-2"/>
    <n v="9.0909090909090912E-2"/>
    <n v="0.59090909090909094"/>
  </r>
  <r>
    <n v="30"/>
    <s v="No"/>
    <s v="Travel_Rarely"/>
    <n v="501"/>
    <x v="0"/>
    <n v="27"/>
    <n v="5"/>
    <s v="Marketing"/>
    <n v="1"/>
    <n v="747"/>
    <n v="3"/>
    <s v="Male"/>
    <n v="99"/>
    <n v="3"/>
    <n v="2"/>
    <x v="0"/>
    <n v="4"/>
    <s v="Divorced"/>
    <n v="5304"/>
    <n v="25275"/>
    <n v="7"/>
    <s v="Y"/>
    <s v="No"/>
    <n v="23"/>
    <n v="4"/>
    <n v="4"/>
    <n v="80"/>
    <n v="1"/>
    <n v="10"/>
    <n v="2"/>
    <n v="2"/>
    <n v="8"/>
    <n v="7"/>
    <n v="7"/>
    <n v="7"/>
    <s v="OK"/>
    <s v="OK"/>
    <s v="OK"/>
    <s v="OK"/>
    <x v="43"/>
    <n v="0.875"/>
    <n v="0.25"/>
    <n v="0.875"/>
  </r>
  <r>
    <n v="29"/>
    <s v="No"/>
    <s v="Travel_Rarely"/>
    <n v="1396"/>
    <x v="0"/>
    <n v="10"/>
    <n v="3"/>
    <s v="Life Sciences"/>
    <n v="1"/>
    <n v="749"/>
    <n v="3"/>
    <s v="Male"/>
    <n v="99"/>
    <n v="3"/>
    <n v="1"/>
    <x v="6"/>
    <n v="3"/>
    <s v="Single"/>
    <n v="2642"/>
    <n v="2755"/>
    <n v="1"/>
    <s v="Y"/>
    <s v="No"/>
    <n v="11"/>
    <n v="3"/>
    <n v="3"/>
    <n v="80"/>
    <n v="0"/>
    <n v="1"/>
    <n v="6"/>
    <n v="3"/>
    <n v="1"/>
    <n v="0"/>
    <n v="0"/>
    <n v="0"/>
    <s v="OK"/>
    <s v="OK"/>
    <s v="OK"/>
    <s v="OK"/>
    <x v="0"/>
    <n v="0"/>
    <n v="6"/>
    <n v="0"/>
  </r>
  <r>
    <n v="42"/>
    <s v="Yes"/>
    <s v="Travel_Frequently"/>
    <n v="933"/>
    <x v="1"/>
    <n v="19"/>
    <n v="3"/>
    <s v="Medical"/>
    <n v="1"/>
    <n v="752"/>
    <n v="3"/>
    <s v="Male"/>
    <n v="57"/>
    <n v="4"/>
    <n v="1"/>
    <x v="1"/>
    <n v="3"/>
    <s v="Divorced"/>
    <n v="2759"/>
    <n v="20366"/>
    <n v="6"/>
    <s v="Y"/>
    <s v="Yes"/>
    <n v="12"/>
    <n v="3"/>
    <n v="4"/>
    <n v="80"/>
    <n v="0"/>
    <n v="7"/>
    <n v="2"/>
    <n v="3"/>
    <n v="2"/>
    <n v="2"/>
    <n v="2"/>
    <n v="2"/>
    <s v="OK"/>
    <s v="OK"/>
    <s v="OK"/>
    <s v="OK"/>
    <x v="3"/>
    <n v="1"/>
    <n v="1"/>
    <n v="1"/>
  </r>
  <r>
    <n v="43"/>
    <s v="No"/>
    <s v="Travel_Frequently"/>
    <n v="775"/>
    <x v="0"/>
    <n v="15"/>
    <n v="3"/>
    <s v="Life Sciences"/>
    <n v="1"/>
    <n v="754"/>
    <n v="4"/>
    <s v="Male"/>
    <n v="47"/>
    <n v="2"/>
    <n v="2"/>
    <x v="0"/>
    <n v="4"/>
    <s v="Married"/>
    <n v="6804"/>
    <n v="23683"/>
    <n v="3"/>
    <s v="Y"/>
    <s v="No"/>
    <n v="18"/>
    <n v="3"/>
    <n v="3"/>
    <n v="80"/>
    <n v="1"/>
    <n v="7"/>
    <n v="5"/>
    <n v="3"/>
    <n v="2"/>
    <n v="2"/>
    <n v="2"/>
    <n v="2"/>
    <s v="OK"/>
    <s v="OK"/>
    <s v="OK"/>
    <s v="OK"/>
    <x v="3"/>
    <n v="1"/>
    <n v="2.5"/>
    <n v="1"/>
  </r>
  <r>
    <n v="34"/>
    <s v="No"/>
    <s v="Travel_Rarely"/>
    <n v="970"/>
    <x v="1"/>
    <n v="8"/>
    <n v="2"/>
    <s v="Medical"/>
    <n v="1"/>
    <n v="757"/>
    <n v="2"/>
    <s v="Female"/>
    <n v="96"/>
    <n v="3"/>
    <n v="2"/>
    <x v="4"/>
    <n v="3"/>
    <s v="Single"/>
    <n v="6142"/>
    <n v="7360"/>
    <n v="3"/>
    <s v="Y"/>
    <s v="No"/>
    <n v="11"/>
    <n v="3"/>
    <n v="4"/>
    <n v="80"/>
    <n v="0"/>
    <n v="10"/>
    <n v="2"/>
    <n v="3"/>
    <n v="5"/>
    <n v="1"/>
    <n v="4"/>
    <n v="3"/>
    <s v="OK"/>
    <s v="OK"/>
    <s v="OK"/>
    <s v="OK"/>
    <x v="6"/>
    <n v="0.2"/>
    <n v="0.4"/>
    <n v="0.6"/>
  </r>
  <r>
    <n v="23"/>
    <s v="No"/>
    <s v="Travel_Rarely"/>
    <n v="650"/>
    <x v="1"/>
    <n v="9"/>
    <n v="1"/>
    <s v="Medical"/>
    <n v="1"/>
    <n v="758"/>
    <n v="2"/>
    <s v="Male"/>
    <n v="37"/>
    <n v="3"/>
    <n v="1"/>
    <x v="2"/>
    <n v="1"/>
    <s v="Married"/>
    <n v="2500"/>
    <n v="4344"/>
    <n v="1"/>
    <s v="Y"/>
    <s v="No"/>
    <n v="14"/>
    <n v="3"/>
    <n v="4"/>
    <n v="80"/>
    <n v="1"/>
    <n v="5"/>
    <n v="2"/>
    <n v="4"/>
    <n v="4"/>
    <n v="3"/>
    <n v="0"/>
    <n v="2"/>
    <s v="OK"/>
    <s v="OK"/>
    <s v="OK"/>
    <s v="OK"/>
    <x v="0"/>
    <n v="0.75"/>
    <n v="0.5"/>
    <n v="0.5"/>
  </r>
  <r>
    <n v="39"/>
    <s v="No"/>
    <s v="Travel_Rarely"/>
    <n v="141"/>
    <x v="2"/>
    <n v="3"/>
    <n v="3"/>
    <s v="Human Resources"/>
    <n v="1"/>
    <n v="760"/>
    <n v="3"/>
    <s v="Female"/>
    <n v="44"/>
    <n v="4"/>
    <n v="2"/>
    <x v="8"/>
    <n v="2"/>
    <s v="Married"/>
    <n v="6389"/>
    <n v="18767"/>
    <n v="9"/>
    <s v="Y"/>
    <s v="No"/>
    <n v="15"/>
    <n v="3"/>
    <n v="3"/>
    <n v="80"/>
    <n v="1"/>
    <n v="12"/>
    <n v="3"/>
    <n v="1"/>
    <n v="8"/>
    <n v="3"/>
    <n v="3"/>
    <n v="6"/>
    <s v="OK"/>
    <s v="OK"/>
    <s v="OK"/>
    <s v="OK"/>
    <x v="2"/>
    <n v="0.375"/>
    <n v="0.375"/>
    <n v="0.75"/>
  </r>
  <r>
    <n v="56"/>
    <s v="No"/>
    <s v="Travel_Rarely"/>
    <n v="832"/>
    <x v="1"/>
    <n v="9"/>
    <n v="3"/>
    <s v="Medical"/>
    <n v="1"/>
    <n v="762"/>
    <n v="3"/>
    <s v="Male"/>
    <n v="81"/>
    <n v="3"/>
    <n v="4"/>
    <x v="4"/>
    <n v="4"/>
    <s v="Married"/>
    <n v="11103"/>
    <n v="20420"/>
    <n v="7"/>
    <s v="Y"/>
    <s v="No"/>
    <n v="11"/>
    <n v="3"/>
    <n v="3"/>
    <n v="80"/>
    <n v="0"/>
    <n v="30"/>
    <n v="1"/>
    <n v="2"/>
    <n v="10"/>
    <n v="7"/>
    <n v="1"/>
    <n v="1"/>
    <s v="OK"/>
    <s v="OK"/>
    <s v="OK"/>
    <s v="OK"/>
    <x v="1"/>
    <n v="0.7"/>
    <n v="0.1"/>
    <n v="0.1"/>
  </r>
  <r>
    <n v="40"/>
    <s v="No"/>
    <s v="Travel_Rarely"/>
    <n v="804"/>
    <x v="1"/>
    <n v="2"/>
    <n v="1"/>
    <s v="Medical"/>
    <n v="1"/>
    <n v="763"/>
    <n v="4"/>
    <s v="Female"/>
    <n v="86"/>
    <n v="2"/>
    <n v="1"/>
    <x v="1"/>
    <n v="4"/>
    <s v="Single"/>
    <n v="2342"/>
    <n v="22929"/>
    <n v="0"/>
    <s v="Y"/>
    <s v="Yes"/>
    <n v="20"/>
    <n v="4"/>
    <n v="4"/>
    <n v="80"/>
    <n v="0"/>
    <n v="5"/>
    <n v="2"/>
    <n v="2"/>
    <n v="4"/>
    <n v="2"/>
    <n v="2"/>
    <n v="3"/>
    <s v="OK"/>
    <s v="OK"/>
    <s v="OK"/>
    <s v="OK"/>
    <x v="7"/>
    <n v="0.5"/>
    <n v="0.5"/>
    <n v="0.75"/>
  </r>
  <r>
    <n v="27"/>
    <s v="No"/>
    <s v="Travel_Rarely"/>
    <n v="975"/>
    <x v="1"/>
    <n v="7"/>
    <n v="3"/>
    <s v="Medical"/>
    <n v="1"/>
    <n v="764"/>
    <n v="4"/>
    <s v="Female"/>
    <n v="55"/>
    <n v="2"/>
    <n v="2"/>
    <x v="4"/>
    <n v="1"/>
    <s v="Single"/>
    <n v="6811"/>
    <n v="23398"/>
    <n v="8"/>
    <s v="Y"/>
    <s v="No"/>
    <n v="19"/>
    <n v="3"/>
    <n v="1"/>
    <n v="80"/>
    <n v="0"/>
    <n v="9"/>
    <n v="2"/>
    <n v="1"/>
    <n v="7"/>
    <n v="6"/>
    <n v="0"/>
    <n v="7"/>
    <s v="OK"/>
    <s v="OK"/>
    <s v="OK"/>
    <s v="OK"/>
    <x v="0"/>
    <n v="0.8571428571428571"/>
    <n v="0.2857142857142857"/>
    <n v="1"/>
  </r>
  <r>
    <n v="29"/>
    <s v="No"/>
    <s v="Travel_Rarely"/>
    <n v="1090"/>
    <x v="0"/>
    <n v="10"/>
    <n v="3"/>
    <s v="Marketing"/>
    <n v="1"/>
    <n v="766"/>
    <n v="4"/>
    <s v="Male"/>
    <n v="83"/>
    <n v="3"/>
    <n v="1"/>
    <x v="6"/>
    <n v="2"/>
    <s v="Divorced"/>
    <n v="2297"/>
    <n v="17967"/>
    <n v="1"/>
    <s v="Y"/>
    <s v="No"/>
    <n v="14"/>
    <n v="3"/>
    <n v="4"/>
    <n v="80"/>
    <n v="2"/>
    <n v="2"/>
    <n v="2"/>
    <n v="3"/>
    <n v="2"/>
    <n v="2"/>
    <n v="2"/>
    <n v="2"/>
    <s v="OK"/>
    <s v="OK"/>
    <s v="OK"/>
    <s v="OK"/>
    <x v="3"/>
    <n v="1"/>
    <n v="1"/>
    <n v="1"/>
  </r>
  <r>
    <n v="53"/>
    <s v="No"/>
    <s v="Travel_Rarely"/>
    <n v="346"/>
    <x v="1"/>
    <n v="6"/>
    <n v="3"/>
    <s v="Life Sciences"/>
    <n v="1"/>
    <n v="769"/>
    <n v="4"/>
    <s v="Male"/>
    <n v="86"/>
    <n v="3"/>
    <n v="2"/>
    <x v="2"/>
    <n v="4"/>
    <s v="Single"/>
    <n v="2450"/>
    <n v="10919"/>
    <n v="2"/>
    <s v="Y"/>
    <s v="No"/>
    <n v="17"/>
    <n v="3"/>
    <n v="4"/>
    <n v="80"/>
    <n v="0"/>
    <n v="19"/>
    <n v="4"/>
    <n v="3"/>
    <n v="2"/>
    <n v="2"/>
    <n v="2"/>
    <n v="2"/>
    <s v="OK"/>
    <s v="OK"/>
    <s v="OK"/>
    <s v="OK"/>
    <x v="3"/>
    <n v="1"/>
    <n v="2"/>
    <n v="1"/>
  </r>
  <r>
    <n v="35"/>
    <s v="No"/>
    <s v="Non-Travel"/>
    <n v="1225"/>
    <x v="1"/>
    <n v="2"/>
    <n v="4"/>
    <s v="Life Sciences"/>
    <n v="1"/>
    <n v="771"/>
    <n v="4"/>
    <s v="Female"/>
    <n v="61"/>
    <n v="3"/>
    <n v="2"/>
    <x v="4"/>
    <n v="1"/>
    <s v="Divorced"/>
    <n v="5093"/>
    <n v="4761"/>
    <n v="2"/>
    <s v="Y"/>
    <s v="No"/>
    <n v="11"/>
    <n v="3"/>
    <n v="1"/>
    <n v="80"/>
    <n v="1"/>
    <n v="16"/>
    <n v="2"/>
    <n v="4"/>
    <n v="1"/>
    <n v="0"/>
    <n v="0"/>
    <n v="0"/>
    <s v="OK"/>
    <s v="OK"/>
    <s v="OK"/>
    <s v="OK"/>
    <x v="0"/>
    <n v="0"/>
    <n v="2"/>
    <n v="0"/>
  </r>
  <r>
    <n v="32"/>
    <s v="No"/>
    <s v="Travel_Frequently"/>
    <n v="430"/>
    <x v="1"/>
    <n v="24"/>
    <n v="4"/>
    <s v="Life Sciences"/>
    <n v="1"/>
    <n v="772"/>
    <n v="1"/>
    <s v="Male"/>
    <n v="80"/>
    <n v="3"/>
    <n v="2"/>
    <x v="2"/>
    <n v="4"/>
    <s v="Married"/>
    <n v="5309"/>
    <n v="21146"/>
    <n v="1"/>
    <s v="Y"/>
    <s v="No"/>
    <n v="15"/>
    <n v="3"/>
    <n v="4"/>
    <n v="80"/>
    <n v="2"/>
    <n v="10"/>
    <n v="2"/>
    <n v="3"/>
    <n v="10"/>
    <n v="8"/>
    <n v="4"/>
    <n v="7"/>
    <s v="OK"/>
    <s v="OK"/>
    <s v="OK"/>
    <s v="OK"/>
    <x v="46"/>
    <n v="0.8"/>
    <n v="0.2"/>
    <n v="0.7"/>
  </r>
  <r>
    <n v="38"/>
    <s v="No"/>
    <s v="Travel_Rarely"/>
    <n v="268"/>
    <x v="1"/>
    <n v="2"/>
    <n v="5"/>
    <s v="Medical"/>
    <n v="1"/>
    <n v="773"/>
    <n v="4"/>
    <s v="Male"/>
    <n v="92"/>
    <n v="3"/>
    <n v="1"/>
    <x v="1"/>
    <n v="3"/>
    <s v="Married"/>
    <n v="3057"/>
    <n v="20471"/>
    <n v="6"/>
    <s v="Y"/>
    <s v="Yes"/>
    <n v="13"/>
    <n v="3"/>
    <n v="2"/>
    <n v="80"/>
    <n v="1"/>
    <n v="6"/>
    <n v="0"/>
    <n v="1"/>
    <n v="1"/>
    <n v="0"/>
    <n v="0"/>
    <n v="1"/>
    <s v="OK"/>
    <s v="OK"/>
    <s v="OK"/>
    <s v="OK"/>
    <x v="0"/>
    <n v="0"/>
    <n v="0"/>
    <n v="1"/>
  </r>
  <r>
    <n v="34"/>
    <s v="No"/>
    <s v="Travel_Rarely"/>
    <n v="167"/>
    <x v="1"/>
    <n v="8"/>
    <n v="5"/>
    <s v="Life Sciences"/>
    <n v="1"/>
    <n v="775"/>
    <n v="2"/>
    <s v="Female"/>
    <n v="32"/>
    <n v="3"/>
    <n v="2"/>
    <x v="3"/>
    <n v="1"/>
    <s v="Divorced"/>
    <n v="5121"/>
    <n v="4187"/>
    <n v="3"/>
    <s v="Y"/>
    <s v="No"/>
    <n v="14"/>
    <n v="3"/>
    <n v="3"/>
    <n v="80"/>
    <n v="1"/>
    <n v="7"/>
    <n v="3"/>
    <n v="3"/>
    <n v="0"/>
    <n v="0"/>
    <n v="0"/>
    <n v="0"/>
    <s v="OK"/>
    <s v="OK"/>
    <s v="OK"/>
    <s v="OK"/>
    <x v="0"/>
    <n v="0"/>
    <n v="0"/>
    <n v="0"/>
  </r>
  <r>
    <n v="52"/>
    <s v="No"/>
    <s v="Travel_Rarely"/>
    <n v="621"/>
    <x v="0"/>
    <n v="3"/>
    <n v="4"/>
    <s v="Marketing"/>
    <n v="1"/>
    <n v="776"/>
    <n v="3"/>
    <s v="Male"/>
    <n v="31"/>
    <n v="2"/>
    <n v="4"/>
    <x v="5"/>
    <n v="1"/>
    <s v="Married"/>
    <n v="16856"/>
    <n v="10084"/>
    <n v="1"/>
    <s v="Y"/>
    <s v="No"/>
    <n v="11"/>
    <n v="3"/>
    <n v="1"/>
    <n v="80"/>
    <n v="0"/>
    <n v="34"/>
    <n v="3"/>
    <n v="4"/>
    <n v="34"/>
    <n v="6"/>
    <n v="1"/>
    <n v="16"/>
    <s v="OK"/>
    <s v="OK"/>
    <s v="OK"/>
    <s v="OK"/>
    <x v="74"/>
    <n v="0.17647058823529413"/>
    <n v="8.8235294117647065E-2"/>
    <n v="0.47058823529411764"/>
  </r>
  <r>
    <n v="33"/>
    <s v="Yes"/>
    <s v="Travel_Rarely"/>
    <n v="527"/>
    <x v="1"/>
    <n v="1"/>
    <n v="4"/>
    <s v="Other"/>
    <n v="1"/>
    <n v="780"/>
    <n v="4"/>
    <s v="Male"/>
    <n v="63"/>
    <n v="3"/>
    <n v="1"/>
    <x v="1"/>
    <n v="4"/>
    <s v="Single"/>
    <n v="2686"/>
    <n v="5207"/>
    <n v="1"/>
    <s v="Y"/>
    <s v="Yes"/>
    <n v="13"/>
    <n v="3"/>
    <n v="3"/>
    <n v="80"/>
    <n v="0"/>
    <n v="10"/>
    <n v="2"/>
    <n v="2"/>
    <n v="10"/>
    <n v="9"/>
    <n v="7"/>
    <n v="8"/>
    <s v="OK"/>
    <s v="OK"/>
    <s v="OK"/>
    <s v="OK"/>
    <x v="42"/>
    <n v="0.9"/>
    <n v="0.2"/>
    <n v="0.8"/>
  </r>
  <r>
    <n v="25"/>
    <s v="No"/>
    <s v="Travel_Rarely"/>
    <n v="883"/>
    <x v="0"/>
    <n v="26"/>
    <n v="1"/>
    <s v="Medical"/>
    <n v="1"/>
    <n v="781"/>
    <n v="3"/>
    <s v="Female"/>
    <n v="32"/>
    <n v="3"/>
    <n v="2"/>
    <x v="0"/>
    <n v="4"/>
    <s v="Single"/>
    <n v="6180"/>
    <n v="22807"/>
    <n v="1"/>
    <s v="Y"/>
    <s v="No"/>
    <n v="23"/>
    <n v="4"/>
    <n v="2"/>
    <n v="80"/>
    <n v="0"/>
    <n v="6"/>
    <n v="5"/>
    <n v="2"/>
    <n v="6"/>
    <n v="5"/>
    <n v="1"/>
    <n v="4"/>
    <s v="OK"/>
    <s v="OK"/>
    <s v="OK"/>
    <s v="OK"/>
    <x v="11"/>
    <n v="0.83333333333333337"/>
    <n v="0.83333333333333337"/>
    <n v="0.66666666666666663"/>
  </r>
  <r>
    <n v="45"/>
    <s v="No"/>
    <s v="Travel_Rarely"/>
    <n v="954"/>
    <x v="0"/>
    <n v="2"/>
    <n v="2"/>
    <s v="Technical Degree"/>
    <n v="1"/>
    <n v="783"/>
    <n v="2"/>
    <s v="Male"/>
    <n v="46"/>
    <n v="1"/>
    <n v="2"/>
    <x v="6"/>
    <n v="3"/>
    <s v="Single"/>
    <n v="6632"/>
    <n v="12388"/>
    <n v="0"/>
    <s v="Y"/>
    <s v="No"/>
    <n v="13"/>
    <n v="3"/>
    <n v="1"/>
    <n v="80"/>
    <n v="0"/>
    <n v="9"/>
    <n v="3"/>
    <n v="3"/>
    <n v="8"/>
    <n v="7"/>
    <n v="3"/>
    <n v="1"/>
    <s v="OK"/>
    <s v="OK"/>
    <s v="OK"/>
    <s v="OK"/>
    <x v="2"/>
    <n v="0.875"/>
    <n v="0.375"/>
    <n v="0.125"/>
  </r>
  <r>
    <n v="23"/>
    <s v="No"/>
    <s v="Travel_Rarely"/>
    <n v="310"/>
    <x v="1"/>
    <n v="10"/>
    <n v="1"/>
    <s v="Medical"/>
    <n v="1"/>
    <n v="784"/>
    <n v="1"/>
    <s v="Male"/>
    <n v="79"/>
    <n v="4"/>
    <n v="1"/>
    <x v="1"/>
    <n v="3"/>
    <s v="Single"/>
    <n v="3505"/>
    <n v="19630"/>
    <n v="1"/>
    <s v="Y"/>
    <s v="No"/>
    <n v="18"/>
    <n v="3"/>
    <n v="4"/>
    <n v="80"/>
    <n v="0"/>
    <n v="2"/>
    <n v="3"/>
    <n v="3"/>
    <n v="2"/>
    <n v="2"/>
    <n v="0"/>
    <n v="2"/>
    <s v="OK"/>
    <s v="OK"/>
    <s v="OK"/>
    <s v="OK"/>
    <x v="0"/>
    <n v="1"/>
    <n v="1.5"/>
    <n v="1"/>
  </r>
  <r>
    <n v="47"/>
    <s v="Yes"/>
    <s v="Travel_Frequently"/>
    <n v="719"/>
    <x v="0"/>
    <n v="27"/>
    <n v="2"/>
    <s v="Life Sciences"/>
    <n v="1"/>
    <n v="785"/>
    <n v="2"/>
    <s v="Female"/>
    <n v="77"/>
    <n v="4"/>
    <n v="2"/>
    <x v="0"/>
    <n v="3"/>
    <s v="Single"/>
    <n v="6397"/>
    <n v="10339"/>
    <n v="4"/>
    <s v="Y"/>
    <s v="Yes"/>
    <n v="12"/>
    <n v="3"/>
    <n v="4"/>
    <n v="80"/>
    <n v="0"/>
    <n v="8"/>
    <n v="2"/>
    <n v="3"/>
    <n v="5"/>
    <n v="4"/>
    <n v="1"/>
    <n v="3"/>
    <s v="OK"/>
    <s v="OK"/>
    <s v="OK"/>
    <s v="OK"/>
    <x v="16"/>
    <n v="0.8"/>
    <n v="0.4"/>
    <n v="0.6"/>
  </r>
  <r>
    <n v="34"/>
    <s v="No"/>
    <s v="Travel_Rarely"/>
    <n v="304"/>
    <x v="0"/>
    <n v="2"/>
    <n v="3"/>
    <s v="Other"/>
    <n v="1"/>
    <n v="786"/>
    <n v="4"/>
    <s v="Male"/>
    <n v="60"/>
    <n v="3"/>
    <n v="2"/>
    <x v="0"/>
    <n v="4"/>
    <s v="Single"/>
    <n v="6274"/>
    <n v="18686"/>
    <n v="1"/>
    <s v="Y"/>
    <s v="No"/>
    <n v="22"/>
    <n v="4"/>
    <n v="3"/>
    <n v="80"/>
    <n v="0"/>
    <n v="6"/>
    <n v="5"/>
    <n v="3"/>
    <n v="6"/>
    <n v="5"/>
    <n v="1"/>
    <n v="4"/>
    <s v="OK"/>
    <s v="OK"/>
    <s v="OK"/>
    <s v="OK"/>
    <x v="11"/>
    <n v="0.83333333333333337"/>
    <n v="0.83333333333333337"/>
    <n v="0.66666666666666663"/>
  </r>
  <r>
    <n v="55"/>
    <s v="Yes"/>
    <s v="Travel_Rarely"/>
    <n v="725"/>
    <x v="1"/>
    <n v="2"/>
    <n v="3"/>
    <s v="Medical"/>
    <n v="1"/>
    <n v="787"/>
    <n v="4"/>
    <s v="Male"/>
    <n v="78"/>
    <n v="3"/>
    <n v="5"/>
    <x v="5"/>
    <n v="1"/>
    <s v="Married"/>
    <n v="19859"/>
    <n v="21199"/>
    <n v="5"/>
    <s v="Y"/>
    <s v="Yes"/>
    <n v="13"/>
    <n v="3"/>
    <n v="4"/>
    <n v="80"/>
    <n v="1"/>
    <n v="24"/>
    <n v="2"/>
    <n v="3"/>
    <n v="5"/>
    <n v="2"/>
    <n v="1"/>
    <n v="4"/>
    <s v="OK"/>
    <s v="OK"/>
    <s v="OK"/>
    <s v="OK"/>
    <x v="16"/>
    <n v="0.4"/>
    <n v="0.4"/>
    <n v="0.8"/>
  </r>
  <r>
    <n v="36"/>
    <s v="No"/>
    <s v="Non-Travel"/>
    <n v="1434"/>
    <x v="0"/>
    <n v="8"/>
    <n v="4"/>
    <s v="Life Sciences"/>
    <n v="1"/>
    <n v="789"/>
    <n v="1"/>
    <s v="Male"/>
    <n v="76"/>
    <n v="2"/>
    <n v="3"/>
    <x v="0"/>
    <n v="1"/>
    <s v="Single"/>
    <n v="7587"/>
    <n v="14229"/>
    <n v="1"/>
    <s v="Y"/>
    <s v="No"/>
    <n v="15"/>
    <n v="3"/>
    <n v="2"/>
    <n v="80"/>
    <n v="0"/>
    <n v="10"/>
    <n v="1"/>
    <n v="3"/>
    <n v="10"/>
    <n v="7"/>
    <n v="0"/>
    <n v="9"/>
    <s v="OK"/>
    <s v="OK"/>
    <s v="OK"/>
    <s v="OK"/>
    <x v="0"/>
    <n v="0.7"/>
    <n v="0.1"/>
    <n v="0.9"/>
  </r>
  <r>
    <n v="52"/>
    <s v="No"/>
    <s v="Non-Travel"/>
    <n v="715"/>
    <x v="1"/>
    <n v="19"/>
    <n v="4"/>
    <s v="Medical"/>
    <n v="1"/>
    <n v="791"/>
    <n v="4"/>
    <s v="Male"/>
    <n v="41"/>
    <n v="3"/>
    <n v="1"/>
    <x v="1"/>
    <n v="4"/>
    <s v="Married"/>
    <n v="4258"/>
    <n v="26589"/>
    <n v="0"/>
    <s v="Y"/>
    <s v="No"/>
    <n v="18"/>
    <n v="3"/>
    <n v="1"/>
    <n v="80"/>
    <n v="1"/>
    <n v="5"/>
    <n v="3"/>
    <n v="3"/>
    <n v="4"/>
    <n v="3"/>
    <n v="1"/>
    <n v="2"/>
    <s v="OK"/>
    <s v="OK"/>
    <s v="OK"/>
    <s v="OK"/>
    <x v="10"/>
    <n v="0.75"/>
    <n v="0.75"/>
    <n v="0.5"/>
  </r>
  <r>
    <n v="26"/>
    <s v="No"/>
    <s v="Travel_Frequently"/>
    <n v="575"/>
    <x v="1"/>
    <n v="1"/>
    <n v="2"/>
    <s v="Life Sciences"/>
    <n v="1"/>
    <n v="792"/>
    <n v="1"/>
    <s v="Female"/>
    <n v="71"/>
    <n v="1"/>
    <n v="1"/>
    <x v="2"/>
    <n v="4"/>
    <s v="Divorced"/>
    <n v="4364"/>
    <n v="5288"/>
    <n v="3"/>
    <s v="Y"/>
    <s v="No"/>
    <n v="14"/>
    <n v="3"/>
    <n v="1"/>
    <n v="80"/>
    <n v="1"/>
    <n v="5"/>
    <n v="2"/>
    <n v="3"/>
    <n v="2"/>
    <n v="2"/>
    <n v="2"/>
    <n v="0"/>
    <s v="OK"/>
    <s v="OK"/>
    <s v="OK"/>
    <s v="OK"/>
    <x v="3"/>
    <n v="1"/>
    <n v="1"/>
    <n v="0"/>
  </r>
  <r>
    <n v="29"/>
    <s v="No"/>
    <s v="Travel_Rarely"/>
    <n v="657"/>
    <x v="1"/>
    <n v="27"/>
    <n v="3"/>
    <s v="Medical"/>
    <n v="1"/>
    <n v="793"/>
    <n v="2"/>
    <s v="Female"/>
    <n v="66"/>
    <n v="3"/>
    <n v="2"/>
    <x v="4"/>
    <n v="3"/>
    <s v="Married"/>
    <n v="4335"/>
    <n v="25549"/>
    <n v="4"/>
    <s v="Y"/>
    <s v="No"/>
    <n v="12"/>
    <n v="3"/>
    <n v="1"/>
    <n v="80"/>
    <n v="1"/>
    <n v="11"/>
    <n v="3"/>
    <n v="2"/>
    <n v="8"/>
    <n v="7"/>
    <n v="1"/>
    <n v="1"/>
    <s v="OK"/>
    <s v="OK"/>
    <s v="OK"/>
    <s v="OK"/>
    <x v="33"/>
    <n v="0.875"/>
    <n v="0.375"/>
    <n v="0.125"/>
  </r>
  <r>
    <n v="26"/>
    <s v="Yes"/>
    <s v="Travel_Rarely"/>
    <n v="1146"/>
    <x v="0"/>
    <n v="8"/>
    <n v="3"/>
    <s v="Technical Degree"/>
    <n v="1"/>
    <n v="796"/>
    <n v="4"/>
    <s v="Male"/>
    <n v="38"/>
    <n v="2"/>
    <n v="2"/>
    <x v="0"/>
    <n v="1"/>
    <s v="Single"/>
    <n v="5326"/>
    <n v="3064"/>
    <n v="6"/>
    <s v="Y"/>
    <s v="No"/>
    <n v="17"/>
    <n v="3"/>
    <n v="3"/>
    <n v="80"/>
    <n v="0"/>
    <n v="6"/>
    <n v="2"/>
    <n v="2"/>
    <n v="4"/>
    <n v="3"/>
    <n v="1"/>
    <n v="2"/>
    <s v="OK"/>
    <s v="OK"/>
    <s v="OK"/>
    <s v="OK"/>
    <x v="10"/>
    <n v="0.75"/>
    <n v="0.5"/>
    <n v="0.5"/>
  </r>
  <r>
    <n v="34"/>
    <s v="No"/>
    <s v="Travel_Rarely"/>
    <n v="182"/>
    <x v="1"/>
    <n v="1"/>
    <n v="4"/>
    <s v="Life Sciences"/>
    <n v="1"/>
    <n v="797"/>
    <n v="2"/>
    <s v="Female"/>
    <n v="72"/>
    <n v="4"/>
    <n v="1"/>
    <x v="1"/>
    <n v="4"/>
    <s v="Single"/>
    <n v="3280"/>
    <n v="13551"/>
    <n v="2"/>
    <s v="Y"/>
    <s v="No"/>
    <n v="16"/>
    <n v="3"/>
    <n v="3"/>
    <n v="80"/>
    <n v="0"/>
    <n v="10"/>
    <n v="2"/>
    <n v="3"/>
    <n v="4"/>
    <n v="2"/>
    <n v="1"/>
    <n v="3"/>
    <s v="OK"/>
    <s v="OK"/>
    <s v="OK"/>
    <s v="OK"/>
    <x v="10"/>
    <n v="0.5"/>
    <n v="0.5"/>
    <n v="0.75"/>
  </r>
  <r>
    <n v="54"/>
    <s v="No"/>
    <s v="Travel_Rarely"/>
    <n v="376"/>
    <x v="1"/>
    <n v="19"/>
    <n v="4"/>
    <s v="Medical"/>
    <n v="1"/>
    <n v="799"/>
    <n v="4"/>
    <s v="Female"/>
    <n v="95"/>
    <n v="3"/>
    <n v="2"/>
    <x v="3"/>
    <n v="1"/>
    <s v="Divorced"/>
    <n v="5485"/>
    <n v="22670"/>
    <n v="9"/>
    <s v="Y"/>
    <s v="Yes"/>
    <n v="11"/>
    <n v="3"/>
    <n v="2"/>
    <n v="80"/>
    <n v="2"/>
    <n v="9"/>
    <n v="4"/>
    <n v="3"/>
    <n v="5"/>
    <n v="3"/>
    <n v="1"/>
    <n v="4"/>
    <s v="OK"/>
    <s v="OK"/>
    <s v="OK"/>
    <s v="OK"/>
    <x v="16"/>
    <n v="0.6"/>
    <n v="0.8"/>
    <n v="0.8"/>
  </r>
  <r>
    <n v="27"/>
    <s v="No"/>
    <s v="Travel_Frequently"/>
    <n v="829"/>
    <x v="0"/>
    <n v="8"/>
    <n v="1"/>
    <s v="Marketing"/>
    <n v="1"/>
    <n v="800"/>
    <n v="3"/>
    <s v="Male"/>
    <n v="84"/>
    <n v="3"/>
    <n v="2"/>
    <x v="0"/>
    <n v="4"/>
    <s v="Married"/>
    <n v="4342"/>
    <n v="24008"/>
    <n v="0"/>
    <s v="Y"/>
    <s v="No"/>
    <n v="19"/>
    <n v="3"/>
    <n v="2"/>
    <n v="80"/>
    <n v="1"/>
    <n v="5"/>
    <n v="3"/>
    <n v="3"/>
    <n v="4"/>
    <n v="2"/>
    <n v="1"/>
    <n v="1"/>
    <s v="OK"/>
    <s v="OK"/>
    <s v="OK"/>
    <s v="OK"/>
    <x v="10"/>
    <n v="0.5"/>
    <n v="0.75"/>
    <n v="0.25"/>
  </r>
  <r>
    <n v="37"/>
    <s v="No"/>
    <s v="Travel_Rarely"/>
    <n v="571"/>
    <x v="1"/>
    <n v="10"/>
    <n v="1"/>
    <s v="Life Sciences"/>
    <n v="1"/>
    <n v="802"/>
    <n v="4"/>
    <s v="Female"/>
    <n v="82"/>
    <n v="3"/>
    <n v="1"/>
    <x v="1"/>
    <n v="1"/>
    <s v="Divorced"/>
    <n v="2782"/>
    <n v="19905"/>
    <n v="0"/>
    <s v="Y"/>
    <s v="Yes"/>
    <n v="13"/>
    <n v="3"/>
    <n v="2"/>
    <n v="80"/>
    <n v="2"/>
    <n v="6"/>
    <n v="3"/>
    <n v="2"/>
    <n v="5"/>
    <n v="3"/>
    <n v="4"/>
    <n v="3"/>
    <s v="OK"/>
    <s v="OK"/>
    <s v="OK"/>
    <s v="OK"/>
    <x v="6"/>
    <n v="0.6"/>
    <n v="0.6"/>
    <n v="0.6"/>
  </r>
  <r>
    <n v="38"/>
    <s v="No"/>
    <s v="Travel_Frequently"/>
    <n v="240"/>
    <x v="1"/>
    <n v="2"/>
    <n v="4"/>
    <s v="Life Sciences"/>
    <n v="1"/>
    <n v="803"/>
    <n v="1"/>
    <s v="Female"/>
    <n v="75"/>
    <n v="4"/>
    <n v="2"/>
    <x v="3"/>
    <n v="1"/>
    <s v="Single"/>
    <n v="5980"/>
    <n v="26085"/>
    <n v="6"/>
    <s v="Y"/>
    <s v="Yes"/>
    <n v="12"/>
    <n v="3"/>
    <n v="4"/>
    <n v="80"/>
    <n v="0"/>
    <n v="17"/>
    <n v="2"/>
    <n v="3"/>
    <n v="15"/>
    <n v="7"/>
    <n v="4"/>
    <n v="12"/>
    <s v="OK"/>
    <s v="OK"/>
    <s v="OK"/>
    <s v="OK"/>
    <x v="75"/>
    <n v="0.46666666666666667"/>
    <n v="0.13333333333333333"/>
    <n v="0.8"/>
  </r>
  <r>
    <n v="34"/>
    <s v="No"/>
    <s v="Travel_Rarely"/>
    <n v="121"/>
    <x v="1"/>
    <n v="2"/>
    <n v="4"/>
    <s v="Medical"/>
    <n v="1"/>
    <n v="804"/>
    <n v="3"/>
    <s v="Female"/>
    <n v="86"/>
    <n v="2"/>
    <n v="1"/>
    <x v="1"/>
    <n v="1"/>
    <s v="Single"/>
    <n v="4381"/>
    <n v="7530"/>
    <n v="1"/>
    <s v="Y"/>
    <s v="No"/>
    <n v="11"/>
    <n v="3"/>
    <n v="3"/>
    <n v="80"/>
    <n v="0"/>
    <n v="6"/>
    <n v="3"/>
    <n v="3"/>
    <n v="6"/>
    <n v="5"/>
    <n v="1"/>
    <n v="3"/>
    <s v="OK"/>
    <s v="OK"/>
    <s v="OK"/>
    <s v="OK"/>
    <x v="11"/>
    <n v="0.83333333333333337"/>
    <n v="0.5"/>
    <n v="0.5"/>
  </r>
  <r>
    <n v="35"/>
    <s v="No"/>
    <s v="Travel_Rarely"/>
    <n v="384"/>
    <x v="0"/>
    <n v="8"/>
    <n v="4"/>
    <s v="Life Sciences"/>
    <n v="1"/>
    <n v="805"/>
    <n v="1"/>
    <s v="Female"/>
    <n v="72"/>
    <n v="3"/>
    <n v="1"/>
    <x v="6"/>
    <n v="4"/>
    <s v="Married"/>
    <n v="2572"/>
    <n v="20317"/>
    <n v="1"/>
    <s v="Y"/>
    <s v="No"/>
    <n v="16"/>
    <n v="3"/>
    <n v="2"/>
    <n v="80"/>
    <n v="1"/>
    <n v="3"/>
    <n v="1"/>
    <n v="2"/>
    <n v="3"/>
    <n v="2"/>
    <n v="0"/>
    <n v="2"/>
    <s v="OK"/>
    <s v="OK"/>
    <s v="OK"/>
    <s v="OK"/>
    <x v="0"/>
    <n v="0.66666666666666663"/>
    <n v="0.33333333333333331"/>
    <n v="0.66666666666666663"/>
  </r>
  <r>
    <n v="30"/>
    <s v="No"/>
    <s v="Travel_Rarely"/>
    <n v="921"/>
    <x v="1"/>
    <n v="1"/>
    <n v="3"/>
    <s v="Life Sciences"/>
    <n v="1"/>
    <n v="806"/>
    <n v="4"/>
    <s v="Male"/>
    <n v="38"/>
    <n v="1"/>
    <n v="1"/>
    <x v="2"/>
    <n v="3"/>
    <s v="Married"/>
    <n v="3833"/>
    <n v="24375"/>
    <n v="3"/>
    <s v="Y"/>
    <s v="No"/>
    <n v="21"/>
    <n v="4"/>
    <n v="3"/>
    <n v="80"/>
    <n v="2"/>
    <n v="7"/>
    <n v="2"/>
    <n v="3"/>
    <n v="2"/>
    <n v="2"/>
    <n v="0"/>
    <n v="2"/>
    <s v="OK"/>
    <s v="OK"/>
    <s v="OK"/>
    <s v="OK"/>
    <x v="0"/>
    <n v="1"/>
    <n v="1"/>
    <n v="1"/>
  </r>
  <r>
    <n v="40"/>
    <s v="No"/>
    <s v="Travel_Frequently"/>
    <n v="791"/>
    <x v="1"/>
    <n v="2"/>
    <n v="2"/>
    <s v="Medical"/>
    <n v="1"/>
    <n v="807"/>
    <n v="3"/>
    <s v="Female"/>
    <n v="38"/>
    <n v="4"/>
    <n v="2"/>
    <x v="4"/>
    <n v="2"/>
    <s v="Married"/>
    <n v="4244"/>
    <n v="9931"/>
    <n v="1"/>
    <s v="Y"/>
    <s v="No"/>
    <n v="24"/>
    <n v="4"/>
    <n v="4"/>
    <n v="80"/>
    <n v="1"/>
    <n v="8"/>
    <n v="2"/>
    <n v="3"/>
    <n v="8"/>
    <n v="7"/>
    <n v="3"/>
    <n v="7"/>
    <s v="OK"/>
    <s v="OK"/>
    <s v="OK"/>
    <s v="OK"/>
    <x v="2"/>
    <n v="0.875"/>
    <n v="0.25"/>
    <n v="0.875"/>
  </r>
  <r>
    <n v="34"/>
    <s v="No"/>
    <s v="Travel_Rarely"/>
    <n v="1111"/>
    <x v="0"/>
    <n v="8"/>
    <n v="2"/>
    <s v="Life Sciences"/>
    <n v="1"/>
    <n v="808"/>
    <n v="3"/>
    <s v="Female"/>
    <n v="93"/>
    <n v="3"/>
    <n v="2"/>
    <x v="0"/>
    <n v="1"/>
    <s v="Married"/>
    <n v="6500"/>
    <n v="13305"/>
    <n v="5"/>
    <s v="Y"/>
    <s v="No"/>
    <n v="17"/>
    <n v="3"/>
    <n v="2"/>
    <n v="80"/>
    <n v="1"/>
    <n v="6"/>
    <n v="1"/>
    <n v="3"/>
    <n v="3"/>
    <n v="2"/>
    <n v="1"/>
    <n v="2"/>
    <s v="OK"/>
    <s v="OK"/>
    <s v="OK"/>
    <s v="OK"/>
    <x v="9"/>
    <n v="0.66666666666666663"/>
    <n v="0.33333333333333331"/>
    <n v="0.66666666666666663"/>
  </r>
  <r>
    <n v="42"/>
    <s v="No"/>
    <s v="Travel_Frequently"/>
    <n v="570"/>
    <x v="1"/>
    <n v="8"/>
    <n v="3"/>
    <s v="Life Sciences"/>
    <n v="1"/>
    <n v="809"/>
    <n v="2"/>
    <s v="Male"/>
    <n v="66"/>
    <n v="3"/>
    <n v="5"/>
    <x v="5"/>
    <n v="4"/>
    <s v="Divorced"/>
    <n v="18430"/>
    <n v="16225"/>
    <n v="1"/>
    <s v="Y"/>
    <s v="No"/>
    <n v="13"/>
    <n v="3"/>
    <n v="2"/>
    <n v="80"/>
    <n v="1"/>
    <n v="24"/>
    <n v="4"/>
    <n v="2"/>
    <n v="24"/>
    <n v="7"/>
    <n v="14"/>
    <n v="9"/>
    <s v="OK"/>
    <s v="OK"/>
    <s v="OK"/>
    <s v="OK"/>
    <x v="76"/>
    <n v="0.29166666666666669"/>
    <n v="0.16666666666666666"/>
    <n v="0.375"/>
  </r>
  <r>
    <n v="23"/>
    <s v="Yes"/>
    <s v="Travel_Rarely"/>
    <n v="1243"/>
    <x v="1"/>
    <n v="6"/>
    <n v="3"/>
    <s v="Life Sciences"/>
    <n v="1"/>
    <n v="811"/>
    <n v="3"/>
    <s v="Male"/>
    <n v="63"/>
    <n v="4"/>
    <n v="1"/>
    <x v="2"/>
    <n v="1"/>
    <s v="Married"/>
    <n v="1601"/>
    <n v="3445"/>
    <n v="1"/>
    <s v="Y"/>
    <s v="Yes"/>
    <n v="21"/>
    <n v="4"/>
    <n v="3"/>
    <n v="80"/>
    <n v="2"/>
    <n v="1"/>
    <n v="2"/>
    <n v="3"/>
    <n v="0"/>
    <n v="0"/>
    <n v="0"/>
    <n v="0"/>
    <s v="OK"/>
    <s v="OK"/>
    <s v="OK"/>
    <s v="OK"/>
    <x v="0"/>
    <n v="0"/>
    <n v="0"/>
    <n v="0"/>
  </r>
  <r>
    <n v="24"/>
    <s v="No"/>
    <s v="Non-Travel"/>
    <n v="1092"/>
    <x v="1"/>
    <n v="9"/>
    <n v="3"/>
    <s v="Life Sciences"/>
    <n v="1"/>
    <n v="812"/>
    <n v="3"/>
    <s v="Male"/>
    <n v="60"/>
    <n v="2"/>
    <n v="1"/>
    <x v="2"/>
    <n v="2"/>
    <s v="Divorced"/>
    <n v="2694"/>
    <n v="26551"/>
    <n v="1"/>
    <s v="Y"/>
    <s v="No"/>
    <n v="11"/>
    <n v="3"/>
    <n v="3"/>
    <n v="80"/>
    <n v="3"/>
    <n v="1"/>
    <n v="4"/>
    <n v="3"/>
    <n v="1"/>
    <n v="0"/>
    <n v="0"/>
    <n v="0"/>
    <s v="OK"/>
    <s v="OK"/>
    <s v="OK"/>
    <s v="OK"/>
    <x v="0"/>
    <n v="0"/>
    <n v="4"/>
    <n v="0"/>
  </r>
  <r>
    <n v="52"/>
    <s v="No"/>
    <s v="Travel_Rarely"/>
    <n v="1325"/>
    <x v="1"/>
    <n v="11"/>
    <n v="4"/>
    <s v="Life Sciences"/>
    <n v="1"/>
    <n v="813"/>
    <n v="4"/>
    <s v="Female"/>
    <n v="82"/>
    <n v="3"/>
    <n v="2"/>
    <x v="2"/>
    <n v="3"/>
    <s v="Married"/>
    <n v="3149"/>
    <n v="21821"/>
    <n v="8"/>
    <s v="Y"/>
    <s v="No"/>
    <n v="20"/>
    <n v="4"/>
    <n v="2"/>
    <n v="80"/>
    <n v="1"/>
    <n v="9"/>
    <n v="3"/>
    <n v="3"/>
    <n v="5"/>
    <n v="2"/>
    <n v="1"/>
    <n v="4"/>
    <s v="OK"/>
    <s v="OK"/>
    <s v="OK"/>
    <s v="OK"/>
    <x v="16"/>
    <n v="0.4"/>
    <n v="0.6"/>
    <n v="0.8"/>
  </r>
  <r>
    <n v="50"/>
    <s v="No"/>
    <s v="Travel_Rarely"/>
    <n v="691"/>
    <x v="1"/>
    <n v="2"/>
    <n v="3"/>
    <s v="Medical"/>
    <n v="1"/>
    <n v="815"/>
    <n v="3"/>
    <s v="Male"/>
    <n v="64"/>
    <n v="3"/>
    <n v="4"/>
    <x v="7"/>
    <n v="3"/>
    <s v="Married"/>
    <n v="17639"/>
    <n v="6881"/>
    <n v="5"/>
    <s v="Y"/>
    <s v="No"/>
    <n v="16"/>
    <n v="3"/>
    <n v="4"/>
    <n v="80"/>
    <n v="0"/>
    <n v="30"/>
    <n v="3"/>
    <n v="3"/>
    <n v="4"/>
    <n v="3"/>
    <n v="0"/>
    <n v="3"/>
    <s v="OK"/>
    <s v="OK"/>
    <s v="OK"/>
    <s v="OK"/>
    <x v="0"/>
    <n v="0.75"/>
    <n v="0.75"/>
    <n v="0.75"/>
  </r>
  <r>
    <n v="29"/>
    <s v="Yes"/>
    <s v="Travel_Rarely"/>
    <n v="805"/>
    <x v="1"/>
    <n v="1"/>
    <n v="2"/>
    <s v="Life Sciences"/>
    <n v="1"/>
    <n v="816"/>
    <n v="2"/>
    <s v="Female"/>
    <n v="36"/>
    <n v="2"/>
    <n v="1"/>
    <x v="2"/>
    <n v="1"/>
    <s v="Married"/>
    <n v="2319"/>
    <n v="6689"/>
    <n v="1"/>
    <s v="Y"/>
    <s v="Yes"/>
    <n v="11"/>
    <n v="3"/>
    <n v="4"/>
    <n v="80"/>
    <n v="1"/>
    <n v="1"/>
    <n v="1"/>
    <n v="3"/>
    <n v="1"/>
    <n v="0"/>
    <n v="0"/>
    <n v="0"/>
    <s v="OK"/>
    <s v="OK"/>
    <s v="OK"/>
    <s v="OK"/>
    <x v="0"/>
    <n v="0"/>
    <n v="1"/>
    <n v="0"/>
  </r>
  <r>
    <n v="33"/>
    <s v="No"/>
    <s v="Travel_Rarely"/>
    <n v="213"/>
    <x v="1"/>
    <n v="7"/>
    <n v="3"/>
    <s v="Medical"/>
    <n v="1"/>
    <n v="817"/>
    <n v="3"/>
    <s v="Male"/>
    <n v="49"/>
    <n v="3"/>
    <n v="3"/>
    <x v="7"/>
    <n v="3"/>
    <s v="Married"/>
    <n v="11691"/>
    <n v="25995"/>
    <n v="0"/>
    <s v="Y"/>
    <s v="No"/>
    <n v="11"/>
    <n v="3"/>
    <n v="4"/>
    <n v="80"/>
    <n v="0"/>
    <n v="14"/>
    <n v="3"/>
    <n v="4"/>
    <n v="13"/>
    <n v="9"/>
    <n v="3"/>
    <n v="7"/>
    <s v="OK"/>
    <s v="OK"/>
    <s v="OK"/>
    <s v="OK"/>
    <x v="50"/>
    <n v="0.69230769230769229"/>
    <n v="0.23076923076923078"/>
    <n v="0.53846153846153844"/>
  </r>
  <r>
    <n v="33"/>
    <s v="Yes"/>
    <s v="Travel_Rarely"/>
    <n v="118"/>
    <x v="0"/>
    <n v="16"/>
    <n v="3"/>
    <s v="Marketing"/>
    <n v="1"/>
    <n v="819"/>
    <n v="1"/>
    <s v="Female"/>
    <n v="69"/>
    <n v="3"/>
    <n v="2"/>
    <x v="0"/>
    <n v="1"/>
    <s v="Single"/>
    <n v="5324"/>
    <n v="26507"/>
    <n v="5"/>
    <s v="Y"/>
    <s v="No"/>
    <n v="15"/>
    <n v="3"/>
    <n v="3"/>
    <n v="80"/>
    <n v="0"/>
    <n v="6"/>
    <n v="3"/>
    <n v="3"/>
    <n v="3"/>
    <n v="2"/>
    <n v="0"/>
    <n v="2"/>
    <s v="OK"/>
    <s v="OK"/>
    <s v="OK"/>
    <s v="OK"/>
    <x v="0"/>
    <n v="0.66666666666666663"/>
    <n v="1"/>
    <n v="0.66666666666666663"/>
  </r>
  <r>
    <n v="47"/>
    <s v="No"/>
    <s v="Travel_Rarely"/>
    <n v="202"/>
    <x v="1"/>
    <n v="2"/>
    <n v="2"/>
    <s v="Other"/>
    <n v="1"/>
    <n v="820"/>
    <n v="3"/>
    <s v="Female"/>
    <n v="33"/>
    <n v="3"/>
    <n v="4"/>
    <x v="5"/>
    <n v="4"/>
    <s v="Married"/>
    <n v="16752"/>
    <n v="12982"/>
    <n v="1"/>
    <s v="Y"/>
    <s v="Yes"/>
    <n v="11"/>
    <n v="3"/>
    <n v="3"/>
    <n v="80"/>
    <n v="1"/>
    <n v="26"/>
    <n v="3"/>
    <n v="2"/>
    <n v="26"/>
    <n v="14"/>
    <n v="3"/>
    <n v="0"/>
    <s v="OK"/>
    <s v="OK"/>
    <s v="OK"/>
    <s v="OK"/>
    <x v="77"/>
    <n v="0.53846153846153844"/>
    <n v="0.11538461538461539"/>
    <n v="0"/>
  </r>
  <r>
    <n v="36"/>
    <s v="No"/>
    <s v="Travel_Rarely"/>
    <n v="676"/>
    <x v="1"/>
    <n v="1"/>
    <n v="3"/>
    <s v="Other"/>
    <n v="1"/>
    <n v="823"/>
    <n v="3"/>
    <s v="Female"/>
    <n v="35"/>
    <n v="3"/>
    <n v="2"/>
    <x v="3"/>
    <n v="2"/>
    <s v="Married"/>
    <n v="5228"/>
    <n v="23361"/>
    <n v="0"/>
    <s v="Y"/>
    <s v="No"/>
    <n v="15"/>
    <n v="3"/>
    <n v="1"/>
    <n v="80"/>
    <n v="1"/>
    <n v="10"/>
    <n v="2"/>
    <n v="3"/>
    <n v="9"/>
    <n v="7"/>
    <n v="0"/>
    <n v="5"/>
    <s v="OK"/>
    <s v="OK"/>
    <s v="OK"/>
    <s v="OK"/>
    <x v="0"/>
    <n v="0.77777777777777779"/>
    <n v="0.22222222222222221"/>
    <n v="0.55555555555555558"/>
  </r>
  <r>
    <n v="29"/>
    <s v="No"/>
    <s v="Travel_Rarely"/>
    <n v="1252"/>
    <x v="1"/>
    <n v="23"/>
    <n v="2"/>
    <s v="Life Sciences"/>
    <n v="1"/>
    <n v="824"/>
    <n v="3"/>
    <s v="Male"/>
    <n v="81"/>
    <n v="4"/>
    <n v="1"/>
    <x v="1"/>
    <n v="3"/>
    <s v="Married"/>
    <n v="2700"/>
    <n v="23779"/>
    <n v="1"/>
    <s v="Y"/>
    <s v="No"/>
    <n v="24"/>
    <n v="4"/>
    <n v="3"/>
    <n v="80"/>
    <n v="1"/>
    <n v="10"/>
    <n v="3"/>
    <n v="3"/>
    <n v="10"/>
    <n v="7"/>
    <n v="0"/>
    <n v="7"/>
    <s v="OK"/>
    <s v="OK"/>
    <s v="OK"/>
    <s v="OK"/>
    <x v="0"/>
    <n v="0.7"/>
    <n v="0.3"/>
    <n v="0.7"/>
  </r>
  <r>
    <n v="58"/>
    <s v="Yes"/>
    <s v="Travel_Rarely"/>
    <n v="286"/>
    <x v="1"/>
    <n v="2"/>
    <n v="4"/>
    <s v="Life Sciences"/>
    <n v="1"/>
    <n v="825"/>
    <n v="4"/>
    <s v="Male"/>
    <n v="31"/>
    <n v="3"/>
    <n v="5"/>
    <x v="7"/>
    <n v="2"/>
    <s v="Single"/>
    <n v="19246"/>
    <n v="25761"/>
    <n v="7"/>
    <s v="Y"/>
    <s v="Yes"/>
    <n v="12"/>
    <n v="3"/>
    <n v="4"/>
    <n v="80"/>
    <n v="0"/>
    <n v="40"/>
    <n v="2"/>
    <n v="3"/>
    <n v="31"/>
    <n v="15"/>
    <n v="13"/>
    <n v="8"/>
    <s v="OK"/>
    <s v="OK"/>
    <s v="OK"/>
    <s v="OK"/>
    <x v="78"/>
    <n v="0.4838709677419355"/>
    <n v="6.4516129032258063E-2"/>
    <n v="0.25806451612903225"/>
  </r>
  <r>
    <n v="35"/>
    <s v="No"/>
    <s v="Travel_Rarely"/>
    <n v="1258"/>
    <x v="1"/>
    <n v="1"/>
    <n v="4"/>
    <s v="Life Sciences"/>
    <n v="1"/>
    <n v="826"/>
    <n v="4"/>
    <s v="Female"/>
    <n v="40"/>
    <n v="4"/>
    <n v="1"/>
    <x v="1"/>
    <n v="3"/>
    <s v="Single"/>
    <n v="2506"/>
    <n v="13301"/>
    <n v="3"/>
    <s v="Y"/>
    <s v="No"/>
    <n v="13"/>
    <n v="3"/>
    <n v="3"/>
    <n v="80"/>
    <n v="0"/>
    <n v="7"/>
    <n v="0"/>
    <n v="3"/>
    <n v="2"/>
    <n v="2"/>
    <n v="2"/>
    <n v="2"/>
    <s v="OK"/>
    <s v="OK"/>
    <s v="OK"/>
    <s v="OK"/>
    <x v="3"/>
    <n v="1"/>
    <n v="0"/>
    <n v="1"/>
  </r>
  <r>
    <n v="42"/>
    <s v="No"/>
    <s v="Travel_Rarely"/>
    <n v="932"/>
    <x v="1"/>
    <n v="1"/>
    <n v="2"/>
    <s v="Life Sciences"/>
    <n v="1"/>
    <n v="827"/>
    <n v="4"/>
    <s v="Female"/>
    <n v="43"/>
    <n v="2"/>
    <n v="2"/>
    <x v="3"/>
    <n v="4"/>
    <s v="Married"/>
    <n v="6062"/>
    <n v="4051"/>
    <n v="9"/>
    <s v="Y"/>
    <s v="Yes"/>
    <n v="13"/>
    <n v="3"/>
    <n v="4"/>
    <n v="80"/>
    <n v="1"/>
    <n v="8"/>
    <n v="4"/>
    <n v="3"/>
    <n v="4"/>
    <n v="3"/>
    <n v="0"/>
    <n v="2"/>
    <s v="OK"/>
    <s v="OK"/>
    <s v="OK"/>
    <s v="OK"/>
    <x v="0"/>
    <n v="0.75"/>
    <n v="1"/>
    <n v="0.5"/>
  </r>
  <r>
    <n v="28"/>
    <s v="Yes"/>
    <s v="Travel_Rarely"/>
    <n v="890"/>
    <x v="1"/>
    <n v="2"/>
    <n v="4"/>
    <s v="Medical"/>
    <n v="1"/>
    <n v="828"/>
    <n v="3"/>
    <s v="Male"/>
    <n v="46"/>
    <n v="3"/>
    <n v="1"/>
    <x v="1"/>
    <n v="3"/>
    <s v="Single"/>
    <n v="4382"/>
    <n v="16374"/>
    <n v="6"/>
    <s v="Y"/>
    <s v="No"/>
    <n v="17"/>
    <n v="3"/>
    <n v="4"/>
    <n v="80"/>
    <n v="0"/>
    <n v="5"/>
    <n v="3"/>
    <n v="2"/>
    <n v="2"/>
    <n v="2"/>
    <n v="2"/>
    <n v="1"/>
    <s v="OK"/>
    <s v="OK"/>
    <s v="OK"/>
    <s v="OK"/>
    <x v="3"/>
    <n v="1"/>
    <n v="1.5"/>
    <n v="0.5"/>
  </r>
  <r>
    <n v="36"/>
    <s v="No"/>
    <s v="Travel_Rarely"/>
    <n v="1041"/>
    <x v="2"/>
    <n v="13"/>
    <n v="3"/>
    <s v="Human Resources"/>
    <n v="1"/>
    <n v="829"/>
    <n v="3"/>
    <s v="Male"/>
    <n v="36"/>
    <n v="3"/>
    <n v="1"/>
    <x v="8"/>
    <n v="2"/>
    <s v="Married"/>
    <n v="2143"/>
    <n v="25527"/>
    <n v="4"/>
    <s v="Y"/>
    <s v="No"/>
    <n v="13"/>
    <n v="3"/>
    <n v="2"/>
    <n v="80"/>
    <n v="1"/>
    <n v="8"/>
    <n v="2"/>
    <n v="3"/>
    <n v="5"/>
    <n v="2"/>
    <n v="0"/>
    <n v="4"/>
    <s v="OK"/>
    <s v="OK"/>
    <s v="OK"/>
    <s v="OK"/>
    <x v="0"/>
    <n v="0.4"/>
    <n v="0.4"/>
    <n v="0.8"/>
  </r>
  <r>
    <n v="32"/>
    <s v="No"/>
    <s v="Travel_Rarely"/>
    <n v="859"/>
    <x v="1"/>
    <n v="4"/>
    <n v="3"/>
    <s v="Life Sciences"/>
    <n v="1"/>
    <n v="830"/>
    <n v="3"/>
    <s v="Female"/>
    <n v="98"/>
    <n v="2"/>
    <n v="2"/>
    <x v="3"/>
    <n v="3"/>
    <s v="Married"/>
    <n v="6162"/>
    <n v="19124"/>
    <n v="1"/>
    <s v="Y"/>
    <s v="No"/>
    <n v="12"/>
    <n v="3"/>
    <n v="3"/>
    <n v="80"/>
    <n v="1"/>
    <n v="14"/>
    <n v="3"/>
    <n v="3"/>
    <n v="14"/>
    <n v="13"/>
    <n v="6"/>
    <n v="8"/>
    <s v="OK"/>
    <s v="OK"/>
    <s v="OK"/>
    <s v="OK"/>
    <x v="4"/>
    <n v="0.9285714285714286"/>
    <n v="0.21428571428571427"/>
    <n v="0.5714285714285714"/>
  </r>
  <r>
    <n v="40"/>
    <s v="No"/>
    <s v="Travel_Frequently"/>
    <n v="720"/>
    <x v="1"/>
    <n v="16"/>
    <n v="4"/>
    <s v="Medical"/>
    <n v="1"/>
    <n v="832"/>
    <n v="1"/>
    <s v="Male"/>
    <n v="51"/>
    <n v="2"/>
    <n v="2"/>
    <x v="2"/>
    <n v="3"/>
    <s v="Single"/>
    <n v="5094"/>
    <n v="11983"/>
    <n v="6"/>
    <s v="Y"/>
    <s v="No"/>
    <n v="14"/>
    <n v="3"/>
    <n v="4"/>
    <n v="80"/>
    <n v="0"/>
    <n v="10"/>
    <n v="6"/>
    <n v="3"/>
    <n v="1"/>
    <n v="0"/>
    <n v="0"/>
    <n v="0"/>
    <s v="OK"/>
    <s v="OK"/>
    <s v="OK"/>
    <s v="OK"/>
    <x v="0"/>
    <n v="0"/>
    <n v="6"/>
    <n v="0"/>
  </r>
  <r>
    <n v="30"/>
    <s v="No"/>
    <s v="Travel_Rarely"/>
    <n v="946"/>
    <x v="1"/>
    <n v="2"/>
    <n v="3"/>
    <s v="Medical"/>
    <n v="1"/>
    <n v="833"/>
    <n v="3"/>
    <s v="Female"/>
    <n v="52"/>
    <n v="2"/>
    <n v="2"/>
    <x v="3"/>
    <n v="4"/>
    <s v="Single"/>
    <n v="6877"/>
    <n v="20234"/>
    <n v="5"/>
    <s v="Y"/>
    <s v="Yes"/>
    <n v="24"/>
    <n v="4"/>
    <n v="2"/>
    <n v="80"/>
    <n v="0"/>
    <n v="12"/>
    <n v="4"/>
    <n v="2"/>
    <n v="0"/>
    <n v="0"/>
    <n v="0"/>
    <n v="0"/>
    <s v="OK"/>
    <s v="OK"/>
    <s v="OK"/>
    <s v="OK"/>
    <x v="0"/>
    <n v="0"/>
    <n v="0"/>
    <n v="0"/>
  </r>
  <r>
    <n v="45"/>
    <s v="No"/>
    <s v="Travel_Rarely"/>
    <n v="252"/>
    <x v="1"/>
    <n v="2"/>
    <n v="3"/>
    <s v="Life Sciences"/>
    <n v="1"/>
    <n v="834"/>
    <n v="2"/>
    <s v="Female"/>
    <n v="95"/>
    <n v="2"/>
    <n v="1"/>
    <x v="1"/>
    <n v="3"/>
    <s v="Single"/>
    <n v="2274"/>
    <n v="6153"/>
    <n v="1"/>
    <s v="Y"/>
    <s v="No"/>
    <n v="14"/>
    <n v="3"/>
    <n v="4"/>
    <n v="80"/>
    <n v="0"/>
    <n v="1"/>
    <n v="3"/>
    <n v="3"/>
    <n v="1"/>
    <n v="0"/>
    <n v="0"/>
    <n v="0"/>
    <s v="OK"/>
    <s v="OK"/>
    <s v="OK"/>
    <s v="OK"/>
    <x v="0"/>
    <n v="0"/>
    <n v="3"/>
    <n v="0"/>
  </r>
  <r>
    <n v="42"/>
    <s v="No"/>
    <s v="Travel_Rarely"/>
    <n v="933"/>
    <x v="1"/>
    <n v="29"/>
    <n v="3"/>
    <s v="Life Sciences"/>
    <n v="1"/>
    <n v="836"/>
    <n v="2"/>
    <s v="Male"/>
    <n v="98"/>
    <n v="3"/>
    <n v="2"/>
    <x v="3"/>
    <n v="2"/>
    <s v="Married"/>
    <n v="4434"/>
    <n v="11806"/>
    <n v="1"/>
    <s v="Y"/>
    <s v="No"/>
    <n v="13"/>
    <n v="3"/>
    <n v="4"/>
    <n v="80"/>
    <n v="1"/>
    <n v="10"/>
    <n v="3"/>
    <n v="2"/>
    <n v="9"/>
    <n v="8"/>
    <n v="7"/>
    <n v="8"/>
    <s v="OK"/>
    <s v="OK"/>
    <s v="OK"/>
    <s v="OK"/>
    <x v="21"/>
    <n v="0.88888888888888884"/>
    <n v="0.33333333333333331"/>
    <n v="0.88888888888888884"/>
  </r>
  <r>
    <n v="38"/>
    <s v="No"/>
    <s v="Travel_Frequently"/>
    <n v="471"/>
    <x v="1"/>
    <n v="12"/>
    <n v="3"/>
    <s v="Life Sciences"/>
    <n v="1"/>
    <n v="837"/>
    <n v="1"/>
    <s v="Male"/>
    <n v="45"/>
    <n v="2"/>
    <n v="2"/>
    <x v="4"/>
    <n v="1"/>
    <s v="Divorced"/>
    <n v="6288"/>
    <n v="4284"/>
    <n v="2"/>
    <s v="Y"/>
    <s v="No"/>
    <n v="15"/>
    <n v="3"/>
    <n v="3"/>
    <n v="80"/>
    <n v="1"/>
    <n v="13"/>
    <n v="3"/>
    <n v="2"/>
    <n v="4"/>
    <n v="3"/>
    <n v="1"/>
    <n v="2"/>
    <s v="OK"/>
    <s v="OK"/>
    <s v="OK"/>
    <s v="OK"/>
    <x v="10"/>
    <n v="0.75"/>
    <n v="0.75"/>
    <n v="0.5"/>
  </r>
  <r>
    <n v="34"/>
    <s v="No"/>
    <s v="Travel_Frequently"/>
    <n v="702"/>
    <x v="1"/>
    <n v="16"/>
    <n v="4"/>
    <s v="Life Sciences"/>
    <n v="1"/>
    <n v="838"/>
    <n v="3"/>
    <s v="Female"/>
    <n v="100"/>
    <n v="2"/>
    <n v="1"/>
    <x v="1"/>
    <n v="4"/>
    <s v="Single"/>
    <n v="2553"/>
    <n v="8306"/>
    <n v="1"/>
    <s v="Y"/>
    <s v="No"/>
    <n v="16"/>
    <n v="3"/>
    <n v="3"/>
    <n v="80"/>
    <n v="0"/>
    <n v="6"/>
    <n v="3"/>
    <n v="3"/>
    <n v="5"/>
    <n v="2"/>
    <n v="1"/>
    <n v="3"/>
    <s v="OK"/>
    <s v="OK"/>
    <s v="OK"/>
    <s v="OK"/>
    <x v="16"/>
    <n v="0.4"/>
    <n v="0.6"/>
    <n v="0.6"/>
  </r>
  <r>
    <n v="49"/>
    <s v="Yes"/>
    <s v="Travel_Rarely"/>
    <n v="1184"/>
    <x v="0"/>
    <n v="11"/>
    <n v="3"/>
    <s v="Marketing"/>
    <n v="1"/>
    <n v="840"/>
    <n v="3"/>
    <s v="Female"/>
    <n v="43"/>
    <n v="3"/>
    <n v="3"/>
    <x v="0"/>
    <n v="4"/>
    <s v="Married"/>
    <n v="7654"/>
    <n v="5860"/>
    <n v="1"/>
    <s v="Y"/>
    <s v="No"/>
    <n v="18"/>
    <n v="3"/>
    <n v="1"/>
    <n v="80"/>
    <n v="2"/>
    <n v="9"/>
    <n v="3"/>
    <n v="4"/>
    <n v="9"/>
    <n v="8"/>
    <n v="7"/>
    <n v="7"/>
    <s v="OK"/>
    <s v="OK"/>
    <s v="OK"/>
    <s v="OK"/>
    <x v="21"/>
    <n v="0.88888888888888884"/>
    <n v="0.33333333333333331"/>
    <n v="0.77777777777777779"/>
  </r>
  <r>
    <n v="55"/>
    <s v="Yes"/>
    <s v="Travel_Rarely"/>
    <n v="436"/>
    <x v="0"/>
    <n v="2"/>
    <n v="1"/>
    <s v="Medical"/>
    <n v="1"/>
    <n v="842"/>
    <n v="3"/>
    <s v="Male"/>
    <n v="37"/>
    <n v="3"/>
    <n v="2"/>
    <x v="0"/>
    <n v="4"/>
    <s v="Single"/>
    <n v="5160"/>
    <n v="21519"/>
    <n v="4"/>
    <s v="Y"/>
    <s v="No"/>
    <n v="16"/>
    <n v="3"/>
    <n v="3"/>
    <n v="80"/>
    <n v="0"/>
    <n v="12"/>
    <n v="3"/>
    <n v="2"/>
    <n v="9"/>
    <n v="7"/>
    <n v="7"/>
    <n v="3"/>
    <s v="OK"/>
    <s v="OK"/>
    <s v="OK"/>
    <s v="OK"/>
    <x v="21"/>
    <n v="0.77777777777777779"/>
    <n v="0.33333333333333331"/>
    <n v="0.33333333333333331"/>
  </r>
  <r>
    <n v="43"/>
    <s v="No"/>
    <s v="Travel_Rarely"/>
    <n v="589"/>
    <x v="1"/>
    <n v="14"/>
    <n v="2"/>
    <s v="Life Sciences"/>
    <n v="1"/>
    <n v="843"/>
    <n v="2"/>
    <s v="Male"/>
    <n v="94"/>
    <n v="3"/>
    <n v="4"/>
    <x v="7"/>
    <n v="1"/>
    <s v="Married"/>
    <n v="17159"/>
    <n v="5200"/>
    <n v="6"/>
    <s v="Y"/>
    <s v="No"/>
    <n v="24"/>
    <n v="4"/>
    <n v="3"/>
    <n v="80"/>
    <n v="1"/>
    <n v="22"/>
    <n v="3"/>
    <n v="3"/>
    <n v="4"/>
    <n v="1"/>
    <n v="1"/>
    <n v="0"/>
    <s v="OK"/>
    <s v="OK"/>
    <s v="OK"/>
    <s v="OK"/>
    <x v="10"/>
    <n v="0.25"/>
    <n v="0.75"/>
    <n v="0"/>
  </r>
  <r>
    <n v="27"/>
    <s v="No"/>
    <s v="Travel_Rarely"/>
    <n v="269"/>
    <x v="1"/>
    <n v="5"/>
    <n v="1"/>
    <s v="Technical Degree"/>
    <n v="1"/>
    <n v="844"/>
    <n v="3"/>
    <s v="Male"/>
    <n v="42"/>
    <n v="2"/>
    <n v="3"/>
    <x v="7"/>
    <n v="4"/>
    <s v="Divorced"/>
    <n v="12808"/>
    <n v="8842"/>
    <n v="1"/>
    <s v="Y"/>
    <s v="Yes"/>
    <n v="16"/>
    <n v="3"/>
    <n v="2"/>
    <n v="80"/>
    <n v="1"/>
    <n v="9"/>
    <n v="3"/>
    <n v="3"/>
    <n v="9"/>
    <n v="8"/>
    <n v="0"/>
    <n v="8"/>
    <s v="OK"/>
    <s v="OK"/>
    <s v="OK"/>
    <s v="OK"/>
    <x v="0"/>
    <n v="0.88888888888888884"/>
    <n v="0.33333333333333331"/>
    <n v="0.88888888888888884"/>
  </r>
  <r>
    <n v="35"/>
    <s v="No"/>
    <s v="Travel_Rarely"/>
    <n v="950"/>
    <x v="1"/>
    <n v="7"/>
    <n v="3"/>
    <s v="Other"/>
    <n v="1"/>
    <n v="845"/>
    <n v="3"/>
    <s v="Male"/>
    <n v="59"/>
    <n v="3"/>
    <n v="3"/>
    <x v="3"/>
    <n v="3"/>
    <s v="Single"/>
    <n v="10221"/>
    <n v="18869"/>
    <n v="3"/>
    <s v="Y"/>
    <s v="No"/>
    <n v="21"/>
    <n v="4"/>
    <n v="2"/>
    <n v="80"/>
    <n v="0"/>
    <n v="17"/>
    <n v="3"/>
    <n v="4"/>
    <n v="8"/>
    <n v="5"/>
    <n v="1"/>
    <n v="6"/>
    <s v="OK"/>
    <s v="OK"/>
    <s v="OK"/>
    <s v="OK"/>
    <x v="33"/>
    <n v="0.625"/>
    <n v="0.375"/>
    <n v="0.75"/>
  </r>
  <r>
    <n v="28"/>
    <s v="No"/>
    <s v="Travel_Rarely"/>
    <n v="760"/>
    <x v="0"/>
    <n v="2"/>
    <n v="4"/>
    <s v="Marketing"/>
    <n v="1"/>
    <n v="846"/>
    <n v="2"/>
    <s v="Female"/>
    <n v="81"/>
    <n v="3"/>
    <n v="2"/>
    <x v="0"/>
    <n v="2"/>
    <s v="Married"/>
    <n v="4779"/>
    <n v="3698"/>
    <n v="1"/>
    <s v="Y"/>
    <s v="Yes"/>
    <n v="20"/>
    <n v="4"/>
    <n v="1"/>
    <n v="80"/>
    <n v="0"/>
    <n v="8"/>
    <n v="2"/>
    <n v="3"/>
    <n v="8"/>
    <n v="7"/>
    <n v="7"/>
    <n v="5"/>
    <s v="OK"/>
    <s v="OK"/>
    <s v="OK"/>
    <s v="OK"/>
    <x v="43"/>
    <n v="0.875"/>
    <n v="0.25"/>
    <n v="0.625"/>
  </r>
  <r>
    <n v="34"/>
    <s v="No"/>
    <s v="Travel_Rarely"/>
    <n v="829"/>
    <x v="2"/>
    <n v="3"/>
    <n v="2"/>
    <s v="Human Resources"/>
    <n v="1"/>
    <n v="847"/>
    <n v="3"/>
    <s v="Male"/>
    <n v="88"/>
    <n v="3"/>
    <n v="1"/>
    <x v="8"/>
    <n v="4"/>
    <s v="Married"/>
    <n v="3737"/>
    <n v="2243"/>
    <n v="0"/>
    <s v="Y"/>
    <s v="No"/>
    <n v="19"/>
    <n v="3"/>
    <n v="3"/>
    <n v="80"/>
    <n v="1"/>
    <n v="4"/>
    <n v="1"/>
    <n v="1"/>
    <n v="3"/>
    <n v="2"/>
    <n v="0"/>
    <n v="2"/>
    <s v="OK"/>
    <s v="OK"/>
    <s v="OK"/>
    <s v="OK"/>
    <x v="0"/>
    <n v="0.66666666666666663"/>
    <n v="0.33333333333333331"/>
    <n v="0.66666666666666663"/>
  </r>
  <r>
    <n v="26"/>
    <s v="Yes"/>
    <s v="Travel_Frequently"/>
    <n v="887"/>
    <x v="1"/>
    <n v="5"/>
    <n v="2"/>
    <s v="Medical"/>
    <n v="1"/>
    <n v="848"/>
    <n v="3"/>
    <s v="Female"/>
    <n v="88"/>
    <n v="2"/>
    <n v="1"/>
    <x v="1"/>
    <n v="3"/>
    <s v="Married"/>
    <n v="2366"/>
    <n v="20898"/>
    <n v="1"/>
    <s v="Y"/>
    <s v="Yes"/>
    <n v="14"/>
    <n v="3"/>
    <n v="1"/>
    <n v="80"/>
    <n v="1"/>
    <n v="8"/>
    <n v="2"/>
    <n v="3"/>
    <n v="8"/>
    <n v="7"/>
    <n v="1"/>
    <n v="7"/>
    <s v="OK"/>
    <s v="OK"/>
    <s v="OK"/>
    <s v="OK"/>
    <x v="33"/>
    <n v="0.875"/>
    <n v="0.25"/>
    <n v="0.875"/>
  </r>
  <r>
    <n v="27"/>
    <s v="No"/>
    <s v="Non-Travel"/>
    <n v="443"/>
    <x v="1"/>
    <n v="3"/>
    <n v="3"/>
    <s v="Medical"/>
    <n v="1"/>
    <n v="850"/>
    <n v="4"/>
    <s v="Male"/>
    <n v="50"/>
    <n v="3"/>
    <n v="1"/>
    <x v="1"/>
    <n v="4"/>
    <s v="Married"/>
    <n v="1706"/>
    <n v="16571"/>
    <n v="1"/>
    <s v="Y"/>
    <s v="No"/>
    <n v="11"/>
    <n v="3"/>
    <n v="3"/>
    <n v="80"/>
    <n v="3"/>
    <n v="0"/>
    <n v="6"/>
    <n v="2"/>
    <n v="0"/>
    <n v="0"/>
    <n v="0"/>
    <n v="0"/>
    <s v="OK"/>
    <s v="OK"/>
    <s v="OK"/>
    <s v="OK"/>
    <x v="0"/>
    <n v="0"/>
    <n v="0"/>
    <n v="0"/>
  </r>
  <r>
    <n v="51"/>
    <s v="No"/>
    <s v="Travel_Rarely"/>
    <n v="1318"/>
    <x v="0"/>
    <n v="26"/>
    <n v="4"/>
    <s v="Marketing"/>
    <n v="1"/>
    <n v="851"/>
    <n v="1"/>
    <s v="Female"/>
    <n v="66"/>
    <n v="3"/>
    <n v="4"/>
    <x v="5"/>
    <n v="3"/>
    <s v="Married"/>
    <n v="16307"/>
    <n v="5594"/>
    <n v="2"/>
    <s v="Y"/>
    <s v="No"/>
    <n v="14"/>
    <n v="3"/>
    <n v="3"/>
    <n v="80"/>
    <n v="1"/>
    <n v="29"/>
    <n v="2"/>
    <n v="2"/>
    <n v="20"/>
    <n v="6"/>
    <n v="4"/>
    <n v="17"/>
    <s v="OK"/>
    <s v="OK"/>
    <s v="OK"/>
    <s v="OK"/>
    <x v="16"/>
    <n v="0.3"/>
    <n v="0.1"/>
    <n v="0.85"/>
  </r>
  <r>
    <n v="44"/>
    <s v="No"/>
    <s v="Travel_Rarely"/>
    <n v="625"/>
    <x v="1"/>
    <n v="4"/>
    <n v="3"/>
    <s v="Medical"/>
    <n v="1"/>
    <n v="852"/>
    <n v="4"/>
    <s v="Male"/>
    <n v="50"/>
    <n v="3"/>
    <n v="2"/>
    <x v="4"/>
    <n v="2"/>
    <s v="Single"/>
    <n v="5933"/>
    <n v="5197"/>
    <n v="9"/>
    <s v="Y"/>
    <s v="No"/>
    <n v="12"/>
    <n v="3"/>
    <n v="4"/>
    <n v="80"/>
    <n v="0"/>
    <n v="10"/>
    <n v="2"/>
    <n v="2"/>
    <n v="5"/>
    <n v="2"/>
    <n v="2"/>
    <n v="3"/>
    <s v="OK"/>
    <s v="OK"/>
    <s v="OK"/>
    <s v="OK"/>
    <x v="46"/>
    <n v="0.4"/>
    <n v="0.4"/>
    <n v="0.6"/>
  </r>
  <r>
    <n v="25"/>
    <s v="No"/>
    <s v="Travel_Rarely"/>
    <n v="180"/>
    <x v="1"/>
    <n v="2"/>
    <n v="1"/>
    <s v="Medical"/>
    <n v="1"/>
    <n v="854"/>
    <n v="1"/>
    <s v="Male"/>
    <n v="65"/>
    <n v="4"/>
    <n v="1"/>
    <x v="1"/>
    <n v="1"/>
    <s v="Single"/>
    <n v="3424"/>
    <n v="21632"/>
    <n v="7"/>
    <s v="Y"/>
    <s v="No"/>
    <n v="13"/>
    <n v="3"/>
    <n v="3"/>
    <n v="80"/>
    <n v="0"/>
    <n v="6"/>
    <n v="3"/>
    <n v="2"/>
    <n v="4"/>
    <n v="3"/>
    <n v="0"/>
    <n v="1"/>
    <s v="OK"/>
    <s v="OK"/>
    <s v="OK"/>
    <s v="OK"/>
    <x v="0"/>
    <n v="0.75"/>
    <n v="0.75"/>
    <n v="0.25"/>
  </r>
  <r>
    <n v="33"/>
    <s v="No"/>
    <s v="Travel_Rarely"/>
    <n v="586"/>
    <x v="0"/>
    <n v="1"/>
    <n v="3"/>
    <s v="Medical"/>
    <n v="1"/>
    <n v="855"/>
    <n v="1"/>
    <s v="Male"/>
    <n v="48"/>
    <n v="4"/>
    <n v="2"/>
    <x v="0"/>
    <n v="1"/>
    <s v="Divorced"/>
    <n v="4037"/>
    <n v="21816"/>
    <n v="1"/>
    <s v="Y"/>
    <s v="No"/>
    <n v="22"/>
    <n v="4"/>
    <n v="1"/>
    <n v="80"/>
    <n v="1"/>
    <n v="9"/>
    <n v="5"/>
    <n v="3"/>
    <n v="9"/>
    <n v="8"/>
    <n v="0"/>
    <n v="8"/>
    <s v="OK"/>
    <s v="OK"/>
    <s v="OK"/>
    <s v="OK"/>
    <x v="0"/>
    <n v="0.88888888888888884"/>
    <n v="0.55555555555555558"/>
    <n v="0.88888888888888884"/>
  </r>
  <r>
    <n v="35"/>
    <s v="No"/>
    <s v="Travel_Rarely"/>
    <n v="1343"/>
    <x v="1"/>
    <n v="27"/>
    <n v="1"/>
    <s v="Medical"/>
    <n v="1"/>
    <n v="856"/>
    <n v="3"/>
    <s v="Female"/>
    <n v="53"/>
    <n v="2"/>
    <n v="1"/>
    <x v="1"/>
    <n v="1"/>
    <s v="Single"/>
    <n v="2559"/>
    <n v="17852"/>
    <n v="1"/>
    <s v="Y"/>
    <s v="No"/>
    <n v="11"/>
    <n v="3"/>
    <n v="4"/>
    <n v="80"/>
    <n v="0"/>
    <n v="6"/>
    <n v="3"/>
    <n v="2"/>
    <n v="6"/>
    <n v="5"/>
    <n v="1"/>
    <n v="1"/>
    <s v="OK"/>
    <s v="OK"/>
    <s v="OK"/>
    <s v="OK"/>
    <x v="11"/>
    <n v="0.83333333333333337"/>
    <n v="0.5"/>
    <n v="0.16666666666666666"/>
  </r>
  <r>
    <n v="36"/>
    <s v="No"/>
    <s v="Travel_Rarely"/>
    <n v="928"/>
    <x v="0"/>
    <n v="1"/>
    <n v="2"/>
    <s v="Life Sciences"/>
    <n v="1"/>
    <n v="857"/>
    <n v="2"/>
    <s v="Male"/>
    <n v="56"/>
    <n v="3"/>
    <n v="2"/>
    <x v="0"/>
    <n v="4"/>
    <s v="Married"/>
    <n v="6201"/>
    <n v="2823"/>
    <n v="1"/>
    <s v="Y"/>
    <s v="Yes"/>
    <n v="14"/>
    <n v="3"/>
    <n v="4"/>
    <n v="80"/>
    <n v="1"/>
    <n v="18"/>
    <n v="1"/>
    <n v="2"/>
    <n v="18"/>
    <n v="14"/>
    <n v="4"/>
    <n v="11"/>
    <s v="OK"/>
    <s v="OK"/>
    <s v="OK"/>
    <s v="OK"/>
    <x v="36"/>
    <n v="0.77777777777777779"/>
    <n v="5.5555555555555552E-2"/>
    <n v="0.61111111111111116"/>
  </r>
  <r>
    <n v="32"/>
    <s v="No"/>
    <s v="Travel_Rarely"/>
    <n v="117"/>
    <x v="0"/>
    <n v="13"/>
    <n v="4"/>
    <s v="Life Sciences"/>
    <n v="1"/>
    <n v="859"/>
    <n v="2"/>
    <s v="Male"/>
    <n v="73"/>
    <n v="3"/>
    <n v="2"/>
    <x v="0"/>
    <n v="4"/>
    <s v="Divorced"/>
    <n v="4403"/>
    <n v="9250"/>
    <n v="2"/>
    <s v="Y"/>
    <s v="No"/>
    <n v="11"/>
    <n v="3"/>
    <n v="3"/>
    <n v="80"/>
    <n v="1"/>
    <n v="8"/>
    <n v="3"/>
    <n v="2"/>
    <n v="5"/>
    <n v="2"/>
    <n v="0"/>
    <n v="3"/>
    <s v="OK"/>
    <s v="OK"/>
    <s v="OK"/>
    <s v="OK"/>
    <x v="0"/>
    <n v="0.4"/>
    <n v="0.6"/>
    <n v="0.6"/>
  </r>
  <r>
    <n v="30"/>
    <s v="No"/>
    <s v="Travel_Frequently"/>
    <n v="1012"/>
    <x v="1"/>
    <n v="5"/>
    <n v="4"/>
    <s v="Life Sciences"/>
    <n v="1"/>
    <n v="861"/>
    <n v="2"/>
    <s v="Male"/>
    <n v="75"/>
    <n v="2"/>
    <n v="1"/>
    <x v="1"/>
    <n v="4"/>
    <s v="Divorced"/>
    <n v="3761"/>
    <n v="2373"/>
    <n v="9"/>
    <s v="Y"/>
    <s v="No"/>
    <n v="12"/>
    <n v="3"/>
    <n v="2"/>
    <n v="80"/>
    <n v="1"/>
    <n v="10"/>
    <n v="3"/>
    <n v="2"/>
    <n v="5"/>
    <n v="4"/>
    <n v="0"/>
    <n v="3"/>
    <s v="OK"/>
    <s v="OK"/>
    <s v="OK"/>
    <s v="OK"/>
    <x v="0"/>
    <n v="0.8"/>
    <n v="0.6"/>
    <n v="0.6"/>
  </r>
  <r>
    <n v="53"/>
    <s v="No"/>
    <s v="Travel_Rarely"/>
    <n v="661"/>
    <x v="0"/>
    <n v="7"/>
    <n v="2"/>
    <s v="Marketing"/>
    <n v="1"/>
    <n v="862"/>
    <n v="1"/>
    <s v="Female"/>
    <n v="78"/>
    <n v="2"/>
    <n v="3"/>
    <x v="0"/>
    <n v="4"/>
    <s v="Married"/>
    <n v="10934"/>
    <n v="20715"/>
    <n v="7"/>
    <s v="Y"/>
    <s v="Yes"/>
    <n v="18"/>
    <n v="3"/>
    <n v="4"/>
    <n v="80"/>
    <n v="1"/>
    <n v="35"/>
    <n v="3"/>
    <n v="3"/>
    <n v="5"/>
    <n v="2"/>
    <n v="0"/>
    <n v="4"/>
    <s v="OK"/>
    <s v="OK"/>
    <s v="OK"/>
    <s v="OK"/>
    <x v="0"/>
    <n v="0.4"/>
    <n v="0.6"/>
    <n v="0.8"/>
  </r>
  <r>
    <n v="45"/>
    <s v="No"/>
    <s v="Travel_Rarely"/>
    <n v="930"/>
    <x v="0"/>
    <n v="9"/>
    <n v="3"/>
    <s v="Marketing"/>
    <n v="1"/>
    <n v="864"/>
    <n v="4"/>
    <s v="Male"/>
    <n v="74"/>
    <n v="3"/>
    <n v="3"/>
    <x v="0"/>
    <n v="1"/>
    <s v="Divorced"/>
    <n v="10761"/>
    <n v="19239"/>
    <n v="4"/>
    <s v="Y"/>
    <s v="Yes"/>
    <n v="12"/>
    <n v="3"/>
    <n v="3"/>
    <n v="80"/>
    <n v="1"/>
    <n v="18"/>
    <n v="2"/>
    <n v="3"/>
    <n v="5"/>
    <n v="4"/>
    <n v="0"/>
    <n v="2"/>
    <s v="OK"/>
    <s v="OK"/>
    <s v="OK"/>
    <s v="OK"/>
    <x v="0"/>
    <n v="0.8"/>
    <n v="0.4"/>
    <n v="0.4"/>
  </r>
  <r>
    <n v="32"/>
    <s v="No"/>
    <s v="Travel_Rarely"/>
    <n v="638"/>
    <x v="1"/>
    <n v="8"/>
    <n v="2"/>
    <s v="Medical"/>
    <n v="1"/>
    <n v="865"/>
    <n v="3"/>
    <s v="Female"/>
    <n v="91"/>
    <n v="4"/>
    <n v="2"/>
    <x v="1"/>
    <n v="3"/>
    <s v="Married"/>
    <n v="5175"/>
    <n v="22162"/>
    <n v="5"/>
    <s v="Y"/>
    <s v="No"/>
    <n v="12"/>
    <n v="3"/>
    <n v="3"/>
    <n v="80"/>
    <n v="1"/>
    <n v="9"/>
    <n v="3"/>
    <n v="2"/>
    <n v="5"/>
    <n v="3"/>
    <n v="1"/>
    <n v="3"/>
    <s v="OK"/>
    <s v="OK"/>
    <s v="OK"/>
    <s v="OK"/>
    <x v="16"/>
    <n v="0.6"/>
    <n v="0.6"/>
    <n v="0.6"/>
  </r>
  <r>
    <n v="52"/>
    <s v="No"/>
    <s v="Travel_Frequently"/>
    <n v="890"/>
    <x v="1"/>
    <n v="25"/>
    <n v="4"/>
    <s v="Medical"/>
    <n v="1"/>
    <n v="867"/>
    <n v="3"/>
    <s v="Female"/>
    <n v="81"/>
    <n v="2"/>
    <n v="4"/>
    <x v="3"/>
    <n v="4"/>
    <s v="Married"/>
    <n v="13826"/>
    <n v="19028"/>
    <n v="3"/>
    <s v="Y"/>
    <s v="No"/>
    <n v="22"/>
    <n v="4"/>
    <n v="3"/>
    <n v="80"/>
    <n v="0"/>
    <n v="31"/>
    <n v="3"/>
    <n v="3"/>
    <n v="9"/>
    <n v="8"/>
    <n v="0"/>
    <n v="0"/>
    <s v="OK"/>
    <s v="OK"/>
    <s v="OK"/>
    <s v="OK"/>
    <x v="0"/>
    <n v="0.88888888888888884"/>
    <n v="0.33333333333333331"/>
    <n v="0"/>
  </r>
  <r>
    <n v="37"/>
    <s v="No"/>
    <s v="Travel_Rarely"/>
    <n v="342"/>
    <x v="0"/>
    <n v="16"/>
    <n v="4"/>
    <s v="Marketing"/>
    <n v="1"/>
    <n v="868"/>
    <n v="4"/>
    <s v="Male"/>
    <n v="66"/>
    <n v="2"/>
    <n v="2"/>
    <x v="0"/>
    <n v="3"/>
    <s v="Divorced"/>
    <n v="6334"/>
    <n v="24558"/>
    <n v="4"/>
    <s v="Y"/>
    <s v="No"/>
    <n v="19"/>
    <n v="3"/>
    <n v="4"/>
    <n v="80"/>
    <n v="2"/>
    <n v="9"/>
    <n v="2"/>
    <n v="3"/>
    <n v="1"/>
    <n v="0"/>
    <n v="0"/>
    <n v="0"/>
    <s v="OK"/>
    <s v="OK"/>
    <s v="OK"/>
    <s v="OK"/>
    <x v="0"/>
    <n v="0"/>
    <n v="2"/>
    <n v="0"/>
  </r>
  <r>
    <n v="28"/>
    <s v="No"/>
    <s v="Travel_Rarely"/>
    <n v="1169"/>
    <x v="2"/>
    <n v="8"/>
    <n v="2"/>
    <s v="Medical"/>
    <n v="1"/>
    <n v="869"/>
    <n v="2"/>
    <s v="Male"/>
    <n v="63"/>
    <n v="2"/>
    <n v="1"/>
    <x v="8"/>
    <n v="4"/>
    <s v="Divorced"/>
    <n v="4936"/>
    <n v="23965"/>
    <n v="1"/>
    <s v="Y"/>
    <s v="No"/>
    <n v="13"/>
    <n v="3"/>
    <n v="4"/>
    <n v="80"/>
    <n v="1"/>
    <n v="6"/>
    <n v="6"/>
    <n v="3"/>
    <n v="5"/>
    <n v="1"/>
    <n v="0"/>
    <n v="4"/>
    <s v="OK"/>
    <s v="OK"/>
    <s v="OK"/>
    <s v="OK"/>
    <x v="0"/>
    <n v="0.2"/>
    <n v="1.2"/>
    <n v="0.8"/>
  </r>
  <r>
    <n v="22"/>
    <s v="No"/>
    <s v="Travel_Rarely"/>
    <n v="1230"/>
    <x v="1"/>
    <n v="1"/>
    <n v="2"/>
    <s v="Life Sciences"/>
    <n v="1"/>
    <n v="872"/>
    <n v="4"/>
    <s v="Male"/>
    <n v="33"/>
    <n v="2"/>
    <n v="2"/>
    <x v="3"/>
    <n v="4"/>
    <s v="Married"/>
    <n v="4775"/>
    <n v="19146"/>
    <n v="6"/>
    <s v="Y"/>
    <s v="No"/>
    <n v="22"/>
    <n v="4"/>
    <n v="1"/>
    <n v="80"/>
    <n v="2"/>
    <n v="4"/>
    <n v="2"/>
    <n v="1"/>
    <n v="2"/>
    <n v="2"/>
    <n v="2"/>
    <n v="2"/>
    <s v="OK"/>
    <s v="OK"/>
    <s v="OK"/>
    <s v="OK"/>
    <x v="3"/>
    <n v="1"/>
    <n v="1"/>
    <n v="1"/>
  </r>
  <r>
    <n v="44"/>
    <s v="No"/>
    <s v="Travel_Rarely"/>
    <n v="986"/>
    <x v="1"/>
    <n v="8"/>
    <n v="4"/>
    <s v="Life Sciences"/>
    <n v="1"/>
    <n v="874"/>
    <n v="1"/>
    <s v="Male"/>
    <n v="62"/>
    <n v="4"/>
    <n v="1"/>
    <x v="2"/>
    <n v="4"/>
    <s v="Married"/>
    <n v="2818"/>
    <n v="5044"/>
    <n v="2"/>
    <s v="Y"/>
    <s v="Yes"/>
    <n v="24"/>
    <n v="4"/>
    <n v="3"/>
    <n v="80"/>
    <n v="1"/>
    <n v="10"/>
    <n v="2"/>
    <n v="2"/>
    <n v="3"/>
    <n v="2"/>
    <n v="0"/>
    <n v="2"/>
    <s v="OK"/>
    <s v="OK"/>
    <s v="OK"/>
    <s v="OK"/>
    <x v="0"/>
    <n v="0.66666666666666663"/>
    <n v="0.66666666666666663"/>
    <n v="0.66666666666666663"/>
  </r>
  <r>
    <n v="42"/>
    <s v="No"/>
    <s v="Travel_Frequently"/>
    <n v="1271"/>
    <x v="1"/>
    <n v="2"/>
    <n v="1"/>
    <s v="Medical"/>
    <n v="1"/>
    <n v="875"/>
    <n v="2"/>
    <s v="Male"/>
    <n v="35"/>
    <n v="3"/>
    <n v="1"/>
    <x v="1"/>
    <n v="4"/>
    <s v="Single"/>
    <n v="2515"/>
    <n v="9068"/>
    <n v="5"/>
    <s v="Y"/>
    <s v="Yes"/>
    <n v="14"/>
    <n v="3"/>
    <n v="4"/>
    <n v="80"/>
    <n v="0"/>
    <n v="8"/>
    <n v="2"/>
    <n v="3"/>
    <n v="2"/>
    <n v="1"/>
    <n v="2"/>
    <n v="2"/>
    <s v="OK"/>
    <s v="OK"/>
    <s v="OK"/>
    <s v="OK"/>
    <x v="3"/>
    <n v="0.5"/>
    <n v="1"/>
    <n v="1"/>
  </r>
  <r>
    <n v="36"/>
    <s v="No"/>
    <s v="Travel_Rarely"/>
    <n v="1278"/>
    <x v="2"/>
    <n v="8"/>
    <n v="3"/>
    <s v="Life Sciences"/>
    <n v="1"/>
    <n v="878"/>
    <n v="1"/>
    <s v="Male"/>
    <n v="77"/>
    <n v="2"/>
    <n v="1"/>
    <x v="8"/>
    <n v="1"/>
    <s v="Married"/>
    <n v="2342"/>
    <n v="8635"/>
    <n v="0"/>
    <s v="Y"/>
    <s v="No"/>
    <n v="21"/>
    <n v="4"/>
    <n v="3"/>
    <n v="80"/>
    <n v="0"/>
    <n v="6"/>
    <n v="3"/>
    <n v="3"/>
    <n v="5"/>
    <n v="4"/>
    <n v="0"/>
    <n v="3"/>
    <s v="OK"/>
    <s v="OK"/>
    <s v="OK"/>
    <s v="OK"/>
    <x v="0"/>
    <n v="0.8"/>
    <n v="0.6"/>
    <n v="0.6"/>
  </r>
  <r>
    <n v="25"/>
    <s v="No"/>
    <s v="Travel_Rarely"/>
    <n v="141"/>
    <x v="0"/>
    <n v="3"/>
    <n v="1"/>
    <s v="Other"/>
    <n v="1"/>
    <n v="879"/>
    <n v="3"/>
    <s v="Male"/>
    <n v="98"/>
    <n v="3"/>
    <n v="2"/>
    <x v="0"/>
    <n v="1"/>
    <s v="Married"/>
    <n v="4194"/>
    <n v="14363"/>
    <n v="1"/>
    <s v="Y"/>
    <s v="Yes"/>
    <n v="18"/>
    <n v="3"/>
    <n v="4"/>
    <n v="80"/>
    <n v="0"/>
    <n v="5"/>
    <n v="3"/>
    <n v="3"/>
    <n v="5"/>
    <n v="3"/>
    <n v="0"/>
    <n v="3"/>
    <s v="OK"/>
    <s v="OK"/>
    <s v="OK"/>
    <s v="OK"/>
    <x v="0"/>
    <n v="0.6"/>
    <n v="0.6"/>
    <n v="0.6"/>
  </r>
  <r>
    <n v="35"/>
    <s v="No"/>
    <s v="Travel_Rarely"/>
    <n v="607"/>
    <x v="1"/>
    <n v="9"/>
    <n v="3"/>
    <s v="Life Sciences"/>
    <n v="1"/>
    <n v="880"/>
    <n v="4"/>
    <s v="Female"/>
    <n v="66"/>
    <n v="2"/>
    <n v="3"/>
    <x v="3"/>
    <n v="3"/>
    <s v="Married"/>
    <n v="10685"/>
    <n v="23457"/>
    <n v="1"/>
    <s v="Y"/>
    <s v="Yes"/>
    <n v="20"/>
    <n v="4"/>
    <n v="2"/>
    <n v="80"/>
    <n v="1"/>
    <n v="17"/>
    <n v="2"/>
    <n v="3"/>
    <n v="17"/>
    <n v="14"/>
    <n v="5"/>
    <n v="15"/>
    <s v="OK"/>
    <s v="OK"/>
    <s v="OK"/>
    <s v="OK"/>
    <x v="57"/>
    <n v="0.82352941176470584"/>
    <n v="0.11764705882352941"/>
    <n v="0.88235294117647056"/>
  </r>
  <r>
    <n v="35"/>
    <s v="Yes"/>
    <s v="Travel_Frequently"/>
    <n v="130"/>
    <x v="1"/>
    <n v="25"/>
    <n v="4"/>
    <s v="Life Sciences"/>
    <n v="1"/>
    <n v="881"/>
    <n v="4"/>
    <s v="Female"/>
    <n v="96"/>
    <n v="3"/>
    <n v="1"/>
    <x v="1"/>
    <n v="2"/>
    <s v="Divorced"/>
    <n v="2022"/>
    <n v="16612"/>
    <n v="1"/>
    <s v="Y"/>
    <s v="Yes"/>
    <n v="19"/>
    <n v="3"/>
    <n v="1"/>
    <n v="80"/>
    <n v="1"/>
    <n v="10"/>
    <n v="3"/>
    <n v="2"/>
    <n v="10"/>
    <n v="2"/>
    <n v="7"/>
    <n v="8"/>
    <s v="OK"/>
    <s v="OK"/>
    <s v="OK"/>
    <s v="OK"/>
    <x v="42"/>
    <n v="0.2"/>
    <n v="0.3"/>
    <n v="0.8"/>
  </r>
  <r>
    <n v="32"/>
    <s v="No"/>
    <s v="Non-Travel"/>
    <n v="300"/>
    <x v="1"/>
    <n v="1"/>
    <n v="3"/>
    <s v="Life Sciences"/>
    <n v="1"/>
    <n v="882"/>
    <n v="4"/>
    <s v="Male"/>
    <n v="61"/>
    <n v="3"/>
    <n v="1"/>
    <x v="2"/>
    <n v="4"/>
    <s v="Divorced"/>
    <n v="2314"/>
    <n v="9148"/>
    <n v="0"/>
    <s v="Y"/>
    <s v="No"/>
    <n v="12"/>
    <n v="3"/>
    <n v="2"/>
    <n v="80"/>
    <n v="1"/>
    <n v="4"/>
    <n v="2"/>
    <n v="3"/>
    <n v="3"/>
    <n v="0"/>
    <n v="0"/>
    <n v="2"/>
    <s v="OK"/>
    <s v="OK"/>
    <s v="OK"/>
    <s v="OK"/>
    <x v="0"/>
    <n v="0"/>
    <n v="0.66666666666666663"/>
    <n v="0.66666666666666663"/>
  </r>
  <r>
    <n v="25"/>
    <s v="No"/>
    <s v="Travel_Rarely"/>
    <n v="583"/>
    <x v="0"/>
    <n v="4"/>
    <n v="1"/>
    <s v="Marketing"/>
    <n v="1"/>
    <n v="885"/>
    <n v="3"/>
    <s v="Male"/>
    <n v="87"/>
    <n v="2"/>
    <n v="2"/>
    <x v="0"/>
    <n v="1"/>
    <s v="Married"/>
    <n v="4256"/>
    <n v="18154"/>
    <n v="1"/>
    <s v="Y"/>
    <s v="No"/>
    <n v="12"/>
    <n v="3"/>
    <n v="1"/>
    <n v="80"/>
    <n v="0"/>
    <n v="5"/>
    <n v="1"/>
    <n v="4"/>
    <n v="5"/>
    <n v="2"/>
    <n v="0"/>
    <n v="3"/>
    <s v="OK"/>
    <s v="OK"/>
    <s v="OK"/>
    <s v="OK"/>
    <x v="0"/>
    <n v="0.4"/>
    <n v="0.2"/>
    <n v="0.6"/>
  </r>
  <r>
    <n v="49"/>
    <s v="No"/>
    <s v="Travel_Rarely"/>
    <n v="1418"/>
    <x v="1"/>
    <n v="1"/>
    <n v="3"/>
    <s v="Technical Degree"/>
    <n v="1"/>
    <n v="887"/>
    <n v="3"/>
    <s v="Female"/>
    <n v="36"/>
    <n v="3"/>
    <n v="1"/>
    <x v="1"/>
    <n v="1"/>
    <s v="Married"/>
    <n v="3580"/>
    <n v="10554"/>
    <n v="2"/>
    <s v="Y"/>
    <s v="No"/>
    <n v="16"/>
    <n v="3"/>
    <n v="2"/>
    <n v="80"/>
    <n v="1"/>
    <n v="7"/>
    <n v="2"/>
    <n v="3"/>
    <n v="4"/>
    <n v="2"/>
    <n v="0"/>
    <n v="2"/>
    <s v="OK"/>
    <s v="OK"/>
    <s v="OK"/>
    <s v="OK"/>
    <x v="0"/>
    <n v="0.5"/>
    <n v="0.5"/>
    <n v="0.5"/>
  </r>
  <r>
    <n v="24"/>
    <s v="No"/>
    <s v="Non-Travel"/>
    <n v="1269"/>
    <x v="1"/>
    <n v="4"/>
    <n v="1"/>
    <s v="Life Sciences"/>
    <n v="1"/>
    <n v="888"/>
    <n v="1"/>
    <s v="Male"/>
    <n v="46"/>
    <n v="2"/>
    <n v="1"/>
    <x v="2"/>
    <n v="4"/>
    <s v="Married"/>
    <n v="3162"/>
    <n v="10778"/>
    <n v="0"/>
    <s v="Y"/>
    <s v="No"/>
    <n v="17"/>
    <n v="3"/>
    <n v="4"/>
    <n v="80"/>
    <n v="0"/>
    <n v="6"/>
    <n v="2"/>
    <n v="2"/>
    <n v="5"/>
    <n v="2"/>
    <n v="3"/>
    <n v="4"/>
    <s v="OK"/>
    <s v="OK"/>
    <s v="OK"/>
    <s v="OK"/>
    <x v="13"/>
    <n v="0.4"/>
    <n v="0.4"/>
    <n v="0.8"/>
  </r>
  <r>
    <n v="32"/>
    <s v="No"/>
    <s v="Travel_Frequently"/>
    <n v="379"/>
    <x v="0"/>
    <n v="5"/>
    <n v="2"/>
    <s v="Life Sciences"/>
    <n v="1"/>
    <n v="889"/>
    <n v="2"/>
    <s v="Male"/>
    <n v="48"/>
    <n v="3"/>
    <n v="2"/>
    <x v="0"/>
    <n v="2"/>
    <s v="Married"/>
    <n v="6524"/>
    <n v="8891"/>
    <n v="1"/>
    <s v="Y"/>
    <s v="No"/>
    <n v="14"/>
    <n v="3"/>
    <n v="4"/>
    <n v="80"/>
    <n v="1"/>
    <n v="10"/>
    <n v="3"/>
    <n v="3"/>
    <n v="10"/>
    <n v="8"/>
    <n v="5"/>
    <n v="3"/>
    <s v="OK"/>
    <s v="OK"/>
    <s v="OK"/>
    <s v="OK"/>
    <x v="7"/>
    <n v="0.8"/>
    <n v="0.3"/>
    <n v="0.3"/>
  </r>
  <r>
    <n v="38"/>
    <s v="No"/>
    <s v="Travel_Rarely"/>
    <n v="395"/>
    <x v="0"/>
    <n v="9"/>
    <n v="3"/>
    <s v="Marketing"/>
    <n v="1"/>
    <n v="893"/>
    <n v="2"/>
    <s v="Male"/>
    <n v="98"/>
    <n v="2"/>
    <n v="1"/>
    <x v="6"/>
    <n v="2"/>
    <s v="Married"/>
    <n v="2899"/>
    <n v="12102"/>
    <n v="0"/>
    <s v="Y"/>
    <s v="No"/>
    <n v="19"/>
    <n v="3"/>
    <n v="4"/>
    <n v="80"/>
    <n v="1"/>
    <n v="3"/>
    <n v="3"/>
    <n v="3"/>
    <n v="2"/>
    <n v="2"/>
    <n v="1"/>
    <n v="2"/>
    <s v="OK"/>
    <s v="OK"/>
    <s v="OK"/>
    <s v="OK"/>
    <x v="7"/>
    <n v="1"/>
    <n v="1.5"/>
    <n v="1"/>
  </r>
  <r>
    <n v="42"/>
    <s v="No"/>
    <s v="Travel_Rarely"/>
    <n v="1265"/>
    <x v="1"/>
    <n v="3"/>
    <n v="3"/>
    <s v="Life Sciences"/>
    <n v="1"/>
    <n v="894"/>
    <n v="3"/>
    <s v="Female"/>
    <n v="95"/>
    <n v="4"/>
    <n v="2"/>
    <x v="2"/>
    <n v="4"/>
    <s v="Married"/>
    <n v="5231"/>
    <n v="23726"/>
    <n v="2"/>
    <s v="Y"/>
    <s v="Yes"/>
    <n v="13"/>
    <n v="3"/>
    <n v="2"/>
    <n v="80"/>
    <n v="1"/>
    <n v="17"/>
    <n v="1"/>
    <n v="2"/>
    <n v="5"/>
    <n v="3"/>
    <n v="1"/>
    <n v="3"/>
    <s v="OK"/>
    <s v="OK"/>
    <s v="OK"/>
    <s v="OK"/>
    <x v="16"/>
    <n v="0.6"/>
    <n v="0.2"/>
    <n v="0.6"/>
  </r>
  <r>
    <n v="31"/>
    <s v="No"/>
    <s v="Travel_Rarely"/>
    <n v="1222"/>
    <x v="1"/>
    <n v="11"/>
    <n v="4"/>
    <s v="Life Sciences"/>
    <n v="1"/>
    <n v="895"/>
    <n v="4"/>
    <s v="Male"/>
    <n v="48"/>
    <n v="3"/>
    <n v="1"/>
    <x v="1"/>
    <n v="4"/>
    <s v="Married"/>
    <n v="2356"/>
    <n v="14871"/>
    <n v="3"/>
    <s v="Y"/>
    <s v="Yes"/>
    <n v="19"/>
    <n v="3"/>
    <n v="2"/>
    <n v="80"/>
    <n v="1"/>
    <n v="8"/>
    <n v="2"/>
    <n v="3"/>
    <n v="6"/>
    <n v="4"/>
    <n v="0"/>
    <n v="2"/>
    <s v="OK"/>
    <s v="OK"/>
    <s v="OK"/>
    <s v="OK"/>
    <x v="0"/>
    <n v="0.66666666666666663"/>
    <n v="0.33333333333333331"/>
    <n v="0.33333333333333331"/>
  </r>
  <r>
    <n v="29"/>
    <s v="Yes"/>
    <s v="Travel_Rarely"/>
    <n v="341"/>
    <x v="0"/>
    <n v="1"/>
    <n v="3"/>
    <s v="Medical"/>
    <n v="1"/>
    <n v="896"/>
    <n v="2"/>
    <s v="Female"/>
    <n v="48"/>
    <n v="2"/>
    <n v="1"/>
    <x v="6"/>
    <n v="3"/>
    <s v="Divorced"/>
    <n v="2800"/>
    <n v="23522"/>
    <n v="6"/>
    <s v="Y"/>
    <s v="Yes"/>
    <n v="19"/>
    <n v="3"/>
    <n v="3"/>
    <n v="80"/>
    <n v="3"/>
    <n v="5"/>
    <n v="3"/>
    <n v="3"/>
    <n v="3"/>
    <n v="2"/>
    <n v="0"/>
    <n v="2"/>
    <s v="OK"/>
    <s v="OK"/>
    <s v="OK"/>
    <s v="OK"/>
    <x v="0"/>
    <n v="0.66666666666666663"/>
    <n v="1"/>
    <n v="0.66666666666666663"/>
  </r>
  <r>
    <n v="53"/>
    <s v="No"/>
    <s v="Travel_Rarely"/>
    <n v="868"/>
    <x v="0"/>
    <n v="8"/>
    <n v="3"/>
    <s v="Marketing"/>
    <n v="1"/>
    <n v="897"/>
    <n v="1"/>
    <s v="Male"/>
    <n v="73"/>
    <n v="3"/>
    <n v="4"/>
    <x v="0"/>
    <n v="4"/>
    <s v="Married"/>
    <n v="11836"/>
    <n v="22789"/>
    <n v="5"/>
    <s v="Y"/>
    <s v="No"/>
    <n v="14"/>
    <n v="3"/>
    <n v="3"/>
    <n v="80"/>
    <n v="1"/>
    <n v="28"/>
    <n v="3"/>
    <n v="3"/>
    <n v="2"/>
    <n v="0"/>
    <n v="2"/>
    <n v="2"/>
    <s v="OK"/>
    <s v="OK"/>
    <s v="OK"/>
    <s v="OK"/>
    <x v="3"/>
    <n v="0"/>
    <n v="1.5"/>
    <n v="1"/>
  </r>
  <r>
    <n v="35"/>
    <s v="No"/>
    <s v="Travel_Rarely"/>
    <n v="672"/>
    <x v="1"/>
    <n v="25"/>
    <n v="3"/>
    <s v="Technical Degree"/>
    <n v="1"/>
    <n v="899"/>
    <n v="4"/>
    <s v="Male"/>
    <n v="78"/>
    <n v="2"/>
    <n v="3"/>
    <x v="3"/>
    <n v="2"/>
    <s v="Married"/>
    <n v="10903"/>
    <n v="9129"/>
    <n v="3"/>
    <s v="Y"/>
    <s v="No"/>
    <n v="16"/>
    <n v="3"/>
    <n v="1"/>
    <n v="80"/>
    <n v="0"/>
    <n v="16"/>
    <n v="2"/>
    <n v="3"/>
    <n v="13"/>
    <n v="10"/>
    <n v="4"/>
    <n v="8"/>
    <s v="OK"/>
    <s v="OK"/>
    <s v="OK"/>
    <s v="OK"/>
    <x v="59"/>
    <n v="0.76923076923076927"/>
    <n v="0.15384615384615385"/>
    <n v="0.61538461538461542"/>
  </r>
  <r>
    <n v="37"/>
    <s v="No"/>
    <s v="Travel_Frequently"/>
    <n v="1231"/>
    <x v="0"/>
    <n v="21"/>
    <n v="2"/>
    <s v="Medical"/>
    <n v="1"/>
    <n v="900"/>
    <n v="3"/>
    <s v="Female"/>
    <n v="54"/>
    <n v="3"/>
    <n v="1"/>
    <x v="6"/>
    <n v="4"/>
    <s v="Married"/>
    <n v="2973"/>
    <n v="21222"/>
    <n v="5"/>
    <s v="Y"/>
    <s v="No"/>
    <n v="15"/>
    <n v="3"/>
    <n v="2"/>
    <n v="80"/>
    <n v="1"/>
    <n v="10"/>
    <n v="3"/>
    <n v="3"/>
    <n v="5"/>
    <n v="4"/>
    <n v="0"/>
    <n v="0"/>
    <s v="OK"/>
    <s v="OK"/>
    <s v="OK"/>
    <s v="OK"/>
    <x v="0"/>
    <n v="0.8"/>
    <n v="0.6"/>
    <n v="0"/>
  </r>
  <r>
    <n v="53"/>
    <s v="No"/>
    <s v="Travel_Rarely"/>
    <n v="102"/>
    <x v="1"/>
    <n v="23"/>
    <n v="4"/>
    <s v="Life Sciences"/>
    <n v="1"/>
    <n v="901"/>
    <n v="4"/>
    <s v="Female"/>
    <n v="72"/>
    <n v="3"/>
    <n v="4"/>
    <x v="7"/>
    <n v="4"/>
    <s v="Single"/>
    <n v="14275"/>
    <n v="20206"/>
    <n v="6"/>
    <s v="Y"/>
    <s v="No"/>
    <n v="18"/>
    <n v="3"/>
    <n v="3"/>
    <n v="80"/>
    <n v="0"/>
    <n v="33"/>
    <n v="0"/>
    <n v="3"/>
    <n v="12"/>
    <n v="9"/>
    <n v="3"/>
    <n v="8"/>
    <s v="OK"/>
    <s v="OK"/>
    <s v="OK"/>
    <s v="OK"/>
    <x v="10"/>
    <n v="0.75"/>
    <n v="0"/>
    <n v="0.66666666666666663"/>
  </r>
  <r>
    <n v="43"/>
    <s v="No"/>
    <s v="Travel_Frequently"/>
    <n v="422"/>
    <x v="1"/>
    <n v="1"/>
    <n v="3"/>
    <s v="Life Sciences"/>
    <n v="1"/>
    <n v="902"/>
    <n v="4"/>
    <s v="Female"/>
    <n v="33"/>
    <n v="3"/>
    <n v="2"/>
    <x v="4"/>
    <n v="4"/>
    <s v="Married"/>
    <n v="5562"/>
    <n v="21782"/>
    <n v="4"/>
    <s v="Y"/>
    <s v="No"/>
    <n v="13"/>
    <n v="3"/>
    <n v="2"/>
    <n v="80"/>
    <n v="1"/>
    <n v="12"/>
    <n v="2"/>
    <n v="2"/>
    <n v="5"/>
    <n v="2"/>
    <n v="2"/>
    <n v="2"/>
    <s v="OK"/>
    <s v="OK"/>
    <s v="OK"/>
    <s v="OK"/>
    <x v="46"/>
    <n v="0.4"/>
    <n v="0.4"/>
    <n v="0.4"/>
  </r>
  <r>
    <n v="47"/>
    <s v="No"/>
    <s v="Travel_Rarely"/>
    <n v="249"/>
    <x v="0"/>
    <n v="2"/>
    <n v="2"/>
    <s v="Marketing"/>
    <n v="1"/>
    <n v="903"/>
    <n v="3"/>
    <s v="Female"/>
    <n v="35"/>
    <n v="3"/>
    <n v="2"/>
    <x v="0"/>
    <n v="4"/>
    <s v="Married"/>
    <n v="4537"/>
    <n v="17783"/>
    <n v="0"/>
    <s v="Y"/>
    <s v="Yes"/>
    <n v="22"/>
    <n v="4"/>
    <n v="1"/>
    <n v="80"/>
    <n v="1"/>
    <n v="8"/>
    <n v="2"/>
    <n v="3"/>
    <n v="7"/>
    <n v="6"/>
    <n v="7"/>
    <n v="7"/>
    <s v="OK"/>
    <s v="OK"/>
    <s v="OK"/>
    <s v="OK"/>
    <x v="3"/>
    <n v="0.8571428571428571"/>
    <n v="0.2857142857142857"/>
    <n v="1"/>
  </r>
  <r>
    <n v="37"/>
    <s v="No"/>
    <s v="Non-Travel"/>
    <n v="1252"/>
    <x v="0"/>
    <n v="19"/>
    <n v="2"/>
    <s v="Medical"/>
    <n v="1"/>
    <n v="904"/>
    <n v="1"/>
    <s v="Male"/>
    <n v="32"/>
    <n v="3"/>
    <n v="3"/>
    <x v="0"/>
    <n v="2"/>
    <s v="Single"/>
    <n v="7642"/>
    <n v="4814"/>
    <n v="1"/>
    <s v="Y"/>
    <s v="Yes"/>
    <n v="13"/>
    <n v="3"/>
    <n v="4"/>
    <n v="80"/>
    <n v="0"/>
    <n v="10"/>
    <n v="2"/>
    <n v="3"/>
    <n v="10"/>
    <n v="0"/>
    <n v="0"/>
    <n v="9"/>
    <s v="OK"/>
    <s v="OK"/>
    <s v="OK"/>
    <s v="OK"/>
    <x v="0"/>
    <n v="0"/>
    <n v="0.2"/>
    <n v="0.9"/>
  </r>
  <r>
    <n v="50"/>
    <s v="No"/>
    <s v="Non-Travel"/>
    <n v="881"/>
    <x v="1"/>
    <n v="2"/>
    <n v="4"/>
    <s v="Life Sciences"/>
    <n v="1"/>
    <n v="905"/>
    <n v="1"/>
    <s v="Male"/>
    <n v="98"/>
    <n v="3"/>
    <n v="4"/>
    <x v="5"/>
    <n v="1"/>
    <s v="Divorced"/>
    <n v="17924"/>
    <n v="4544"/>
    <n v="1"/>
    <s v="Y"/>
    <s v="No"/>
    <n v="11"/>
    <n v="3"/>
    <n v="4"/>
    <n v="80"/>
    <n v="1"/>
    <n v="31"/>
    <n v="3"/>
    <n v="3"/>
    <n v="31"/>
    <n v="6"/>
    <n v="14"/>
    <n v="7"/>
    <s v="OK"/>
    <s v="OK"/>
    <s v="OK"/>
    <s v="OK"/>
    <x v="79"/>
    <n v="0.19354838709677419"/>
    <n v="9.6774193548387094E-2"/>
    <n v="0.22580645161290322"/>
  </r>
  <r>
    <n v="39"/>
    <s v="No"/>
    <s v="Travel_Rarely"/>
    <n v="1383"/>
    <x v="2"/>
    <n v="2"/>
    <n v="3"/>
    <s v="Life Sciences"/>
    <n v="1"/>
    <n v="909"/>
    <n v="4"/>
    <s v="Female"/>
    <n v="42"/>
    <n v="2"/>
    <n v="2"/>
    <x v="8"/>
    <n v="4"/>
    <s v="Married"/>
    <n v="5204"/>
    <n v="7790"/>
    <n v="8"/>
    <s v="Y"/>
    <s v="No"/>
    <n v="11"/>
    <n v="3"/>
    <n v="3"/>
    <n v="80"/>
    <n v="2"/>
    <n v="13"/>
    <n v="2"/>
    <n v="3"/>
    <n v="5"/>
    <n v="4"/>
    <n v="0"/>
    <n v="4"/>
    <s v="OK"/>
    <s v="OK"/>
    <s v="OK"/>
    <s v="OK"/>
    <x v="0"/>
    <n v="0.8"/>
    <n v="0.4"/>
    <n v="0.8"/>
  </r>
  <r>
    <n v="33"/>
    <s v="No"/>
    <s v="Travel_Rarely"/>
    <n v="1075"/>
    <x v="2"/>
    <n v="3"/>
    <n v="2"/>
    <s v="Human Resources"/>
    <n v="1"/>
    <n v="910"/>
    <n v="4"/>
    <s v="Male"/>
    <n v="57"/>
    <n v="3"/>
    <n v="1"/>
    <x v="8"/>
    <n v="2"/>
    <s v="Divorced"/>
    <n v="2277"/>
    <n v="22650"/>
    <n v="3"/>
    <s v="Y"/>
    <s v="Yes"/>
    <n v="11"/>
    <n v="3"/>
    <n v="3"/>
    <n v="80"/>
    <n v="1"/>
    <n v="7"/>
    <n v="4"/>
    <n v="4"/>
    <n v="4"/>
    <n v="3"/>
    <n v="0"/>
    <n v="3"/>
    <s v="OK"/>
    <s v="OK"/>
    <s v="OK"/>
    <s v="OK"/>
    <x v="0"/>
    <n v="0.75"/>
    <n v="1"/>
    <n v="0.75"/>
  </r>
  <r>
    <n v="32"/>
    <s v="Yes"/>
    <s v="Travel_Rarely"/>
    <n v="374"/>
    <x v="1"/>
    <n v="25"/>
    <n v="4"/>
    <s v="Life Sciences"/>
    <n v="1"/>
    <n v="911"/>
    <n v="1"/>
    <s v="Male"/>
    <n v="87"/>
    <n v="3"/>
    <n v="1"/>
    <x v="2"/>
    <n v="4"/>
    <s v="Single"/>
    <n v="2795"/>
    <n v="18016"/>
    <n v="1"/>
    <s v="Y"/>
    <s v="Yes"/>
    <n v="24"/>
    <n v="4"/>
    <n v="3"/>
    <n v="80"/>
    <n v="0"/>
    <n v="1"/>
    <n v="2"/>
    <n v="1"/>
    <n v="1"/>
    <n v="0"/>
    <n v="0"/>
    <n v="1"/>
    <s v="OK"/>
    <s v="OK"/>
    <s v="OK"/>
    <s v="OK"/>
    <x v="0"/>
    <n v="0"/>
    <n v="2"/>
    <n v="1"/>
  </r>
  <r>
    <n v="29"/>
    <s v="No"/>
    <s v="Travel_Rarely"/>
    <n v="1086"/>
    <x v="1"/>
    <n v="7"/>
    <n v="1"/>
    <s v="Medical"/>
    <n v="1"/>
    <n v="912"/>
    <n v="1"/>
    <s v="Female"/>
    <n v="62"/>
    <n v="2"/>
    <n v="1"/>
    <x v="2"/>
    <n v="4"/>
    <s v="Divorced"/>
    <n v="2532"/>
    <n v="6054"/>
    <n v="6"/>
    <s v="Y"/>
    <s v="No"/>
    <n v="14"/>
    <n v="3"/>
    <n v="3"/>
    <n v="80"/>
    <n v="3"/>
    <n v="8"/>
    <n v="5"/>
    <n v="3"/>
    <n v="4"/>
    <n v="3"/>
    <n v="0"/>
    <n v="3"/>
    <s v="OK"/>
    <s v="OK"/>
    <s v="OK"/>
    <s v="OK"/>
    <x v="0"/>
    <n v="0.75"/>
    <n v="1.25"/>
    <n v="0.75"/>
  </r>
  <r>
    <n v="44"/>
    <s v="No"/>
    <s v="Travel_Rarely"/>
    <n v="661"/>
    <x v="1"/>
    <n v="9"/>
    <n v="2"/>
    <s v="Life Sciences"/>
    <n v="1"/>
    <n v="913"/>
    <n v="2"/>
    <s v="Male"/>
    <n v="61"/>
    <n v="3"/>
    <n v="1"/>
    <x v="1"/>
    <n v="1"/>
    <s v="Married"/>
    <n v="2559"/>
    <n v="7508"/>
    <n v="1"/>
    <s v="Y"/>
    <s v="Yes"/>
    <n v="13"/>
    <n v="3"/>
    <n v="4"/>
    <n v="80"/>
    <n v="0"/>
    <n v="8"/>
    <n v="0"/>
    <n v="3"/>
    <n v="8"/>
    <n v="7"/>
    <n v="7"/>
    <n v="1"/>
    <s v="OK"/>
    <s v="OK"/>
    <s v="OK"/>
    <s v="OK"/>
    <x v="43"/>
    <n v="0.875"/>
    <n v="0"/>
    <n v="0.125"/>
  </r>
  <r>
    <n v="28"/>
    <s v="No"/>
    <s v="Travel_Rarely"/>
    <n v="821"/>
    <x v="0"/>
    <n v="5"/>
    <n v="4"/>
    <s v="Medical"/>
    <n v="1"/>
    <n v="916"/>
    <n v="1"/>
    <s v="Male"/>
    <n v="98"/>
    <n v="3"/>
    <n v="2"/>
    <x v="0"/>
    <n v="4"/>
    <s v="Single"/>
    <n v="4908"/>
    <n v="24252"/>
    <n v="1"/>
    <s v="Y"/>
    <s v="No"/>
    <n v="14"/>
    <n v="3"/>
    <n v="2"/>
    <n v="80"/>
    <n v="0"/>
    <n v="4"/>
    <n v="3"/>
    <n v="3"/>
    <n v="4"/>
    <n v="2"/>
    <n v="0"/>
    <n v="2"/>
    <s v="OK"/>
    <s v="OK"/>
    <s v="OK"/>
    <s v="OK"/>
    <x v="0"/>
    <n v="0.5"/>
    <n v="0.75"/>
    <n v="0.5"/>
  </r>
  <r>
    <n v="58"/>
    <s v="Yes"/>
    <s v="Travel_Frequently"/>
    <n v="781"/>
    <x v="1"/>
    <n v="2"/>
    <n v="1"/>
    <s v="Life Sciences"/>
    <n v="1"/>
    <n v="918"/>
    <n v="4"/>
    <s v="Male"/>
    <n v="57"/>
    <n v="2"/>
    <n v="1"/>
    <x v="2"/>
    <n v="4"/>
    <s v="Divorced"/>
    <n v="2380"/>
    <n v="13384"/>
    <n v="9"/>
    <s v="Y"/>
    <s v="Yes"/>
    <n v="14"/>
    <n v="3"/>
    <n v="4"/>
    <n v="80"/>
    <n v="1"/>
    <n v="3"/>
    <n v="3"/>
    <n v="2"/>
    <n v="1"/>
    <n v="0"/>
    <n v="0"/>
    <n v="0"/>
    <s v="OK"/>
    <s v="OK"/>
    <s v="OK"/>
    <s v="OK"/>
    <x v="0"/>
    <n v="0"/>
    <n v="3"/>
    <n v="0"/>
  </r>
  <r>
    <n v="43"/>
    <s v="No"/>
    <s v="Travel_Rarely"/>
    <n v="177"/>
    <x v="1"/>
    <n v="8"/>
    <n v="3"/>
    <s v="Life Sciences"/>
    <n v="1"/>
    <n v="920"/>
    <n v="1"/>
    <s v="Female"/>
    <n v="55"/>
    <n v="3"/>
    <n v="2"/>
    <x v="3"/>
    <n v="2"/>
    <s v="Divorced"/>
    <n v="4765"/>
    <n v="23814"/>
    <n v="4"/>
    <s v="Y"/>
    <s v="No"/>
    <n v="21"/>
    <n v="4"/>
    <n v="3"/>
    <n v="80"/>
    <n v="1"/>
    <n v="4"/>
    <n v="2"/>
    <n v="4"/>
    <n v="1"/>
    <n v="0"/>
    <n v="0"/>
    <n v="0"/>
    <s v="OK"/>
    <s v="OK"/>
    <s v="OK"/>
    <s v="OK"/>
    <x v="0"/>
    <n v="0"/>
    <n v="2"/>
    <n v="0"/>
  </r>
  <r>
    <n v="20"/>
    <s v="Yes"/>
    <s v="Travel_Rarely"/>
    <n v="500"/>
    <x v="0"/>
    <n v="2"/>
    <n v="3"/>
    <s v="Medical"/>
    <n v="1"/>
    <n v="922"/>
    <n v="3"/>
    <s v="Female"/>
    <n v="49"/>
    <n v="2"/>
    <n v="1"/>
    <x v="6"/>
    <n v="3"/>
    <s v="Single"/>
    <n v="2044"/>
    <n v="22052"/>
    <n v="1"/>
    <s v="Y"/>
    <s v="No"/>
    <n v="13"/>
    <n v="3"/>
    <n v="4"/>
    <n v="80"/>
    <n v="0"/>
    <n v="2"/>
    <n v="3"/>
    <n v="2"/>
    <n v="2"/>
    <n v="2"/>
    <n v="0"/>
    <n v="2"/>
    <s v="OK"/>
    <s v="OK"/>
    <s v="OK"/>
    <s v="OK"/>
    <x v="0"/>
    <n v="1"/>
    <n v="1.5"/>
    <n v="1"/>
  </r>
  <r>
    <n v="21"/>
    <s v="Yes"/>
    <s v="Travel_Rarely"/>
    <n v="1427"/>
    <x v="1"/>
    <n v="18"/>
    <n v="1"/>
    <s v="Other"/>
    <n v="1"/>
    <n v="923"/>
    <n v="4"/>
    <s v="Female"/>
    <n v="65"/>
    <n v="3"/>
    <n v="1"/>
    <x v="1"/>
    <n v="4"/>
    <s v="Single"/>
    <n v="2693"/>
    <n v="8870"/>
    <n v="1"/>
    <s v="Y"/>
    <s v="No"/>
    <n v="19"/>
    <n v="3"/>
    <n v="1"/>
    <n v="80"/>
    <n v="0"/>
    <n v="1"/>
    <n v="3"/>
    <n v="2"/>
    <n v="1"/>
    <n v="0"/>
    <n v="0"/>
    <n v="0"/>
    <s v="OK"/>
    <s v="OK"/>
    <s v="OK"/>
    <s v="OK"/>
    <x v="0"/>
    <n v="0"/>
    <n v="3"/>
    <n v="0"/>
  </r>
  <r>
    <n v="36"/>
    <s v="No"/>
    <s v="Travel_Rarely"/>
    <n v="1425"/>
    <x v="1"/>
    <n v="14"/>
    <n v="1"/>
    <s v="Life Sciences"/>
    <n v="1"/>
    <n v="924"/>
    <n v="3"/>
    <s v="Male"/>
    <n v="68"/>
    <n v="3"/>
    <n v="2"/>
    <x v="4"/>
    <n v="4"/>
    <s v="Married"/>
    <n v="6586"/>
    <n v="4821"/>
    <n v="0"/>
    <s v="Y"/>
    <s v="Yes"/>
    <n v="17"/>
    <n v="3"/>
    <n v="1"/>
    <n v="80"/>
    <n v="1"/>
    <n v="17"/>
    <n v="2"/>
    <n v="2"/>
    <n v="16"/>
    <n v="8"/>
    <n v="4"/>
    <n v="11"/>
    <s v="OK"/>
    <s v="OK"/>
    <s v="OK"/>
    <s v="OK"/>
    <x v="10"/>
    <n v="0.5"/>
    <n v="0.125"/>
    <n v="0.6875"/>
  </r>
  <r>
    <n v="47"/>
    <s v="No"/>
    <s v="Travel_Rarely"/>
    <n v="1454"/>
    <x v="0"/>
    <n v="2"/>
    <n v="4"/>
    <s v="Life Sciences"/>
    <n v="1"/>
    <n v="925"/>
    <n v="4"/>
    <s v="Female"/>
    <n v="65"/>
    <n v="2"/>
    <n v="1"/>
    <x v="6"/>
    <n v="4"/>
    <s v="Single"/>
    <n v="3294"/>
    <n v="13137"/>
    <n v="1"/>
    <s v="Y"/>
    <s v="Yes"/>
    <n v="18"/>
    <n v="3"/>
    <n v="1"/>
    <n v="80"/>
    <n v="0"/>
    <n v="3"/>
    <n v="3"/>
    <n v="2"/>
    <n v="3"/>
    <n v="2"/>
    <n v="1"/>
    <n v="2"/>
    <s v="OK"/>
    <s v="OK"/>
    <s v="OK"/>
    <s v="OK"/>
    <x v="9"/>
    <n v="0.66666666666666663"/>
    <n v="1"/>
    <n v="0.66666666666666663"/>
  </r>
  <r>
    <n v="22"/>
    <s v="Yes"/>
    <s v="Travel_Rarely"/>
    <n v="617"/>
    <x v="1"/>
    <n v="3"/>
    <n v="1"/>
    <s v="Life Sciences"/>
    <n v="1"/>
    <n v="926"/>
    <n v="2"/>
    <s v="Female"/>
    <n v="34"/>
    <n v="3"/>
    <n v="2"/>
    <x v="3"/>
    <n v="3"/>
    <s v="Married"/>
    <n v="4171"/>
    <n v="10022"/>
    <n v="0"/>
    <s v="Y"/>
    <s v="Yes"/>
    <n v="19"/>
    <n v="3"/>
    <n v="1"/>
    <n v="80"/>
    <n v="1"/>
    <n v="4"/>
    <n v="3"/>
    <n v="4"/>
    <n v="3"/>
    <n v="2"/>
    <n v="0"/>
    <n v="2"/>
    <s v="OK"/>
    <s v="OK"/>
    <s v="OK"/>
    <s v="OK"/>
    <x v="0"/>
    <n v="0.66666666666666663"/>
    <n v="1"/>
    <n v="0.66666666666666663"/>
  </r>
  <r>
    <n v="41"/>
    <s v="Yes"/>
    <s v="Travel_Rarely"/>
    <n v="1085"/>
    <x v="1"/>
    <n v="2"/>
    <n v="4"/>
    <s v="Life Sciences"/>
    <n v="1"/>
    <n v="927"/>
    <n v="2"/>
    <s v="Female"/>
    <n v="57"/>
    <n v="1"/>
    <n v="1"/>
    <x v="2"/>
    <n v="4"/>
    <s v="Divorced"/>
    <n v="2778"/>
    <n v="17725"/>
    <n v="4"/>
    <s v="Y"/>
    <s v="Yes"/>
    <n v="13"/>
    <n v="3"/>
    <n v="3"/>
    <n v="80"/>
    <n v="1"/>
    <n v="10"/>
    <n v="1"/>
    <n v="2"/>
    <n v="7"/>
    <n v="7"/>
    <n v="1"/>
    <n v="0"/>
    <s v="OK"/>
    <s v="OK"/>
    <s v="OK"/>
    <s v="OK"/>
    <x v="20"/>
    <n v="1"/>
    <n v="0.14285714285714285"/>
    <n v="0"/>
  </r>
  <r>
    <n v="28"/>
    <s v="No"/>
    <s v="Travel_Rarely"/>
    <n v="995"/>
    <x v="1"/>
    <n v="9"/>
    <n v="3"/>
    <s v="Medical"/>
    <n v="1"/>
    <n v="930"/>
    <n v="3"/>
    <s v="Female"/>
    <n v="77"/>
    <n v="3"/>
    <n v="1"/>
    <x v="1"/>
    <n v="3"/>
    <s v="Divorced"/>
    <n v="2377"/>
    <n v="9834"/>
    <n v="5"/>
    <s v="Y"/>
    <s v="No"/>
    <n v="18"/>
    <n v="3"/>
    <n v="2"/>
    <n v="80"/>
    <n v="1"/>
    <n v="6"/>
    <n v="2"/>
    <n v="3"/>
    <n v="2"/>
    <n v="2"/>
    <n v="2"/>
    <n v="2"/>
    <s v="OK"/>
    <s v="OK"/>
    <s v="OK"/>
    <s v="OK"/>
    <x v="3"/>
    <n v="1"/>
    <n v="1"/>
    <n v="1"/>
  </r>
  <r>
    <n v="39"/>
    <s v="Yes"/>
    <s v="Travel_Rarely"/>
    <n v="1122"/>
    <x v="1"/>
    <n v="6"/>
    <n v="3"/>
    <s v="Medical"/>
    <n v="1"/>
    <n v="932"/>
    <n v="4"/>
    <s v="Male"/>
    <n v="70"/>
    <n v="3"/>
    <n v="1"/>
    <x v="2"/>
    <n v="1"/>
    <s v="Married"/>
    <n v="2404"/>
    <n v="4303"/>
    <n v="7"/>
    <s v="Y"/>
    <s v="Yes"/>
    <n v="21"/>
    <n v="4"/>
    <n v="4"/>
    <n v="80"/>
    <n v="0"/>
    <n v="8"/>
    <n v="2"/>
    <n v="1"/>
    <n v="2"/>
    <n v="2"/>
    <n v="2"/>
    <n v="2"/>
    <s v="OK"/>
    <s v="OK"/>
    <s v="OK"/>
    <s v="OK"/>
    <x v="3"/>
    <n v="1"/>
    <n v="1"/>
    <n v="1"/>
  </r>
  <r>
    <n v="27"/>
    <s v="No"/>
    <s v="Travel_Rarely"/>
    <n v="618"/>
    <x v="1"/>
    <n v="4"/>
    <n v="3"/>
    <s v="Life Sciences"/>
    <n v="1"/>
    <n v="933"/>
    <n v="2"/>
    <s v="Female"/>
    <n v="76"/>
    <n v="3"/>
    <n v="1"/>
    <x v="1"/>
    <n v="3"/>
    <s v="Single"/>
    <n v="2318"/>
    <n v="17808"/>
    <n v="1"/>
    <s v="Y"/>
    <s v="No"/>
    <n v="19"/>
    <n v="3"/>
    <n v="3"/>
    <n v="80"/>
    <n v="0"/>
    <n v="1"/>
    <n v="2"/>
    <n v="3"/>
    <n v="1"/>
    <n v="1"/>
    <n v="0"/>
    <n v="0"/>
    <s v="OK"/>
    <s v="OK"/>
    <s v="OK"/>
    <s v="OK"/>
    <x v="0"/>
    <n v="1"/>
    <n v="2"/>
    <n v="0"/>
  </r>
  <r>
    <n v="34"/>
    <s v="No"/>
    <s v="Travel_Rarely"/>
    <n v="546"/>
    <x v="1"/>
    <n v="10"/>
    <n v="3"/>
    <s v="Life Sciences"/>
    <n v="1"/>
    <n v="934"/>
    <n v="2"/>
    <s v="Male"/>
    <n v="83"/>
    <n v="3"/>
    <n v="1"/>
    <x v="2"/>
    <n v="2"/>
    <s v="Divorced"/>
    <n v="2008"/>
    <n v="6896"/>
    <n v="1"/>
    <s v="Y"/>
    <s v="No"/>
    <n v="14"/>
    <n v="3"/>
    <n v="2"/>
    <n v="80"/>
    <n v="2"/>
    <n v="1"/>
    <n v="3"/>
    <n v="3"/>
    <n v="1"/>
    <n v="0"/>
    <n v="1"/>
    <n v="0"/>
    <s v="OK"/>
    <s v="OK"/>
    <s v="OK"/>
    <s v="OK"/>
    <x v="3"/>
    <n v="0"/>
    <n v="3"/>
    <n v="0"/>
  </r>
  <r>
    <n v="42"/>
    <s v="No"/>
    <s v="Travel_Rarely"/>
    <n v="462"/>
    <x v="0"/>
    <n v="14"/>
    <n v="2"/>
    <s v="Medical"/>
    <n v="1"/>
    <n v="936"/>
    <n v="3"/>
    <s v="Female"/>
    <n v="68"/>
    <n v="2"/>
    <n v="2"/>
    <x v="0"/>
    <n v="3"/>
    <s v="Single"/>
    <n v="6244"/>
    <n v="7824"/>
    <n v="7"/>
    <s v="Y"/>
    <s v="No"/>
    <n v="17"/>
    <n v="3"/>
    <n v="1"/>
    <n v="80"/>
    <n v="0"/>
    <n v="10"/>
    <n v="6"/>
    <n v="3"/>
    <n v="5"/>
    <n v="4"/>
    <n v="0"/>
    <n v="3"/>
    <s v="OK"/>
    <s v="OK"/>
    <s v="OK"/>
    <s v="OK"/>
    <x v="0"/>
    <n v="0.8"/>
    <n v="1.2"/>
    <n v="0.6"/>
  </r>
  <r>
    <n v="33"/>
    <s v="No"/>
    <s v="Travel_Rarely"/>
    <n v="1198"/>
    <x v="1"/>
    <n v="1"/>
    <n v="4"/>
    <s v="Other"/>
    <n v="1"/>
    <n v="939"/>
    <n v="3"/>
    <s v="Male"/>
    <n v="100"/>
    <n v="2"/>
    <n v="1"/>
    <x v="1"/>
    <n v="1"/>
    <s v="Single"/>
    <n v="2799"/>
    <n v="3339"/>
    <n v="3"/>
    <s v="Y"/>
    <s v="Yes"/>
    <n v="11"/>
    <n v="3"/>
    <n v="2"/>
    <n v="80"/>
    <n v="0"/>
    <n v="6"/>
    <n v="1"/>
    <n v="3"/>
    <n v="3"/>
    <n v="2"/>
    <n v="0"/>
    <n v="2"/>
    <s v="OK"/>
    <s v="OK"/>
    <s v="OK"/>
    <s v="OK"/>
    <x v="0"/>
    <n v="0.66666666666666663"/>
    <n v="0.33333333333333331"/>
    <n v="0.66666666666666663"/>
  </r>
  <r>
    <n v="58"/>
    <s v="No"/>
    <s v="Travel_Rarely"/>
    <n v="1272"/>
    <x v="1"/>
    <n v="5"/>
    <n v="3"/>
    <s v="Technical Degree"/>
    <n v="1"/>
    <n v="940"/>
    <n v="3"/>
    <s v="Female"/>
    <n v="37"/>
    <n v="2"/>
    <n v="3"/>
    <x v="4"/>
    <n v="2"/>
    <s v="Divorced"/>
    <n v="10552"/>
    <n v="9255"/>
    <n v="2"/>
    <s v="Y"/>
    <s v="Yes"/>
    <n v="13"/>
    <n v="3"/>
    <n v="4"/>
    <n v="80"/>
    <n v="1"/>
    <n v="24"/>
    <n v="3"/>
    <n v="3"/>
    <n v="6"/>
    <n v="0"/>
    <n v="0"/>
    <n v="4"/>
    <s v="OK"/>
    <s v="OK"/>
    <s v="OK"/>
    <s v="OK"/>
    <x v="0"/>
    <n v="0"/>
    <n v="0.5"/>
    <n v="0.66666666666666663"/>
  </r>
  <r>
    <n v="31"/>
    <s v="No"/>
    <s v="Travel_Rarely"/>
    <n v="154"/>
    <x v="0"/>
    <n v="7"/>
    <n v="4"/>
    <s v="Life Sciences"/>
    <n v="1"/>
    <n v="941"/>
    <n v="2"/>
    <s v="Male"/>
    <n v="41"/>
    <n v="2"/>
    <n v="1"/>
    <x v="6"/>
    <n v="3"/>
    <s v="Married"/>
    <n v="2329"/>
    <n v="11737"/>
    <n v="3"/>
    <s v="Y"/>
    <s v="No"/>
    <n v="15"/>
    <n v="3"/>
    <n v="2"/>
    <n v="80"/>
    <n v="0"/>
    <n v="13"/>
    <n v="2"/>
    <n v="4"/>
    <n v="7"/>
    <n v="7"/>
    <n v="5"/>
    <n v="2"/>
    <s v="OK"/>
    <s v="OK"/>
    <s v="OK"/>
    <s v="OK"/>
    <x v="68"/>
    <n v="1"/>
    <n v="0.2857142857142857"/>
    <n v="0.2857142857142857"/>
  </r>
  <r>
    <n v="35"/>
    <s v="No"/>
    <s v="Travel_Rarely"/>
    <n v="1137"/>
    <x v="1"/>
    <n v="21"/>
    <n v="1"/>
    <s v="Life Sciences"/>
    <n v="1"/>
    <n v="942"/>
    <n v="4"/>
    <s v="Female"/>
    <n v="51"/>
    <n v="3"/>
    <n v="2"/>
    <x v="4"/>
    <n v="4"/>
    <s v="Married"/>
    <n v="4014"/>
    <n v="19170"/>
    <n v="1"/>
    <s v="Y"/>
    <s v="Yes"/>
    <n v="25"/>
    <n v="4"/>
    <n v="4"/>
    <n v="80"/>
    <n v="1"/>
    <n v="10"/>
    <n v="2"/>
    <n v="1"/>
    <n v="10"/>
    <n v="6"/>
    <n v="0"/>
    <n v="7"/>
    <s v="OK"/>
    <s v="OK"/>
    <s v="OK"/>
    <s v="OK"/>
    <x v="0"/>
    <n v="0.6"/>
    <n v="0.2"/>
    <n v="0.7"/>
  </r>
  <r>
    <n v="49"/>
    <s v="No"/>
    <s v="Travel_Rarely"/>
    <n v="527"/>
    <x v="1"/>
    <n v="8"/>
    <n v="2"/>
    <s v="Other"/>
    <n v="1"/>
    <n v="944"/>
    <n v="1"/>
    <s v="Female"/>
    <n v="51"/>
    <n v="3"/>
    <n v="3"/>
    <x v="2"/>
    <n v="2"/>
    <s v="Married"/>
    <n v="7403"/>
    <n v="22477"/>
    <n v="4"/>
    <s v="Y"/>
    <s v="No"/>
    <n v="11"/>
    <n v="3"/>
    <n v="3"/>
    <n v="80"/>
    <n v="1"/>
    <n v="29"/>
    <n v="3"/>
    <n v="2"/>
    <n v="26"/>
    <n v="9"/>
    <n v="1"/>
    <n v="7"/>
    <s v="OK"/>
    <s v="OK"/>
    <s v="OK"/>
    <s v="OK"/>
    <x v="80"/>
    <n v="0.34615384615384615"/>
    <n v="0.11538461538461539"/>
    <n v="0.26923076923076922"/>
  </r>
  <r>
    <n v="48"/>
    <s v="No"/>
    <s v="Travel_Rarely"/>
    <n v="1469"/>
    <x v="1"/>
    <n v="20"/>
    <n v="4"/>
    <s v="Medical"/>
    <n v="1"/>
    <n v="945"/>
    <n v="4"/>
    <s v="Male"/>
    <n v="51"/>
    <n v="3"/>
    <n v="1"/>
    <x v="1"/>
    <n v="3"/>
    <s v="Married"/>
    <n v="2259"/>
    <n v="5543"/>
    <n v="4"/>
    <s v="Y"/>
    <s v="No"/>
    <n v="17"/>
    <n v="3"/>
    <n v="1"/>
    <n v="80"/>
    <n v="2"/>
    <n v="13"/>
    <n v="2"/>
    <n v="2"/>
    <n v="0"/>
    <n v="0"/>
    <n v="0"/>
    <n v="0"/>
    <s v="OK"/>
    <s v="OK"/>
    <s v="OK"/>
    <s v="OK"/>
    <x v="0"/>
    <n v="0"/>
    <n v="0"/>
    <n v="0"/>
  </r>
  <r>
    <n v="31"/>
    <s v="No"/>
    <s v="Non-Travel"/>
    <n v="1188"/>
    <x v="0"/>
    <n v="20"/>
    <n v="2"/>
    <s v="Marketing"/>
    <n v="1"/>
    <n v="947"/>
    <n v="4"/>
    <s v="Female"/>
    <n v="45"/>
    <n v="3"/>
    <n v="2"/>
    <x v="0"/>
    <n v="3"/>
    <s v="Married"/>
    <n v="6932"/>
    <n v="24406"/>
    <n v="1"/>
    <s v="Y"/>
    <s v="No"/>
    <n v="13"/>
    <n v="3"/>
    <n v="4"/>
    <n v="80"/>
    <n v="1"/>
    <n v="9"/>
    <n v="2"/>
    <n v="2"/>
    <n v="9"/>
    <n v="8"/>
    <n v="0"/>
    <n v="0"/>
    <s v="OK"/>
    <s v="OK"/>
    <s v="OK"/>
    <s v="OK"/>
    <x v="0"/>
    <n v="0.88888888888888884"/>
    <n v="0.22222222222222221"/>
    <n v="0"/>
  </r>
  <r>
    <n v="36"/>
    <s v="No"/>
    <s v="Travel_Rarely"/>
    <n v="188"/>
    <x v="1"/>
    <n v="7"/>
    <n v="4"/>
    <s v="Other"/>
    <n v="1"/>
    <n v="949"/>
    <n v="2"/>
    <s v="Male"/>
    <n v="65"/>
    <n v="3"/>
    <n v="1"/>
    <x v="1"/>
    <n v="4"/>
    <s v="Single"/>
    <n v="4678"/>
    <n v="23293"/>
    <n v="2"/>
    <s v="Y"/>
    <s v="No"/>
    <n v="18"/>
    <n v="3"/>
    <n v="3"/>
    <n v="80"/>
    <n v="0"/>
    <n v="8"/>
    <n v="6"/>
    <n v="3"/>
    <n v="6"/>
    <n v="2"/>
    <n v="0"/>
    <n v="1"/>
    <s v="OK"/>
    <s v="OK"/>
    <s v="OK"/>
    <s v="OK"/>
    <x v="0"/>
    <n v="0.33333333333333331"/>
    <n v="1"/>
    <n v="0.16666666666666666"/>
  </r>
  <r>
    <n v="38"/>
    <s v="No"/>
    <s v="Travel_Rarely"/>
    <n v="1333"/>
    <x v="1"/>
    <n v="1"/>
    <n v="3"/>
    <s v="Technical Degree"/>
    <n v="1"/>
    <n v="950"/>
    <n v="4"/>
    <s v="Female"/>
    <n v="80"/>
    <n v="3"/>
    <n v="3"/>
    <x v="7"/>
    <n v="1"/>
    <s v="Married"/>
    <n v="13582"/>
    <n v="16292"/>
    <n v="1"/>
    <s v="Y"/>
    <s v="No"/>
    <n v="13"/>
    <n v="3"/>
    <n v="2"/>
    <n v="80"/>
    <n v="1"/>
    <n v="15"/>
    <n v="3"/>
    <n v="3"/>
    <n v="15"/>
    <n v="12"/>
    <n v="5"/>
    <n v="11"/>
    <s v="OK"/>
    <s v="OK"/>
    <s v="OK"/>
    <s v="OK"/>
    <x v="9"/>
    <n v="0.8"/>
    <n v="0.2"/>
    <n v="0.73333333333333328"/>
  </r>
  <r>
    <n v="32"/>
    <s v="No"/>
    <s v="Non-Travel"/>
    <n v="1184"/>
    <x v="1"/>
    <n v="1"/>
    <n v="3"/>
    <s v="Life Sciences"/>
    <n v="1"/>
    <n v="951"/>
    <n v="3"/>
    <s v="Female"/>
    <n v="70"/>
    <n v="2"/>
    <n v="1"/>
    <x v="2"/>
    <n v="2"/>
    <s v="Married"/>
    <n v="2332"/>
    <n v="3974"/>
    <n v="6"/>
    <s v="Y"/>
    <s v="No"/>
    <n v="20"/>
    <n v="4"/>
    <n v="3"/>
    <n v="80"/>
    <n v="0"/>
    <n v="5"/>
    <n v="3"/>
    <n v="3"/>
    <n v="3"/>
    <n v="0"/>
    <n v="0"/>
    <n v="2"/>
    <s v="OK"/>
    <s v="OK"/>
    <s v="OK"/>
    <s v="OK"/>
    <x v="0"/>
    <n v="0"/>
    <n v="1"/>
    <n v="0.66666666666666663"/>
  </r>
  <r>
    <n v="25"/>
    <s v="Yes"/>
    <s v="Travel_Rarely"/>
    <n v="867"/>
    <x v="0"/>
    <n v="19"/>
    <n v="2"/>
    <s v="Marketing"/>
    <n v="1"/>
    <n v="952"/>
    <n v="3"/>
    <s v="Male"/>
    <n v="36"/>
    <n v="2"/>
    <n v="1"/>
    <x v="6"/>
    <n v="2"/>
    <s v="Married"/>
    <n v="2413"/>
    <n v="18798"/>
    <n v="1"/>
    <s v="Y"/>
    <s v="Yes"/>
    <n v="18"/>
    <n v="3"/>
    <n v="3"/>
    <n v="80"/>
    <n v="3"/>
    <n v="1"/>
    <n v="2"/>
    <n v="3"/>
    <n v="1"/>
    <n v="0"/>
    <n v="0"/>
    <n v="0"/>
    <s v="OK"/>
    <s v="OK"/>
    <s v="OK"/>
    <s v="OK"/>
    <x v="0"/>
    <n v="0"/>
    <n v="2"/>
    <n v="0"/>
  </r>
  <r>
    <n v="40"/>
    <s v="No"/>
    <s v="Travel_Rarely"/>
    <n v="658"/>
    <x v="0"/>
    <n v="10"/>
    <n v="4"/>
    <s v="Marketing"/>
    <n v="1"/>
    <n v="954"/>
    <n v="1"/>
    <s v="Male"/>
    <n v="67"/>
    <n v="2"/>
    <n v="3"/>
    <x v="0"/>
    <n v="2"/>
    <s v="Divorced"/>
    <n v="9705"/>
    <n v="20652"/>
    <n v="2"/>
    <s v="Y"/>
    <s v="No"/>
    <n v="12"/>
    <n v="3"/>
    <n v="2"/>
    <n v="80"/>
    <n v="1"/>
    <n v="11"/>
    <n v="2"/>
    <n v="2"/>
    <n v="1"/>
    <n v="0"/>
    <n v="0"/>
    <n v="0"/>
    <s v="OK"/>
    <s v="OK"/>
    <s v="OK"/>
    <s v="OK"/>
    <x v="0"/>
    <n v="0"/>
    <n v="2"/>
    <n v="0"/>
  </r>
  <r>
    <n v="26"/>
    <s v="No"/>
    <s v="Travel_Frequently"/>
    <n v="1283"/>
    <x v="0"/>
    <n v="1"/>
    <n v="3"/>
    <s v="Medical"/>
    <n v="1"/>
    <n v="956"/>
    <n v="3"/>
    <s v="Male"/>
    <n v="52"/>
    <n v="2"/>
    <n v="2"/>
    <x v="0"/>
    <n v="1"/>
    <s v="Single"/>
    <n v="4294"/>
    <n v="11148"/>
    <n v="1"/>
    <s v="Y"/>
    <s v="No"/>
    <n v="12"/>
    <n v="3"/>
    <n v="2"/>
    <n v="80"/>
    <n v="0"/>
    <n v="7"/>
    <n v="2"/>
    <n v="3"/>
    <n v="7"/>
    <n v="7"/>
    <n v="0"/>
    <n v="7"/>
    <s v="OK"/>
    <s v="OK"/>
    <s v="OK"/>
    <s v="OK"/>
    <x v="0"/>
    <n v="1"/>
    <n v="0.2857142857142857"/>
    <n v="1"/>
  </r>
  <r>
    <n v="41"/>
    <s v="No"/>
    <s v="Travel_Rarely"/>
    <n v="263"/>
    <x v="1"/>
    <n v="6"/>
    <n v="3"/>
    <s v="Medical"/>
    <n v="1"/>
    <n v="957"/>
    <n v="4"/>
    <s v="Male"/>
    <n v="59"/>
    <n v="3"/>
    <n v="1"/>
    <x v="2"/>
    <n v="1"/>
    <s v="Single"/>
    <n v="4721"/>
    <n v="3119"/>
    <n v="2"/>
    <s v="Y"/>
    <s v="Yes"/>
    <n v="13"/>
    <n v="3"/>
    <n v="3"/>
    <n v="80"/>
    <n v="0"/>
    <n v="20"/>
    <n v="3"/>
    <n v="3"/>
    <n v="18"/>
    <n v="13"/>
    <n v="2"/>
    <n v="17"/>
    <s v="OK"/>
    <s v="OK"/>
    <s v="OK"/>
    <s v="OK"/>
    <x v="5"/>
    <n v="0.72222222222222221"/>
    <n v="0.16666666666666666"/>
    <n v="0.94444444444444442"/>
  </r>
  <r>
    <n v="36"/>
    <s v="No"/>
    <s v="Travel_Rarely"/>
    <n v="938"/>
    <x v="1"/>
    <n v="2"/>
    <n v="4"/>
    <s v="Medical"/>
    <n v="1"/>
    <n v="958"/>
    <n v="3"/>
    <s v="Male"/>
    <n v="79"/>
    <n v="3"/>
    <n v="1"/>
    <x v="2"/>
    <n v="3"/>
    <s v="Single"/>
    <n v="2519"/>
    <n v="12287"/>
    <n v="4"/>
    <s v="Y"/>
    <s v="No"/>
    <n v="21"/>
    <n v="4"/>
    <n v="3"/>
    <n v="80"/>
    <n v="0"/>
    <n v="16"/>
    <n v="6"/>
    <n v="3"/>
    <n v="11"/>
    <n v="8"/>
    <n v="3"/>
    <n v="9"/>
    <s v="OK"/>
    <s v="OK"/>
    <s v="OK"/>
    <s v="OK"/>
    <x v="81"/>
    <n v="0.72727272727272729"/>
    <n v="0.54545454545454541"/>
    <n v="0.81818181818181823"/>
  </r>
  <r>
    <n v="19"/>
    <s v="Yes"/>
    <s v="Travel_Rarely"/>
    <n v="419"/>
    <x v="0"/>
    <n v="21"/>
    <n v="3"/>
    <s v="Other"/>
    <n v="1"/>
    <n v="959"/>
    <n v="4"/>
    <s v="Male"/>
    <n v="37"/>
    <n v="2"/>
    <n v="1"/>
    <x v="6"/>
    <n v="2"/>
    <s v="Single"/>
    <n v="2121"/>
    <n v="9947"/>
    <n v="1"/>
    <s v="Y"/>
    <s v="Yes"/>
    <n v="13"/>
    <n v="3"/>
    <n v="2"/>
    <n v="80"/>
    <n v="0"/>
    <n v="1"/>
    <n v="3"/>
    <n v="4"/>
    <n v="1"/>
    <n v="0"/>
    <n v="0"/>
    <n v="0"/>
    <s v="OK"/>
    <s v="OK"/>
    <s v="OK"/>
    <s v="OK"/>
    <x v="0"/>
    <n v="0"/>
    <n v="3"/>
    <n v="0"/>
  </r>
  <r>
    <n v="20"/>
    <s v="Yes"/>
    <s v="Travel_Rarely"/>
    <n v="129"/>
    <x v="1"/>
    <n v="4"/>
    <n v="3"/>
    <s v="Technical Degree"/>
    <n v="1"/>
    <n v="960"/>
    <n v="1"/>
    <s v="Male"/>
    <n v="84"/>
    <n v="3"/>
    <n v="1"/>
    <x v="2"/>
    <n v="1"/>
    <s v="Single"/>
    <n v="2973"/>
    <n v="13008"/>
    <n v="1"/>
    <s v="Y"/>
    <s v="No"/>
    <n v="19"/>
    <n v="3"/>
    <n v="2"/>
    <n v="80"/>
    <n v="0"/>
    <n v="1"/>
    <n v="2"/>
    <n v="3"/>
    <n v="1"/>
    <n v="0"/>
    <n v="0"/>
    <n v="0"/>
    <s v="OK"/>
    <s v="OK"/>
    <s v="OK"/>
    <s v="OK"/>
    <x v="0"/>
    <n v="0"/>
    <n v="2"/>
    <n v="0"/>
  </r>
  <r>
    <n v="31"/>
    <s v="No"/>
    <s v="Travel_Rarely"/>
    <n v="616"/>
    <x v="1"/>
    <n v="12"/>
    <n v="3"/>
    <s v="Medical"/>
    <n v="1"/>
    <n v="961"/>
    <n v="4"/>
    <s v="Female"/>
    <n v="41"/>
    <n v="3"/>
    <n v="2"/>
    <x v="4"/>
    <n v="4"/>
    <s v="Married"/>
    <n v="5855"/>
    <n v="17369"/>
    <n v="0"/>
    <s v="Y"/>
    <s v="Yes"/>
    <n v="11"/>
    <n v="3"/>
    <n v="3"/>
    <n v="80"/>
    <n v="2"/>
    <n v="10"/>
    <n v="2"/>
    <n v="1"/>
    <n v="9"/>
    <n v="7"/>
    <n v="8"/>
    <n v="5"/>
    <s v="OK"/>
    <s v="OK"/>
    <s v="OK"/>
    <s v="OK"/>
    <x v="18"/>
    <n v="0.77777777777777779"/>
    <n v="0.22222222222222221"/>
    <n v="0.55555555555555558"/>
  </r>
  <r>
    <n v="40"/>
    <s v="No"/>
    <s v="Travel_Frequently"/>
    <n v="1469"/>
    <x v="1"/>
    <n v="9"/>
    <n v="4"/>
    <s v="Medical"/>
    <n v="1"/>
    <n v="964"/>
    <n v="4"/>
    <s v="Male"/>
    <n v="35"/>
    <n v="3"/>
    <n v="1"/>
    <x v="1"/>
    <n v="2"/>
    <s v="Divorced"/>
    <n v="3617"/>
    <n v="25063"/>
    <n v="8"/>
    <s v="Y"/>
    <s v="Yes"/>
    <n v="14"/>
    <n v="3"/>
    <n v="4"/>
    <n v="80"/>
    <n v="1"/>
    <n v="3"/>
    <n v="2"/>
    <n v="3"/>
    <n v="1"/>
    <n v="1"/>
    <n v="0"/>
    <n v="0"/>
    <s v="OK"/>
    <s v="OK"/>
    <s v="OK"/>
    <s v="OK"/>
    <x v="0"/>
    <n v="1"/>
    <n v="2"/>
    <n v="0"/>
  </r>
  <r>
    <n v="32"/>
    <s v="No"/>
    <s v="Travel_Rarely"/>
    <n v="498"/>
    <x v="1"/>
    <n v="3"/>
    <n v="4"/>
    <s v="Medical"/>
    <n v="1"/>
    <n v="966"/>
    <n v="3"/>
    <s v="Female"/>
    <n v="93"/>
    <n v="3"/>
    <n v="2"/>
    <x v="3"/>
    <n v="1"/>
    <s v="Married"/>
    <n v="6725"/>
    <n v="13554"/>
    <n v="1"/>
    <s v="Y"/>
    <s v="No"/>
    <n v="12"/>
    <n v="3"/>
    <n v="3"/>
    <n v="80"/>
    <n v="1"/>
    <n v="8"/>
    <n v="2"/>
    <n v="4"/>
    <n v="8"/>
    <n v="7"/>
    <n v="6"/>
    <n v="3"/>
    <s v="OK"/>
    <s v="OK"/>
    <s v="OK"/>
    <s v="OK"/>
    <x v="38"/>
    <n v="0.875"/>
    <n v="0.25"/>
    <n v="0.375"/>
  </r>
  <r>
    <n v="36"/>
    <s v="Yes"/>
    <s v="Travel_Rarely"/>
    <n v="530"/>
    <x v="0"/>
    <n v="3"/>
    <n v="1"/>
    <s v="Life Sciences"/>
    <n v="1"/>
    <n v="967"/>
    <n v="3"/>
    <s v="Male"/>
    <n v="51"/>
    <n v="2"/>
    <n v="3"/>
    <x v="0"/>
    <n v="4"/>
    <s v="Married"/>
    <n v="10325"/>
    <n v="5518"/>
    <n v="1"/>
    <s v="Y"/>
    <s v="Yes"/>
    <n v="11"/>
    <n v="3"/>
    <n v="1"/>
    <n v="80"/>
    <n v="1"/>
    <n v="16"/>
    <n v="6"/>
    <n v="3"/>
    <n v="16"/>
    <n v="7"/>
    <n v="3"/>
    <n v="7"/>
    <s v="OK"/>
    <s v="OK"/>
    <s v="OK"/>
    <s v="OK"/>
    <x v="82"/>
    <n v="0.4375"/>
    <n v="0.375"/>
    <n v="0.4375"/>
  </r>
  <r>
    <n v="33"/>
    <s v="No"/>
    <s v="Travel_Rarely"/>
    <n v="1069"/>
    <x v="1"/>
    <n v="1"/>
    <n v="3"/>
    <s v="Life Sciences"/>
    <n v="1"/>
    <n v="969"/>
    <n v="2"/>
    <s v="Female"/>
    <n v="42"/>
    <n v="2"/>
    <n v="2"/>
    <x v="4"/>
    <n v="4"/>
    <s v="Single"/>
    <n v="6949"/>
    <n v="12291"/>
    <n v="0"/>
    <s v="Y"/>
    <s v="No"/>
    <n v="14"/>
    <n v="3"/>
    <n v="1"/>
    <n v="80"/>
    <n v="0"/>
    <n v="6"/>
    <n v="3"/>
    <n v="3"/>
    <n v="5"/>
    <n v="0"/>
    <n v="1"/>
    <n v="4"/>
    <s v="OK"/>
    <s v="OK"/>
    <s v="OK"/>
    <s v="OK"/>
    <x v="16"/>
    <n v="0"/>
    <n v="0.6"/>
    <n v="0.8"/>
  </r>
  <r>
    <n v="37"/>
    <s v="Yes"/>
    <s v="Travel_Rarely"/>
    <n v="625"/>
    <x v="0"/>
    <n v="1"/>
    <n v="4"/>
    <s v="Life Sciences"/>
    <n v="1"/>
    <n v="970"/>
    <n v="1"/>
    <s v="Male"/>
    <n v="46"/>
    <n v="2"/>
    <n v="3"/>
    <x v="0"/>
    <n v="3"/>
    <s v="Married"/>
    <n v="10609"/>
    <n v="14922"/>
    <n v="5"/>
    <s v="Y"/>
    <s v="No"/>
    <n v="11"/>
    <n v="3"/>
    <n v="3"/>
    <n v="80"/>
    <n v="0"/>
    <n v="17"/>
    <n v="2"/>
    <n v="1"/>
    <n v="14"/>
    <n v="1"/>
    <n v="11"/>
    <n v="7"/>
    <s v="OK"/>
    <s v="OK"/>
    <s v="OK"/>
    <s v="OK"/>
    <x v="83"/>
    <n v="7.1428571428571425E-2"/>
    <n v="0.14285714285714285"/>
    <n v="0.5"/>
  </r>
  <r>
    <n v="45"/>
    <s v="No"/>
    <s v="Non-Travel"/>
    <n v="805"/>
    <x v="1"/>
    <n v="4"/>
    <n v="2"/>
    <s v="Life Sciences"/>
    <n v="1"/>
    <n v="972"/>
    <n v="3"/>
    <s v="Male"/>
    <n v="57"/>
    <n v="3"/>
    <n v="2"/>
    <x v="2"/>
    <n v="2"/>
    <s v="Married"/>
    <n v="4447"/>
    <n v="23163"/>
    <n v="1"/>
    <s v="Y"/>
    <s v="No"/>
    <n v="12"/>
    <n v="3"/>
    <n v="2"/>
    <n v="80"/>
    <n v="0"/>
    <n v="9"/>
    <n v="5"/>
    <n v="2"/>
    <n v="9"/>
    <n v="7"/>
    <n v="0"/>
    <n v="8"/>
    <s v="OK"/>
    <s v="OK"/>
    <s v="OK"/>
    <s v="OK"/>
    <x v="0"/>
    <n v="0.77777777777777779"/>
    <n v="0.55555555555555558"/>
    <n v="0.88888888888888884"/>
  </r>
  <r>
    <n v="29"/>
    <s v="No"/>
    <s v="Travel_Frequently"/>
    <n v="1404"/>
    <x v="0"/>
    <n v="20"/>
    <n v="3"/>
    <s v="Technical Degree"/>
    <n v="1"/>
    <n v="974"/>
    <n v="3"/>
    <s v="Female"/>
    <n v="84"/>
    <n v="3"/>
    <n v="1"/>
    <x v="6"/>
    <n v="4"/>
    <s v="Married"/>
    <n v="2157"/>
    <n v="18203"/>
    <n v="1"/>
    <s v="Y"/>
    <s v="No"/>
    <n v="15"/>
    <n v="3"/>
    <n v="2"/>
    <n v="80"/>
    <n v="1"/>
    <n v="3"/>
    <n v="5"/>
    <n v="3"/>
    <n v="3"/>
    <n v="1"/>
    <n v="0"/>
    <n v="2"/>
    <s v="OK"/>
    <s v="OK"/>
    <s v="OK"/>
    <s v="OK"/>
    <x v="0"/>
    <n v="0.33333333333333331"/>
    <n v="1.6666666666666667"/>
    <n v="0.66666666666666663"/>
  </r>
  <r>
    <n v="35"/>
    <s v="No"/>
    <s v="Travel_Rarely"/>
    <n v="1219"/>
    <x v="0"/>
    <n v="18"/>
    <n v="3"/>
    <s v="Medical"/>
    <n v="1"/>
    <n v="975"/>
    <n v="3"/>
    <s v="Female"/>
    <n v="86"/>
    <n v="3"/>
    <n v="2"/>
    <x v="0"/>
    <n v="3"/>
    <s v="Married"/>
    <n v="4601"/>
    <n v="6179"/>
    <n v="1"/>
    <s v="Y"/>
    <s v="No"/>
    <n v="16"/>
    <n v="3"/>
    <n v="2"/>
    <n v="80"/>
    <n v="0"/>
    <n v="5"/>
    <n v="3"/>
    <n v="3"/>
    <n v="5"/>
    <n v="2"/>
    <n v="1"/>
    <n v="0"/>
    <s v="OK"/>
    <s v="OK"/>
    <s v="OK"/>
    <s v="OK"/>
    <x v="16"/>
    <n v="0.4"/>
    <n v="0.6"/>
    <n v="0"/>
  </r>
  <r>
    <n v="52"/>
    <s v="No"/>
    <s v="Travel_Rarely"/>
    <n v="1053"/>
    <x v="1"/>
    <n v="1"/>
    <n v="2"/>
    <s v="Life Sciences"/>
    <n v="1"/>
    <n v="976"/>
    <n v="4"/>
    <s v="Male"/>
    <n v="70"/>
    <n v="3"/>
    <n v="4"/>
    <x v="5"/>
    <n v="4"/>
    <s v="Married"/>
    <n v="17099"/>
    <n v="13829"/>
    <n v="2"/>
    <s v="Y"/>
    <s v="No"/>
    <n v="15"/>
    <n v="3"/>
    <n v="2"/>
    <n v="80"/>
    <n v="1"/>
    <n v="26"/>
    <n v="2"/>
    <n v="2"/>
    <n v="9"/>
    <n v="8"/>
    <n v="7"/>
    <n v="8"/>
    <s v="OK"/>
    <s v="OK"/>
    <s v="OK"/>
    <s v="OK"/>
    <x v="21"/>
    <n v="0.88888888888888884"/>
    <n v="0.22222222222222221"/>
    <n v="0.88888888888888884"/>
  </r>
  <r>
    <n v="58"/>
    <s v="Yes"/>
    <s v="Travel_Rarely"/>
    <n v="289"/>
    <x v="1"/>
    <n v="2"/>
    <n v="3"/>
    <s v="Technical Degree"/>
    <n v="1"/>
    <n v="977"/>
    <n v="4"/>
    <s v="Male"/>
    <n v="51"/>
    <n v="3"/>
    <n v="1"/>
    <x v="1"/>
    <n v="3"/>
    <s v="Single"/>
    <n v="2479"/>
    <n v="26227"/>
    <n v="4"/>
    <s v="Y"/>
    <s v="No"/>
    <n v="24"/>
    <n v="4"/>
    <n v="1"/>
    <n v="80"/>
    <n v="0"/>
    <n v="7"/>
    <n v="4"/>
    <n v="3"/>
    <n v="1"/>
    <n v="0"/>
    <n v="0"/>
    <n v="0"/>
    <s v="OK"/>
    <s v="OK"/>
    <s v="OK"/>
    <s v="OK"/>
    <x v="0"/>
    <n v="0"/>
    <n v="4"/>
    <n v="0"/>
  </r>
  <r>
    <n v="53"/>
    <s v="No"/>
    <s v="Travel_Rarely"/>
    <n v="1376"/>
    <x v="0"/>
    <n v="2"/>
    <n v="2"/>
    <s v="Medical"/>
    <n v="1"/>
    <n v="981"/>
    <n v="3"/>
    <s v="Male"/>
    <n v="45"/>
    <n v="3"/>
    <n v="4"/>
    <x v="5"/>
    <n v="3"/>
    <s v="Divorced"/>
    <n v="14852"/>
    <n v="13938"/>
    <n v="6"/>
    <s v="Y"/>
    <s v="No"/>
    <n v="13"/>
    <n v="3"/>
    <n v="3"/>
    <n v="80"/>
    <n v="1"/>
    <n v="22"/>
    <n v="3"/>
    <n v="4"/>
    <n v="17"/>
    <n v="13"/>
    <n v="15"/>
    <n v="2"/>
    <s v="OK"/>
    <s v="OK"/>
    <s v="OK"/>
    <s v="OK"/>
    <x v="84"/>
    <n v="0.76470588235294112"/>
    <n v="0.17647058823529413"/>
    <n v="0.11764705882352941"/>
  </r>
  <r>
    <n v="30"/>
    <s v="No"/>
    <s v="Travel_Rarely"/>
    <n v="231"/>
    <x v="0"/>
    <n v="8"/>
    <n v="2"/>
    <s v="Other"/>
    <n v="1"/>
    <n v="982"/>
    <n v="3"/>
    <s v="Male"/>
    <n v="62"/>
    <n v="3"/>
    <n v="3"/>
    <x v="0"/>
    <n v="3"/>
    <s v="Divorced"/>
    <n v="7264"/>
    <n v="9977"/>
    <n v="5"/>
    <s v="Y"/>
    <s v="No"/>
    <n v="11"/>
    <n v="3"/>
    <n v="1"/>
    <n v="80"/>
    <n v="1"/>
    <n v="10"/>
    <n v="2"/>
    <n v="4"/>
    <n v="8"/>
    <n v="4"/>
    <n v="7"/>
    <n v="7"/>
    <s v="OK"/>
    <s v="OK"/>
    <s v="OK"/>
    <s v="OK"/>
    <x v="43"/>
    <n v="0.5"/>
    <n v="0.25"/>
    <n v="0.875"/>
  </r>
  <r>
    <n v="38"/>
    <s v="No"/>
    <s v="Non-Travel"/>
    <n v="152"/>
    <x v="0"/>
    <n v="10"/>
    <n v="3"/>
    <s v="Technical Degree"/>
    <n v="1"/>
    <n v="983"/>
    <n v="3"/>
    <s v="Female"/>
    <n v="85"/>
    <n v="3"/>
    <n v="2"/>
    <x v="0"/>
    <n v="4"/>
    <s v="Single"/>
    <n v="5666"/>
    <n v="19899"/>
    <n v="1"/>
    <s v="Y"/>
    <s v="Yes"/>
    <n v="13"/>
    <n v="3"/>
    <n v="2"/>
    <n v="80"/>
    <n v="0"/>
    <n v="6"/>
    <n v="1"/>
    <n v="3"/>
    <n v="5"/>
    <n v="3"/>
    <n v="1"/>
    <n v="3"/>
    <s v="OK"/>
    <s v="OK"/>
    <s v="OK"/>
    <s v="OK"/>
    <x v="16"/>
    <n v="0.6"/>
    <n v="0.2"/>
    <n v="0.6"/>
  </r>
  <r>
    <n v="35"/>
    <s v="No"/>
    <s v="Travel_Rarely"/>
    <n v="882"/>
    <x v="0"/>
    <n v="3"/>
    <n v="4"/>
    <s v="Life Sciences"/>
    <n v="1"/>
    <n v="984"/>
    <n v="4"/>
    <s v="Male"/>
    <n v="92"/>
    <n v="3"/>
    <n v="3"/>
    <x v="0"/>
    <n v="4"/>
    <s v="Divorced"/>
    <n v="7823"/>
    <n v="6812"/>
    <n v="6"/>
    <s v="Y"/>
    <s v="No"/>
    <n v="13"/>
    <n v="3"/>
    <n v="2"/>
    <n v="80"/>
    <n v="1"/>
    <n v="12"/>
    <n v="2"/>
    <n v="3"/>
    <n v="10"/>
    <n v="9"/>
    <n v="0"/>
    <n v="8"/>
    <s v="OK"/>
    <s v="OK"/>
    <s v="OK"/>
    <s v="OK"/>
    <x v="0"/>
    <n v="0.9"/>
    <n v="0.2"/>
    <n v="0.8"/>
  </r>
  <r>
    <n v="39"/>
    <s v="No"/>
    <s v="Travel_Rarely"/>
    <n v="903"/>
    <x v="0"/>
    <n v="2"/>
    <n v="5"/>
    <s v="Life Sciences"/>
    <n v="1"/>
    <n v="985"/>
    <n v="1"/>
    <s v="Male"/>
    <n v="41"/>
    <n v="4"/>
    <n v="3"/>
    <x v="0"/>
    <n v="3"/>
    <s v="Single"/>
    <n v="7880"/>
    <n v="2560"/>
    <n v="0"/>
    <s v="Y"/>
    <s v="No"/>
    <n v="18"/>
    <n v="3"/>
    <n v="4"/>
    <n v="80"/>
    <n v="0"/>
    <n v="9"/>
    <n v="3"/>
    <n v="3"/>
    <n v="8"/>
    <n v="7"/>
    <n v="0"/>
    <n v="7"/>
    <s v="OK"/>
    <s v="OK"/>
    <s v="OK"/>
    <s v="OK"/>
    <x v="0"/>
    <n v="0.875"/>
    <n v="0.375"/>
    <n v="0.875"/>
  </r>
  <r>
    <n v="40"/>
    <s v="Yes"/>
    <s v="Non-Travel"/>
    <n v="1479"/>
    <x v="0"/>
    <n v="24"/>
    <n v="3"/>
    <s v="Life Sciences"/>
    <n v="1"/>
    <n v="986"/>
    <n v="2"/>
    <s v="Female"/>
    <n v="100"/>
    <n v="4"/>
    <n v="4"/>
    <x v="0"/>
    <n v="2"/>
    <s v="Single"/>
    <n v="13194"/>
    <n v="17071"/>
    <n v="4"/>
    <s v="Y"/>
    <s v="Yes"/>
    <n v="16"/>
    <n v="3"/>
    <n v="4"/>
    <n v="80"/>
    <n v="0"/>
    <n v="22"/>
    <n v="2"/>
    <n v="2"/>
    <n v="1"/>
    <n v="0"/>
    <n v="0"/>
    <n v="0"/>
    <s v="OK"/>
    <s v="OK"/>
    <s v="OK"/>
    <s v="OK"/>
    <x v="0"/>
    <n v="0"/>
    <n v="2"/>
    <n v="0"/>
  </r>
  <r>
    <n v="47"/>
    <s v="No"/>
    <s v="Travel_Frequently"/>
    <n v="1379"/>
    <x v="1"/>
    <n v="16"/>
    <n v="4"/>
    <s v="Medical"/>
    <n v="1"/>
    <n v="987"/>
    <n v="3"/>
    <s v="Male"/>
    <n v="64"/>
    <n v="4"/>
    <n v="2"/>
    <x v="3"/>
    <n v="3"/>
    <s v="Divorced"/>
    <n v="5067"/>
    <n v="6759"/>
    <n v="1"/>
    <s v="Y"/>
    <s v="Yes"/>
    <n v="19"/>
    <n v="3"/>
    <n v="3"/>
    <n v="80"/>
    <n v="0"/>
    <n v="20"/>
    <n v="3"/>
    <n v="4"/>
    <n v="19"/>
    <n v="10"/>
    <n v="2"/>
    <n v="7"/>
    <s v="OK"/>
    <s v="OK"/>
    <s v="OK"/>
    <s v="OK"/>
    <x v="85"/>
    <n v="0.52631578947368418"/>
    <n v="0.15789473684210525"/>
    <n v="0.36842105263157893"/>
  </r>
  <r>
    <n v="36"/>
    <s v="No"/>
    <s v="Non-Travel"/>
    <n v="1229"/>
    <x v="0"/>
    <n v="8"/>
    <n v="4"/>
    <s v="Technical Degree"/>
    <n v="1"/>
    <n v="990"/>
    <n v="1"/>
    <s v="Male"/>
    <n v="84"/>
    <n v="3"/>
    <n v="2"/>
    <x v="0"/>
    <n v="4"/>
    <s v="Divorced"/>
    <n v="5079"/>
    <n v="25952"/>
    <n v="4"/>
    <s v="Y"/>
    <s v="No"/>
    <n v="13"/>
    <n v="3"/>
    <n v="4"/>
    <n v="80"/>
    <n v="2"/>
    <n v="12"/>
    <n v="3"/>
    <n v="3"/>
    <n v="7"/>
    <n v="7"/>
    <n v="0"/>
    <n v="7"/>
    <s v="OK"/>
    <s v="OK"/>
    <s v="OK"/>
    <s v="OK"/>
    <x v="0"/>
    <n v="1"/>
    <n v="0.42857142857142855"/>
    <n v="1"/>
  </r>
  <r>
    <n v="31"/>
    <s v="Yes"/>
    <s v="Non-Travel"/>
    <n v="335"/>
    <x v="1"/>
    <n v="9"/>
    <n v="2"/>
    <s v="Medical"/>
    <n v="1"/>
    <n v="991"/>
    <n v="3"/>
    <s v="Male"/>
    <n v="46"/>
    <n v="2"/>
    <n v="1"/>
    <x v="1"/>
    <n v="1"/>
    <s v="Single"/>
    <n v="2321"/>
    <n v="10322"/>
    <n v="0"/>
    <s v="Y"/>
    <s v="Yes"/>
    <n v="22"/>
    <n v="4"/>
    <n v="1"/>
    <n v="80"/>
    <n v="0"/>
    <n v="4"/>
    <n v="0"/>
    <n v="3"/>
    <n v="3"/>
    <n v="2"/>
    <n v="1"/>
    <n v="2"/>
    <s v="OK"/>
    <s v="OK"/>
    <s v="OK"/>
    <s v="OK"/>
    <x v="9"/>
    <n v="0.66666666666666663"/>
    <n v="0"/>
    <n v="0.66666666666666663"/>
  </r>
  <r>
    <n v="33"/>
    <s v="No"/>
    <s v="Non-Travel"/>
    <n v="722"/>
    <x v="0"/>
    <n v="17"/>
    <n v="3"/>
    <s v="Life Sciences"/>
    <n v="1"/>
    <n v="992"/>
    <n v="4"/>
    <s v="Male"/>
    <n v="38"/>
    <n v="3"/>
    <n v="4"/>
    <x v="5"/>
    <n v="3"/>
    <s v="Single"/>
    <n v="17444"/>
    <n v="20489"/>
    <n v="1"/>
    <s v="Y"/>
    <s v="No"/>
    <n v="11"/>
    <n v="3"/>
    <n v="4"/>
    <n v="80"/>
    <n v="0"/>
    <n v="10"/>
    <n v="2"/>
    <n v="3"/>
    <n v="10"/>
    <n v="8"/>
    <n v="6"/>
    <n v="0"/>
    <s v="OK"/>
    <s v="OK"/>
    <s v="OK"/>
    <s v="OK"/>
    <x v="13"/>
    <n v="0.8"/>
    <n v="0.2"/>
    <n v="0"/>
  </r>
  <r>
    <n v="29"/>
    <s v="Yes"/>
    <s v="Travel_Rarely"/>
    <n v="906"/>
    <x v="1"/>
    <n v="10"/>
    <n v="3"/>
    <s v="Life Sciences"/>
    <n v="1"/>
    <n v="994"/>
    <n v="4"/>
    <s v="Female"/>
    <n v="92"/>
    <n v="2"/>
    <n v="1"/>
    <x v="1"/>
    <n v="1"/>
    <s v="Single"/>
    <n v="2404"/>
    <n v="11479"/>
    <n v="6"/>
    <s v="Y"/>
    <s v="Yes"/>
    <n v="20"/>
    <n v="4"/>
    <n v="3"/>
    <n v="80"/>
    <n v="0"/>
    <n v="3"/>
    <n v="5"/>
    <n v="3"/>
    <n v="0"/>
    <n v="0"/>
    <n v="0"/>
    <n v="0"/>
    <s v="OK"/>
    <s v="OK"/>
    <s v="OK"/>
    <s v="OK"/>
    <x v="0"/>
    <n v="0"/>
    <n v="0"/>
    <n v="0"/>
  </r>
  <r>
    <n v="33"/>
    <s v="No"/>
    <s v="Travel_Rarely"/>
    <n v="461"/>
    <x v="1"/>
    <n v="13"/>
    <n v="1"/>
    <s v="Life Sciences"/>
    <n v="1"/>
    <n v="995"/>
    <n v="2"/>
    <s v="Female"/>
    <n v="53"/>
    <n v="3"/>
    <n v="1"/>
    <x v="1"/>
    <n v="4"/>
    <s v="Single"/>
    <n v="3452"/>
    <n v="17241"/>
    <n v="3"/>
    <s v="Y"/>
    <s v="No"/>
    <n v="18"/>
    <n v="3"/>
    <n v="1"/>
    <n v="80"/>
    <n v="0"/>
    <n v="5"/>
    <n v="4"/>
    <n v="3"/>
    <n v="3"/>
    <n v="2"/>
    <n v="0"/>
    <n v="2"/>
    <s v="OK"/>
    <s v="OK"/>
    <s v="OK"/>
    <s v="OK"/>
    <x v="0"/>
    <n v="0.66666666666666663"/>
    <n v="1.3333333333333333"/>
    <n v="0.66666666666666663"/>
  </r>
  <r>
    <n v="45"/>
    <s v="No"/>
    <s v="Travel_Rarely"/>
    <n v="974"/>
    <x v="1"/>
    <n v="1"/>
    <n v="4"/>
    <s v="Medical"/>
    <n v="1"/>
    <n v="996"/>
    <n v="4"/>
    <s v="Female"/>
    <n v="91"/>
    <n v="3"/>
    <n v="1"/>
    <x v="2"/>
    <n v="4"/>
    <s v="Divorced"/>
    <n v="2270"/>
    <n v="11005"/>
    <n v="3"/>
    <s v="Y"/>
    <s v="No"/>
    <n v="14"/>
    <n v="3"/>
    <n v="4"/>
    <n v="80"/>
    <n v="2"/>
    <n v="8"/>
    <n v="2"/>
    <n v="3"/>
    <n v="5"/>
    <n v="3"/>
    <n v="0"/>
    <n v="2"/>
    <s v="OK"/>
    <s v="OK"/>
    <s v="OK"/>
    <s v="OK"/>
    <x v="0"/>
    <n v="0.6"/>
    <n v="0.4"/>
    <n v="0.4"/>
  </r>
  <r>
    <n v="50"/>
    <s v="No"/>
    <s v="Travel_Rarely"/>
    <n v="1126"/>
    <x v="1"/>
    <n v="1"/>
    <n v="2"/>
    <s v="Medical"/>
    <n v="1"/>
    <n v="997"/>
    <n v="4"/>
    <s v="Male"/>
    <n v="66"/>
    <n v="3"/>
    <n v="4"/>
    <x v="7"/>
    <n v="4"/>
    <s v="Divorced"/>
    <n v="17399"/>
    <n v="6615"/>
    <n v="9"/>
    <s v="Y"/>
    <s v="No"/>
    <n v="22"/>
    <n v="4"/>
    <n v="3"/>
    <n v="80"/>
    <n v="1"/>
    <n v="32"/>
    <n v="1"/>
    <n v="2"/>
    <n v="5"/>
    <n v="4"/>
    <n v="1"/>
    <n v="3"/>
    <s v="OK"/>
    <s v="OK"/>
    <s v="OK"/>
    <s v="OK"/>
    <x v="16"/>
    <n v="0.8"/>
    <n v="0.2"/>
    <n v="0.6"/>
  </r>
  <r>
    <n v="33"/>
    <s v="No"/>
    <s v="Travel_Frequently"/>
    <n v="827"/>
    <x v="1"/>
    <n v="1"/>
    <n v="4"/>
    <s v="Other"/>
    <n v="1"/>
    <n v="998"/>
    <n v="3"/>
    <s v="Female"/>
    <n v="84"/>
    <n v="4"/>
    <n v="2"/>
    <x v="4"/>
    <n v="2"/>
    <s v="Married"/>
    <n v="5488"/>
    <n v="20161"/>
    <n v="1"/>
    <s v="Y"/>
    <s v="Yes"/>
    <n v="13"/>
    <n v="3"/>
    <n v="1"/>
    <n v="80"/>
    <n v="1"/>
    <n v="6"/>
    <n v="2"/>
    <n v="3"/>
    <n v="6"/>
    <n v="5"/>
    <n v="1"/>
    <n v="2"/>
    <s v="OK"/>
    <s v="OK"/>
    <s v="OK"/>
    <s v="OK"/>
    <x v="11"/>
    <n v="0.83333333333333337"/>
    <n v="0.33333333333333331"/>
    <n v="0.33333333333333331"/>
  </r>
  <r>
    <n v="41"/>
    <s v="No"/>
    <s v="Travel_Frequently"/>
    <n v="840"/>
    <x v="1"/>
    <n v="9"/>
    <n v="3"/>
    <s v="Medical"/>
    <n v="1"/>
    <n v="999"/>
    <n v="1"/>
    <s v="Male"/>
    <n v="64"/>
    <n v="3"/>
    <n v="5"/>
    <x v="7"/>
    <n v="3"/>
    <s v="Divorced"/>
    <n v="19419"/>
    <n v="3735"/>
    <n v="2"/>
    <s v="Y"/>
    <s v="No"/>
    <n v="17"/>
    <n v="3"/>
    <n v="2"/>
    <n v="80"/>
    <n v="1"/>
    <n v="21"/>
    <n v="2"/>
    <n v="4"/>
    <n v="18"/>
    <n v="16"/>
    <n v="0"/>
    <n v="11"/>
    <s v="OK"/>
    <s v="OK"/>
    <s v="OK"/>
    <s v="OK"/>
    <x v="0"/>
    <n v="0.88888888888888884"/>
    <n v="0.1111111111111111"/>
    <n v="0.61111111111111116"/>
  </r>
  <r>
    <n v="27"/>
    <s v="No"/>
    <s v="Travel_Rarely"/>
    <n v="1134"/>
    <x v="1"/>
    <n v="16"/>
    <n v="4"/>
    <s v="Technical Degree"/>
    <n v="1"/>
    <n v="1001"/>
    <n v="3"/>
    <s v="Female"/>
    <n v="37"/>
    <n v="3"/>
    <n v="1"/>
    <x v="2"/>
    <n v="2"/>
    <s v="Married"/>
    <n v="2811"/>
    <n v="12086"/>
    <n v="9"/>
    <s v="Y"/>
    <s v="No"/>
    <n v="14"/>
    <n v="3"/>
    <n v="2"/>
    <n v="80"/>
    <n v="1"/>
    <n v="4"/>
    <n v="2"/>
    <n v="3"/>
    <n v="2"/>
    <n v="2"/>
    <n v="2"/>
    <n v="2"/>
    <s v="OK"/>
    <s v="OK"/>
    <s v="OK"/>
    <s v="OK"/>
    <x v="3"/>
    <n v="1"/>
    <n v="1"/>
    <n v="1"/>
  </r>
  <r>
    <n v="45"/>
    <s v="No"/>
    <s v="Non-Travel"/>
    <n v="248"/>
    <x v="1"/>
    <n v="23"/>
    <n v="2"/>
    <s v="Life Sciences"/>
    <n v="1"/>
    <n v="1002"/>
    <n v="4"/>
    <s v="Male"/>
    <n v="42"/>
    <n v="3"/>
    <n v="2"/>
    <x v="2"/>
    <n v="1"/>
    <s v="Married"/>
    <n v="3633"/>
    <n v="14039"/>
    <n v="1"/>
    <s v="Y"/>
    <s v="Yes"/>
    <n v="15"/>
    <n v="3"/>
    <n v="3"/>
    <n v="80"/>
    <n v="1"/>
    <n v="9"/>
    <n v="2"/>
    <n v="3"/>
    <n v="9"/>
    <n v="8"/>
    <n v="0"/>
    <n v="8"/>
    <s v="OK"/>
    <s v="OK"/>
    <s v="OK"/>
    <s v="OK"/>
    <x v="0"/>
    <n v="0.88888888888888884"/>
    <n v="0.22222222222222221"/>
    <n v="0.88888888888888884"/>
  </r>
  <r>
    <n v="47"/>
    <s v="No"/>
    <s v="Travel_Rarely"/>
    <n v="955"/>
    <x v="0"/>
    <n v="4"/>
    <n v="2"/>
    <s v="Life Sciences"/>
    <n v="1"/>
    <n v="1003"/>
    <n v="4"/>
    <s v="Female"/>
    <n v="83"/>
    <n v="3"/>
    <n v="2"/>
    <x v="0"/>
    <n v="4"/>
    <s v="Single"/>
    <n v="4163"/>
    <n v="8571"/>
    <n v="1"/>
    <s v="Y"/>
    <s v="Yes"/>
    <n v="17"/>
    <n v="3"/>
    <n v="3"/>
    <n v="80"/>
    <n v="0"/>
    <n v="9"/>
    <n v="0"/>
    <n v="3"/>
    <n v="9"/>
    <n v="0"/>
    <n v="0"/>
    <n v="7"/>
    <s v="OK"/>
    <s v="OK"/>
    <s v="OK"/>
    <s v="OK"/>
    <x v="0"/>
    <n v="0"/>
    <n v="0"/>
    <n v="0.77777777777777779"/>
  </r>
  <r>
    <n v="30"/>
    <s v="Yes"/>
    <s v="Travel_Rarely"/>
    <n v="138"/>
    <x v="1"/>
    <n v="22"/>
    <n v="3"/>
    <s v="Life Sciences"/>
    <n v="1"/>
    <n v="1004"/>
    <n v="1"/>
    <s v="Female"/>
    <n v="48"/>
    <n v="3"/>
    <n v="1"/>
    <x v="1"/>
    <n v="3"/>
    <s v="Married"/>
    <n v="2132"/>
    <n v="11539"/>
    <n v="4"/>
    <s v="Y"/>
    <s v="Yes"/>
    <n v="11"/>
    <n v="3"/>
    <n v="2"/>
    <n v="80"/>
    <n v="0"/>
    <n v="7"/>
    <n v="2"/>
    <n v="3"/>
    <n v="5"/>
    <n v="2"/>
    <n v="0"/>
    <n v="1"/>
    <s v="OK"/>
    <s v="OK"/>
    <s v="OK"/>
    <s v="OK"/>
    <x v="0"/>
    <n v="0.4"/>
    <n v="0.4"/>
    <n v="0.2"/>
  </r>
  <r>
    <n v="50"/>
    <s v="No"/>
    <s v="Travel_Rarely"/>
    <n v="939"/>
    <x v="1"/>
    <n v="24"/>
    <n v="3"/>
    <s v="Life Sciences"/>
    <n v="1"/>
    <n v="1005"/>
    <n v="4"/>
    <s v="Male"/>
    <n v="95"/>
    <n v="3"/>
    <n v="4"/>
    <x v="3"/>
    <n v="3"/>
    <s v="Married"/>
    <n v="13973"/>
    <n v="4161"/>
    <n v="3"/>
    <s v="Y"/>
    <s v="Yes"/>
    <n v="18"/>
    <n v="3"/>
    <n v="4"/>
    <n v="80"/>
    <n v="1"/>
    <n v="22"/>
    <n v="2"/>
    <n v="3"/>
    <n v="12"/>
    <n v="11"/>
    <n v="1"/>
    <n v="5"/>
    <s v="OK"/>
    <s v="OK"/>
    <s v="OK"/>
    <s v="OK"/>
    <x v="45"/>
    <n v="0.91666666666666663"/>
    <n v="0.16666666666666666"/>
    <n v="0.41666666666666669"/>
  </r>
  <r>
    <n v="38"/>
    <s v="No"/>
    <s v="Travel_Frequently"/>
    <n v="1391"/>
    <x v="1"/>
    <n v="10"/>
    <n v="1"/>
    <s v="Medical"/>
    <n v="1"/>
    <n v="1006"/>
    <n v="3"/>
    <s v="Male"/>
    <n v="66"/>
    <n v="3"/>
    <n v="1"/>
    <x v="1"/>
    <n v="3"/>
    <s v="Married"/>
    <n v="2684"/>
    <n v="12127"/>
    <n v="0"/>
    <s v="Y"/>
    <s v="No"/>
    <n v="17"/>
    <n v="3"/>
    <n v="2"/>
    <n v="80"/>
    <n v="1"/>
    <n v="3"/>
    <n v="0"/>
    <n v="2"/>
    <n v="2"/>
    <n v="1"/>
    <n v="0"/>
    <n v="2"/>
    <s v="OK"/>
    <s v="OK"/>
    <s v="OK"/>
    <s v="OK"/>
    <x v="0"/>
    <n v="0.5"/>
    <n v="0"/>
    <n v="1"/>
  </r>
  <r>
    <n v="46"/>
    <s v="No"/>
    <s v="Travel_Rarely"/>
    <n v="566"/>
    <x v="1"/>
    <n v="7"/>
    <n v="2"/>
    <s v="Medical"/>
    <n v="1"/>
    <n v="1007"/>
    <n v="4"/>
    <s v="Male"/>
    <n v="75"/>
    <n v="3"/>
    <n v="3"/>
    <x v="3"/>
    <n v="3"/>
    <s v="Divorced"/>
    <n v="10845"/>
    <n v="24208"/>
    <n v="6"/>
    <s v="Y"/>
    <s v="No"/>
    <n v="13"/>
    <n v="3"/>
    <n v="2"/>
    <n v="80"/>
    <n v="1"/>
    <n v="13"/>
    <n v="3"/>
    <n v="3"/>
    <n v="8"/>
    <n v="7"/>
    <n v="0"/>
    <n v="7"/>
    <s v="OK"/>
    <s v="OK"/>
    <s v="OK"/>
    <s v="OK"/>
    <x v="0"/>
    <n v="0.875"/>
    <n v="0.375"/>
    <n v="0.875"/>
  </r>
  <r>
    <n v="24"/>
    <s v="No"/>
    <s v="Travel_Rarely"/>
    <n v="1206"/>
    <x v="1"/>
    <n v="17"/>
    <n v="1"/>
    <s v="Medical"/>
    <n v="1"/>
    <n v="1009"/>
    <n v="4"/>
    <s v="Female"/>
    <n v="41"/>
    <n v="2"/>
    <n v="2"/>
    <x v="3"/>
    <n v="3"/>
    <s v="Divorced"/>
    <n v="4377"/>
    <n v="24117"/>
    <n v="1"/>
    <s v="Y"/>
    <s v="No"/>
    <n v="15"/>
    <n v="3"/>
    <n v="2"/>
    <n v="80"/>
    <n v="2"/>
    <n v="5"/>
    <n v="6"/>
    <n v="3"/>
    <n v="4"/>
    <n v="2"/>
    <n v="3"/>
    <n v="2"/>
    <s v="OK"/>
    <s v="OK"/>
    <s v="OK"/>
    <s v="OK"/>
    <x v="38"/>
    <n v="0.5"/>
    <n v="1.5"/>
    <n v="0.5"/>
  </r>
  <r>
    <n v="35"/>
    <s v="Yes"/>
    <s v="Travel_Rarely"/>
    <n v="622"/>
    <x v="1"/>
    <n v="14"/>
    <n v="4"/>
    <s v="Other"/>
    <n v="1"/>
    <n v="1010"/>
    <n v="3"/>
    <s v="Male"/>
    <n v="39"/>
    <n v="2"/>
    <n v="1"/>
    <x v="2"/>
    <n v="2"/>
    <s v="Divorced"/>
    <n v="3743"/>
    <n v="10074"/>
    <n v="1"/>
    <s v="Y"/>
    <s v="Yes"/>
    <n v="24"/>
    <n v="4"/>
    <n v="4"/>
    <n v="80"/>
    <n v="1"/>
    <n v="5"/>
    <n v="2"/>
    <n v="1"/>
    <n v="4"/>
    <n v="2"/>
    <n v="0"/>
    <n v="2"/>
    <s v="OK"/>
    <s v="OK"/>
    <s v="OK"/>
    <s v="OK"/>
    <x v="0"/>
    <n v="0.5"/>
    <n v="0.5"/>
    <n v="0.5"/>
  </r>
  <r>
    <n v="31"/>
    <s v="No"/>
    <s v="Travel_Frequently"/>
    <n v="853"/>
    <x v="1"/>
    <n v="1"/>
    <n v="1"/>
    <s v="Life Sciences"/>
    <n v="1"/>
    <n v="1011"/>
    <n v="3"/>
    <s v="Female"/>
    <n v="96"/>
    <n v="3"/>
    <n v="2"/>
    <x v="3"/>
    <n v="1"/>
    <s v="Married"/>
    <n v="4148"/>
    <n v="11275"/>
    <n v="1"/>
    <s v="Y"/>
    <s v="No"/>
    <n v="12"/>
    <n v="3"/>
    <n v="3"/>
    <n v="80"/>
    <n v="1"/>
    <n v="4"/>
    <n v="1"/>
    <n v="3"/>
    <n v="4"/>
    <n v="3"/>
    <n v="0"/>
    <n v="3"/>
    <s v="OK"/>
    <s v="OK"/>
    <s v="OK"/>
    <s v="OK"/>
    <x v="0"/>
    <n v="0.75"/>
    <n v="0.25"/>
    <n v="0.75"/>
  </r>
  <r>
    <n v="18"/>
    <s v="No"/>
    <s v="Non-Travel"/>
    <n v="287"/>
    <x v="1"/>
    <n v="5"/>
    <n v="2"/>
    <s v="Life Sciences"/>
    <n v="1"/>
    <n v="1012"/>
    <n v="2"/>
    <s v="Male"/>
    <n v="73"/>
    <n v="3"/>
    <n v="1"/>
    <x v="1"/>
    <n v="4"/>
    <s v="Single"/>
    <n v="1051"/>
    <n v="13493"/>
    <n v="1"/>
    <s v="Y"/>
    <s v="No"/>
    <n v="15"/>
    <n v="3"/>
    <n v="4"/>
    <n v="80"/>
    <n v="0"/>
    <n v="0"/>
    <n v="2"/>
    <n v="3"/>
    <n v="0"/>
    <n v="0"/>
    <n v="0"/>
    <n v="0"/>
    <s v="OK"/>
    <s v="OK"/>
    <s v="OK"/>
    <s v="OK"/>
    <x v="0"/>
    <n v="0"/>
    <n v="0"/>
    <n v="0"/>
  </r>
  <r>
    <n v="54"/>
    <s v="No"/>
    <s v="Travel_Rarely"/>
    <n v="1441"/>
    <x v="1"/>
    <n v="17"/>
    <n v="3"/>
    <s v="Technical Degree"/>
    <n v="1"/>
    <n v="1013"/>
    <n v="3"/>
    <s v="Female"/>
    <n v="56"/>
    <n v="3"/>
    <n v="3"/>
    <x v="3"/>
    <n v="3"/>
    <s v="Married"/>
    <n v="10739"/>
    <n v="13943"/>
    <n v="8"/>
    <s v="Y"/>
    <s v="No"/>
    <n v="11"/>
    <n v="3"/>
    <n v="3"/>
    <n v="80"/>
    <n v="1"/>
    <n v="22"/>
    <n v="2"/>
    <n v="3"/>
    <n v="10"/>
    <n v="7"/>
    <n v="0"/>
    <n v="8"/>
    <s v="OK"/>
    <s v="OK"/>
    <s v="OK"/>
    <s v="OK"/>
    <x v="0"/>
    <n v="0.7"/>
    <n v="0.2"/>
    <n v="0.8"/>
  </r>
  <r>
    <n v="35"/>
    <s v="No"/>
    <s v="Travel_Rarely"/>
    <n v="583"/>
    <x v="1"/>
    <n v="25"/>
    <n v="4"/>
    <s v="Medical"/>
    <n v="1"/>
    <n v="1014"/>
    <n v="3"/>
    <s v="Female"/>
    <n v="57"/>
    <n v="3"/>
    <n v="3"/>
    <x v="4"/>
    <n v="3"/>
    <s v="Divorced"/>
    <n v="10388"/>
    <n v="6975"/>
    <n v="1"/>
    <s v="Y"/>
    <s v="Yes"/>
    <n v="11"/>
    <n v="3"/>
    <n v="3"/>
    <n v="80"/>
    <n v="1"/>
    <n v="16"/>
    <n v="3"/>
    <n v="2"/>
    <n v="16"/>
    <n v="10"/>
    <n v="10"/>
    <n v="1"/>
    <s v="OK"/>
    <s v="OK"/>
    <s v="OK"/>
    <s v="OK"/>
    <x v="39"/>
    <n v="0.625"/>
    <n v="0.1875"/>
    <n v="6.25E-2"/>
  </r>
  <r>
    <n v="30"/>
    <s v="No"/>
    <s v="Travel_Rarely"/>
    <n v="153"/>
    <x v="1"/>
    <n v="8"/>
    <n v="2"/>
    <s v="Life Sciences"/>
    <n v="1"/>
    <n v="1015"/>
    <n v="2"/>
    <s v="Female"/>
    <n v="73"/>
    <n v="4"/>
    <n v="3"/>
    <x v="7"/>
    <n v="1"/>
    <s v="Married"/>
    <n v="11416"/>
    <n v="17802"/>
    <n v="0"/>
    <s v="Y"/>
    <s v="Yes"/>
    <n v="12"/>
    <n v="3"/>
    <n v="3"/>
    <n v="80"/>
    <n v="3"/>
    <n v="9"/>
    <n v="4"/>
    <n v="2"/>
    <n v="8"/>
    <n v="7"/>
    <n v="1"/>
    <n v="7"/>
    <s v="OK"/>
    <s v="OK"/>
    <s v="OK"/>
    <s v="OK"/>
    <x v="33"/>
    <n v="0.875"/>
    <n v="0.5"/>
    <n v="0.875"/>
  </r>
  <r>
    <n v="20"/>
    <s v="Yes"/>
    <s v="Travel_Rarely"/>
    <n v="1097"/>
    <x v="1"/>
    <n v="11"/>
    <n v="3"/>
    <s v="Medical"/>
    <n v="1"/>
    <n v="1016"/>
    <n v="4"/>
    <s v="Female"/>
    <n v="98"/>
    <n v="2"/>
    <n v="1"/>
    <x v="1"/>
    <n v="1"/>
    <s v="Single"/>
    <n v="2600"/>
    <n v="18275"/>
    <n v="1"/>
    <s v="Y"/>
    <s v="Yes"/>
    <n v="15"/>
    <n v="3"/>
    <n v="1"/>
    <n v="80"/>
    <n v="0"/>
    <n v="1"/>
    <n v="2"/>
    <n v="3"/>
    <n v="1"/>
    <n v="0"/>
    <n v="0"/>
    <n v="0"/>
    <s v="OK"/>
    <s v="OK"/>
    <s v="OK"/>
    <s v="OK"/>
    <x v="0"/>
    <n v="0"/>
    <n v="2"/>
    <n v="0"/>
  </r>
  <r>
    <n v="30"/>
    <s v="Yes"/>
    <s v="Travel_Frequently"/>
    <n v="109"/>
    <x v="1"/>
    <n v="5"/>
    <n v="3"/>
    <s v="Medical"/>
    <n v="1"/>
    <n v="1017"/>
    <n v="2"/>
    <s v="Female"/>
    <n v="60"/>
    <n v="3"/>
    <n v="1"/>
    <x v="2"/>
    <n v="2"/>
    <s v="Single"/>
    <n v="2422"/>
    <n v="25725"/>
    <n v="0"/>
    <s v="Y"/>
    <s v="No"/>
    <n v="17"/>
    <n v="3"/>
    <n v="1"/>
    <n v="80"/>
    <n v="0"/>
    <n v="4"/>
    <n v="3"/>
    <n v="3"/>
    <n v="3"/>
    <n v="2"/>
    <n v="1"/>
    <n v="2"/>
    <s v="OK"/>
    <s v="OK"/>
    <s v="OK"/>
    <s v="OK"/>
    <x v="9"/>
    <n v="0.66666666666666663"/>
    <n v="1"/>
    <n v="0.66666666666666663"/>
  </r>
  <r>
    <n v="26"/>
    <s v="No"/>
    <s v="Travel_Rarely"/>
    <n v="1066"/>
    <x v="1"/>
    <n v="2"/>
    <n v="2"/>
    <s v="Medical"/>
    <n v="1"/>
    <n v="1018"/>
    <n v="4"/>
    <s v="Male"/>
    <n v="32"/>
    <n v="4"/>
    <n v="2"/>
    <x v="3"/>
    <n v="4"/>
    <s v="Married"/>
    <n v="5472"/>
    <n v="3334"/>
    <n v="1"/>
    <s v="Y"/>
    <s v="No"/>
    <n v="12"/>
    <n v="3"/>
    <n v="2"/>
    <n v="80"/>
    <n v="0"/>
    <n v="8"/>
    <n v="2"/>
    <n v="3"/>
    <n v="8"/>
    <n v="7"/>
    <n v="1"/>
    <n v="3"/>
    <s v="OK"/>
    <s v="OK"/>
    <s v="OK"/>
    <s v="OK"/>
    <x v="33"/>
    <n v="0.875"/>
    <n v="0.25"/>
    <n v="0.375"/>
  </r>
  <r>
    <n v="22"/>
    <s v="No"/>
    <s v="Travel_Rarely"/>
    <n v="217"/>
    <x v="1"/>
    <n v="8"/>
    <n v="1"/>
    <s v="Life Sciences"/>
    <n v="1"/>
    <n v="1019"/>
    <n v="2"/>
    <s v="Male"/>
    <n v="94"/>
    <n v="1"/>
    <n v="1"/>
    <x v="2"/>
    <n v="1"/>
    <s v="Married"/>
    <n v="2451"/>
    <n v="6881"/>
    <n v="1"/>
    <s v="Y"/>
    <s v="No"/>
    <n v="15"/>
    <n v="3"/>
    <n v="1"/>
    <n v="80"/>
    <n v="1"/>
    <n v="4"/>
    <n v="3"/>
    <n v="2"/>
    <n v="4"/>
    <n v="3"/>
    <n v="1"/>
    <n v="1"/>
    <s v="OK"/>
    <s v="OK"/>
    <s v="OK"/>
    <s v="OK"/>
    <x v="10"/>
    <n v="0.75"/>
    <n v="0.75"/>
    <n v="0.25"/>
  </r>
  <r>
    <n v="48"/>
    <s v="No"/>
    <s v="Travel_Rarely"/>
    <n v="277"/>
    <x v="1"/>
    <n v="6"/>
    <n v="3"/>
    <s v="Life Sciences"/>
    <n v="1"/>
    <n v="1022"/>
    <n v="1"/>
    <s v="Male"/>
    <n v="97"/>
    <n v="2"/>
    <n v="2"/>
    <x v="4"/>
    <n v="3"/>
    <s v="Single"/>
    <n v="4240"/>
    <n v="13119"/>
    <n v="2"/>
    <s v="Y"/>
    <s v="No"/>
    <n v="13"/>
    <n v="3"/>
    <n v="4"/>
    <n v="80"/>
    <n v="0"/>
    <n v="19"/>
    <n v="0"/>
    <n v="3"/>
    <n v="2"/>
    <n v="2"/>
    <n v="2"/>
    <n v="2"/>
    <s v="OK"/>
    <s v="OK"/>
    <s v="OK"/>
    <s v="OK"/>
    <x v="3"/>
    <n v="1"/>
    <n v="0"/>
    <n v="1"/>
  </r>
  <r>
    <n v="48"/>
    <s v="No"/>
    <s v="Travel_Rarely"/>
    <n v="1355"/>
    <x v="1"/>
    <n v="4"/>
    <n v="4"/>
    <s v="Life Sciences"/>
    <n v="1"/>
    <n v="1024"/>
    <n v="3"/>
    <s v="Male"/>
    <n v="78"/>
    <n v="2"/>
    <n v="3"/>
    <x v="4"/>
    <n v="3"/>
    <s v="Single"/>
    <n v="10999"/>
    <n v="22245"/>
    <n v="7"/>
    <s v="Y"/>
    <s v="No"/>
    <n v="14"/>
    <n v="3"/>
    <n v="2"/>
    <n v="80"/>
    <n v="0"/>
    <n v="27"/>
    <n v="3"/>
    <n v="3"/>
    <n v="15"/>
    <n v="11"/>
    <n v="4"/>
    <n v="8"/>
    <s v="OK"/>
    <s v="OK"/>
    <s v="OK"/>
    <s v="OK"/>
    <x v="75"/>
    <n v="0.73333333333333328"/>
    <n v="0.2"/>
    <n v="0.53333333333333333"/>
  </r>
  <r>
    <n v="41"/>
    <s v="No"/>
    <s v="Travel_Rarely"/>
    <n v="549"/>
    <x v="1"/>
    <n v="7"/>
    <n v="2"/>
    <s v="Medical"/>
    <n v="1"/>
    <n v="1025"/>
    <n v="4"/>
    <s v="Female"/>
    <n v="42"/>
    <n v="3"/>
    <n v="2"/>
    <x v="3"/>
    <n v="3"/>
    <s v="Single"/>
    <n v="5003"/>
    <n v="23371"/>
    <n v="6"/>
    <s v="Y"/>
    <s v="No"/>
    <n v="14"/>
    <n v="3"/>
    <n v="2"/>
    <n v="80"/>
    <n v="0"/>
    <n v="8"/>
    <n v="6"/>
    <n v="3"/>
    <n v="2"/>
    <n v="2"/>
    <n v="2"/>
    <n v="1"/>
    <s v="OK"/>
    <s v="OK"/>
    <s v="OK"/>
    <s v="OK"/>
    <x v="3"/>
    <n v="1"/>
    <n v="3"/>
    <n v="0.5"/>
  </r>
  <r>
    <n v="39"/>
    <s v="No"/>
    <s v="Travel_Rarely"/>
    <n v="466"/>
    <x v="1"/>
    <n v="1"/>
    <n v="1"/>
    <s v="Life Sciences"/>
    <n v="1"/>
    <n v="1026"/>
    <n v="4"/>
    <s v="Female"/>
    <n v="65"/>
    <n v="2"/>
    <n v="4"/>
    <x v="3"/>
    <n v="4"/>
    <s v="Married"/>
    <n v="12742"/>
    <n v="7060"/>
    <n v="1"/>
    <s v="Y"/>
    <s v="No"/>
    <n v="16"/>
    <n v="3"/>
    <n v="3"/>
    <n v="80"/>
    <n v="1"/>
    <n v="21"/>
    <n v="3"/>
    <n v="3"/>
    <n v="21"/>
    <n v="6"/>
    <n v="11"/>
    <n v="8"/>
    <s v="OK"/>
    <s v="OK"/>
    <s v="OK"/>
    <s v="OK"/>
    <x v="60"/>
    <n v="0.2857142857142857"/>
    <n v="0.14285714285714285"/>
    <n v="0.38095238095238093"/>
  </r>
  <r>
    <n v="27"/>
    <s v="No"/>
    <s v="Travel_Rarely"/>
    <n v="1055"/>
    <x v="1"/>
    <n v="2"/>
    <n v="4"/>
    <s v="Life Sciences"/>
    <n v="1"/>
    <n v="1027"/>
    <n v="1"/>
    <s v="Female"/>
    <n v="47"/>
    <n v="3"/>
    <n v="2"/>
    <x v="3"/>
    <n v="4"/>
    <s v="Married"/>
    <n v="4227"/>
    <n v="4658"/>
    <n v="0"/>
    <s v="Y"/>
    <s v="No"/>
    <n v="18"/>
    <n v="3"/>
    <n v="2"/>
    <n v="80"/>
    <n v="1"/>
    <n v="4"/>
    <n v="2"/>
    <n v="3"/>
    <n v="3"/>
    <n v="2"/>
    <n v="2"/>
    <n v="2"/>
    <s v="OK"/>
    <s v="OK"/>
    <s v="OK"/>
    <s v="OK"/>
    <x v="34"/>
    <n v="0.66666666666666663"/>
    <n v="0.66666666666666663"/>
    <n v="0.66666666666666663"/>
  </r>
  <r>
    <n v="35"/>
    <s v="No"/>
    <s v="Travel_Rarely"/>
    <n v="802"/>
    <x v="1"/>
    <n v="10"/>
    <n v="3"/>
    <s v="Other"/>
    <n v="1"/>
    <n v="1028"/>
    <n v="2"/>
    <s v="Male"/>
    <n v="45"/>
    <n v="3"/>
    <n v="1"/>
    <x v="2"/>
    <n v="4"/>
    <s v="Divorced"/>
    <n v="3917"/>
    <n v="9541"/>
    <n v="1"/>
    <s v="Y"/>
    <s v="No"/>
    <n v="20"/>
    <n v="4"/>
    <n v="1"/>
    <n v="80"/>
    <n v="1"/>
    <n v="3"/>
    <n v="4"/>
    <n v="2"/>
    <n v="3"/>
    <n v="2"/>
    <n v="1"/>
    <n v="2"/>
    <s v="OK"/>
    <s v="OK"/>
    <s v="OK"/>
    <s v="OK"/>
    <x v="9"/>
    <n v="0.66666666666666663"/>
    <n v="1.3333333333333333"/>
    <n v="0.66666666666666663"/>
  </r>
  <r>
    <n v="42"/>
    <s v="No"/>
    <s v="Travel_Rarely"/>
    <n v="265"/>
    <x v="0"/>
    <n v="5"/>
    <n v="2"/>
    <s v="Marketing"/>
    <n v="1"/>
    <n v="1029"/>
    <n v="4"/>
    <s v="Male"/>
    <n v="90"/>
    <n v="3"/>
    <n v="5"/>
    <x v="5"/>
    <n v="3"/>
    <s v="Married"/>
    <n v="18303"/>
    <n v="7770"/>
    <n v="6"/>
    <s v="Y"/>
    <s v="No"/>
    <n v="13"/>
    <n v="3"/>
    <n v="2"/>
    <n v="80"/>
    <n v="0"/>
    <n v="21"/>
    <n v="3"/>
    <n v="4"/>
    <n v="1"/>
    <n v="0"/>
    <n v="0"/>
    <n v="0"/>
    <s v="OK"/>
    <s v="OK"/>
    <s v="OK"/>
    <s v="OK"/>
    <x v="0"/>
    <n v="0"/>
    <n v="3"/>
    <n v="0"/>
  </r>
  <r>
    <n v="50"/>
    <s v="No"/>
    <s v="Travel_Rarely"/>
    <n v="804"/>
    <x v="1"/>
    <n v="9"/>
    <n v="3"/>
    <s v="Life Sciences"/>
    <n v="1"/>
    <n v="1030"/>
    <n v="1"/>
    <s v="Male"/>
    <n v="64"/>
    <n v="3"/>
    <n v="1"/>
    <x v="2"/>
    <n v="4"/>
    <s v="Married"/>
    <n v="2380"/>
    <n v="20165"/>
    <n v="4"/>
    <s v="Y"/>
    <s v="No"/>
    <n v="18"/>
    <n v="3"/>
    <n v="2"/>
    <n v="80"/>
    <n v="0"/>
    <n v="8"/>
    <n v="5"/>
    <n v="3"/>
    <n v="1"/>
    <n v="0"/>
    <n v="0"/>
    <n v="0"/>
    <s v="OK"/>
    <s v="OK"/>
    <s v="OK"/>
    <s v="OK"/>
    <x v="0"/>
    <n v="0"/>
    <n v="5"/>
    <n v="0"/>
  </r>
  <r>
    <n v="59"/>
    <s v="No"/>
    <s v="Travel_Rarely"/>
    <n v="715"/>
    <x v="1"/>
    <n v="2"/>
    <n v="3"/>
    <s v="Life Sciences"/>
    <n v="1"/>
    <n v="1032"/>
    <n v="3"/>
    <s v="Female"/>
    <n v="69"/>
    <n v="2"/>
    <n v="4"/>
    <x v="3"/>
    <n v="4"/>
    <s v="Single"/>
    <n v="13726"/>
    <n v="21829"/>
    <n v="3"/>
    <s v="Y"/>
    <s v="Yes"/>
    <n v="13"/>
    <n v="3"/>
    <n v="1"/>
    <n v="80"/>
    <n v="0"/>
    <n v="30"/>
    <n v="4"/>
    <n v="3"/>
    <n v="5"/>
    <n v="3"/>
    <n v="4"/>
    <n v="3"/>
    <s v="OK"/>
    <s v="OK"/>
    <s v="OK"/>
    <s v="OK"/>
    <x v="6"/>
    <n v="0.6"/>
    <n v="0.8"/>
    <n v="0.6"/>
  </r>
  <r>
    <n v="37"/>
    <s v="Yes"/>
    <s v="Travel_Rarely"/>
    <n v="1141"/>
    <x v="1"/>
    <n v="11"/>
    <n v="2"/>
    <s v="Medical"/>
    <n v="1"/>
    <n v="1033"/>
    <n v="1"/>
    <s v="Female"/>
    <n v="61"/>
    <n v="1"/>
    <n v="2"/>
    <x v="4"/>
    <n v="2"/>
    <s v="Married"/>
    <n v="4777"/>
    <n v="14382"/>
    <n v="5"/>
    <s v="Y"/>
    <s v="No"/>
    <n v="15"/>
    <n v="3"/>
    <n v="1"/>
    <n v="80"/>
    <n v="0"/>
    <n v="15"/>
    <n v="2"/>
    <n v="1"/>
    <n v="1"/>
    <n v="0"/>
    <n v="0"/>
    <n v="0"/>
    <s v="OK"/>
    <s v="OK"/>
    <s v="OK"/>
    <s v="OK"/>
    <x v="0"/>
    <n v="0"/>
    <n v="2"/>
    <n v="0"/>
  </r>
  <r>
    <n v="55"/>
    <s v="No"/>
    <s v="Travel_Frequently"/>
    <n v="135"/>
    <x v="1"/>
    <n v="18"/>
    <n v="4"/>
    <s v="Medical"/>
    <n v="1"/>
    <n v="1034"/>
    <n v="3"/>
    <s v="Male"/>
    <n v="62"/>
    <n v="3"/>
    <n v="2"/>
    <x v="4"/>
    <n v="2"/>
    <s v="Married"/>
    <n v="6385"/>
    <n v="12992"/>
    <n v="3"/>
    <s v="Y"/>
    <s v="Yes"/>
    <n v="14"/>
    <n v="3"/>
    <n v="4"/>
    <n v="80"/>
    <n v="2"/>
    <n v="17"/>
    <n v="3"/>
    <n v="3"/>
    <n v="8"/>
    <n v="7"/>
    <n v="6"/>
    <n v="7"/>
    <s v="OK"/>
    <s v="OK"/>
    <s v="OK"/>
    <s v="OK"/>
    <x v="38"/>
    <n v="0.875"/>
    <n v="0.375"/>
    <n v="0.875"/>
  </r>
  <r>
    <n v="41"/>
    <s v="No"/>
    <s v="Non-Travel"/>
    <n v="247"/>
    <x v="1"/>
    <n v="7"/>
    <n v="1"/>
    <s v="Life Sciences"/>
    <n v="1"/>
    <n v="1035"/>
    <n v="2"/>
    <s v="Female"/>
    <n v="55"/>
    <n v="1"/>
    <n v="5"/>
    <x v="7"/>
    <n v="3"/>
    <s v="Divorced"/>
    <n v="19973"/>
    <n v="20284"/>
    <n v="1"/>
    <s v="Y"/>
    <s v="No"/>
    <n v="22"/>
    <n v="4"/>
    <n v="2"/>
    <n v="80"/>
    <n v="2"/>
    <n v="21"/>
    <n v="3"/>
    <n v="3"/>
    <n v="21"/>
    <n v="16"/>
    <n v="5"/>
    <n v="10"/>
    <s v="OK"/>
    <s v="OK"/>
    <s v="OK"/>
    <s v="OK"/>
    <x v="86"/>
    <n v="0.76190476190476186"/>
    <n v="0.14285714285714285"/>
    <n v="0.47619047619047616"/>
  </r>
  <r>
    <n v="38"/>
    <s v="No"/>
    <s v="Travel_Rarely"/>
    <n v="1035"/>
    <x v="0"/>
    <n v="3"/>
    <n v="4"/>
    <s v="Life Sciences"/>
    <n v="1"/>
    <n v="1036"/>
    <n v="2"/>
    <s v="Male"/>
    <n v="42"/>
    <n v="3"/>
    <n v="2"/>
    <x v="0"/>
    <n v="4"/>
    <s v="Single"/>
    <n v="6861"/>
    <n v="4981"/>
    <n v="8"/>
    <s v="Y"/>
    <s v="Yes"/>
    <n v="12"/>
    <n v="3"/>
    <n v="3"/>
    <n v="80"/>
    <n v="0"/>
    <n v="19"/>
    <n v="1"/>
    <n v="3"/>
    <n v="1"/>
    <n v="0"/>
    <n v="0"/>
    <n v="0"/>
    <s v="OK"/>
    <s v="OK"/>
    <s v="OK"/>
    <s v="OK"/>
    <x v="0"/>
    <n v="0"/>
    <n v="1"/>
    <n v="0"/>
  </r>
  <r>
    <n v="26"/>
    <s v="Yes"/>
    <s v="Non-Travel"/>
    <n v="265"/>
    <x v="0"/>
    <n v="29"/>
    <n v="2"/>
    <s v="Medical"/>
    <n v="1"/>
    <n v="1037"/>
    <n v="2"/>
    <s v="Male"/>
    <n v="79"/>
    <n v="1"/>
    <n v="2"/>
    <x v="0"/>
    <n v="1"/>
    <s v="Single"/>
    <n v="4969"/>
    <n v="21813"/>
    <n v="8"/>
    <s v="Y"/>
    <s v="No"/>
    <n v="18"/>
    <n v="3"/>
    <n v="4"/>
    <n v="80"/>
    <n v="0"/>
    <n v="7"/>
    <n v="6"/>
    <n v="3"/>
    <n v="2"/>
    <n v="2"/>
    <n v="2"/>
    <n v="2"/>
    <s v="OK"/>
    <s v="OK"/>
    <s v="OK"/>
    <s v="OK"/>
    <x v="3"/>
    <n v="1"/>
    <n v="3"/>
    <n v="1"/>
  </r>
  <r>
    <n v="52"/>
    <s v="Yes"/>
    <s v="Travel_Rarely"/>
    <n v="266"/>
    <x v="0"/>
    <n v="2"/>
    <n v="1"/>
    <s v="Marketing"/>
    <n v="1"/>
    <n v="1038"/>
    <n v="1"/>
    <s v="Female"/>
    <n v="57"/>
    <n v="1"/>
    <n v="5"/>
    <x v="5"/>
    <n v="4"/>
    <s v="Married"/>
    <n v="19845"/>
    <n v="25846"/>
    <n v="1"/>
    <s v="Y"/>
    <s v="No"/>
    <n v="15"/>
    <n v="3"/>
    <n v="4"/>
    <n v="80"/>
    <n v="1"/>
    <n v="33"/>
    <n v="3"/>
    <n v="3"/>
    <n v="32"/>
    <n v="14"/>
    <n v="6"/>
    <n v="9"/>
    <s v="OK"/>
    <s v="OK"/>
    <s v="OK"/>
    <s v="OK"/>
    <x v="82"/>
    <n v="0.4375"/>
    <n v="9.375E-2"/>
    <n v="0.28125"/>
  </r>
  <r>
    <n v="44"/>
    <s v="No"/>
    <s v="Travel_Rarely"/>
    <n v="1448"/>
    <x v="0"/>
    <n v="28"/>
    <n v="3"/>
    <s v="Medical"/>
    <n v="1"/>
    <n v="1039"/>
    <n v="4"/>
    <s v="Female"/>
    <n v="53"/>
    <n v="4"/>
    <n v="4"/>
    <x v="0"/>
    <n v="4"/>
    <s v="Married"/>
    <n v="13320"/>
    <n v="11737"/>
    <n v="3"/>
    <s v="Y"/>
    <s v="Yes"/>
    <n v="18"/>
    <n v="3"/>
    <n v="3"/>
    <n v="80"/>
    <n v="1"/>
    <n v="23"/>
    <n v="2"/>
    <n v="3"/>
    <n v="12"/>
    <n v="11"/>
    <n v="11"/>
    <n v="11"/>
    <s v="OK"/>
    <s v="OK"/>
    <s v="OK"/>
    <s v="OK"/>
    <x v="87"/>
    <n v="0.91666666666666663"/>
    <n v="0.16666666666666666"/>
    <n v="0.91666666666666663"/>
  </r>
  <r>
    <n v="50"/>
    <s v="No"/>
    <s v="Non-Travel"/>
    <n v="145"/>
    <x v="0"/>
    <n v="1"/>
    <n v="3"/>
    <s v="Life Sciences"/>
    <n v="1"/>
    <n v="1040"/>
    <n v="4"/>
    <s v="Female"/>
    <n v="95"/>
    <n v="3"/>
    <n v="2"/>
    <x v="0"/>
    <n v="3"/>
    <s v="Married"/>
    <n v="6347"/>
    <n v="24920"/>
    <n v="0"/>
    <s v="Y"/>
    <s v="No"/>
    <n v="12"/>
    <n v="3"/>
    <n v="1"/>
    <n v="80"/>
    <n v="1"/>
    <n v="19"/>
    <n v="3"/>
    <n v="3"/>
    <n v="18"/>
    <n v="7"/>
    <n v="0"/>
    <n v="13"/>
    <s v="OK"/>
    <s v="OK"/>
    <s v="OK"/>
    <s v="OK"/>
    <x v="0"/>
    <n v="0.3888888888888889"/>
    <n v="0.16666666666666666"/>
    <n v="0.72222222222222221"/>
  </r>
  <r>
    <n v="36"/>
    <s v="Yes"/>
    <s v="Travel_Rarely"/>
    <n v="885"/>
    <x v="1"/>
    <n v="16"/>
    <n v="4"/>
    <s v="Life Sciences"/>
    <n v="1"/>
    <n v="1042"/>
    <n v="3"/>
    <s v="Female"/>
    <n v="43"/>
    <n v="4"/>
    <n v="1"/>
    <x v="2"/>
    <n v="1"/>
    <s v="Single"/>
    <n v="2743"/>
    <n v="8269"/>
    <n v="1"/>
    <s v="Y"/>
    <s v="No"/>
    <n v="16"/>
    <n v="3"/>
    <n v="3"/>
    <n v="80"/>
    <n v="0"/>
    <n v="18"/>
    <n v="1"/>
    <n v="3"/>
    <n v="17"/>
    <n v="13"/>
    <n v="15"/>
    <n v="14"/>
    <s v="OK"/>
    <s v="OK"/>
    <s v="OK"/>
    <s v="OK"/>
    <x v="84"/>
    <n v="0.76470588235294112"/>
    <n v="5.8823529411764705E-2"/>
    <n v="0.82352941176470584"/>
  </r>
  <r>
    <n v="39"/>
    <s v="No"/>
    <s v="Travel_Frequently"/>
    <n v="945"/>
    <x v="1"/>
    <n v="22"/>
    <n v="3"/>
    <s v="Medical"/>
    <n v="1"/>
    <n v="1043"/>
    <n v="4"/>
    <s v="Female"/>
    <n v="82"/>
    <n v="3"/>
    <n v="3"/>
    <x v="3"/>
    <n v="1"/>
    <s v="Single"/>
    <n v="10880"/>
    <n v="5083"/>
    <n v="1"/>
    <s v="Y"/>
    <s v="Yes"/>
    <n v="13"/>
    <n v="3"/>
    <n v="3"/>
    <n v="80"/>
    <n v="0"/>
    <n v="21"/>
    <n v="2"/>
    <n v="3"/>
    <n v="21"/>
    <n v="6"/>
    <n v="2"/>
    <n v="8"/>
    <s v="OK"/>
    <s v="OK"/>
    <s v="OK"/>
    <s v="OK"/>
    <x v="88"/>
    <n v="0.2857142857142857"/>
    <n v="9.5238095238095233E-2"/>
    <n v="0.38095238095238093"/>
  </r>
  <r>
    <n v="33"/>
    <s v="No"/>
    <s v="Non-Travel"/>
    <n v="1038"/>
    <x v="0"/>
    <n v="8"/>
    <n v="1"/>
    <s v="Life Sciences"/>
    <n v="1"/>
    <n v="1044"/>
    <n v="2"/>
    <s v="Female"/>
    <n v="88"/>
    <n v="2"/>
    <n v="1"/>
    <x v="6"/>
    <n v="4"/>
    <s v="Single"/>
    <n v="2342"/>
    <n v="21437"/>
    <n v="0"/>
    <s v="Y"/>
    <s v="No"/>
    <n v="19"/>
    <n v="3"/>
    <n v="4"/>
    <n v="80"/>
    <n v="0"/>
    <n v="3"/>
    <n v="2"/>
    <n v="2"/>
    <n v="2"/>
    <n v="2"/>
    <n v="2"/>
    <n v="2"/>
    <s v="OK"/>
    <s v="OK"/>
    <s v="OK"/>
    <s v="OK"/>
    <x v="3"/>
    <n v="1"/>
    <n v="1"/>
    <n v="1"/>
  </r>
  <r>
    <n v="45"/>
    <s v="No"/>
    <s v="Travel_Rarely"/>
    <n v="1234"/>
    <x v="0"/>
    <n v="11"/>
    <n v="2"/>
    <s v="Life Sciences"/>
    <n v="1"/>
    <n v="1045"/>
    <n v="4"/>
    <s v="Female"/>
    <n v="90"/>
    <n v="3"/>
    <n v="4"/>
    <x v="5"/>
    <n v="4"/>
    <s v="Married"/>
    <n v="17650"/>
    <n v="5404"/>
    <n v="3"/>
    <s v="Y"/>
    <s v="No"/>
    <n v="13"/>
    <n v="3"/>
    <n v="2"/>
    <n v="80"/>
    <n v="1"/>
    <n v="26"/>
    <n v="4"/>
    <n v="4"/>
    <n v="9"/>
    <n v="3"/>
    <n v="1"/>
    <n v="1"/>
    <s v="OK"/>
    <s v="OK"/>
    <s v="OK"/>
    <s v="OK"/>
    <x v="5"/>
    <n v="0.33333333333333331"/>
    <n v="0.44444444444444442"/>
    <n v="0.1111111111111111"/>
  </r>
  <r>
    <n v="32"/>
    <s v="No"/>
    <s v="Non-Travel"/>
    <n v="1109"/>
    <x v="1"/>
    <n v="29"/>
    <n v="4"/>
    <s v="Medical"/>
    <n v="1"/>
    <n v="1046"/>
    <n v="4"/>
    <s v="Female"/>
    <n v="69"/>
    <n v="3"/>
    <n v="1"/>
    <x v="2"/>
    <n v="3"/>
    <s v="Single"/>
    <n v="4025"/>
    <n v="11135"/>
    <n v="9"/>
    <s v="Y"/>
    <s v="No"/>
    <n v="12"/>
    <n v="3"/>
    <n v="2"/>
    <n v="80"/>
    <n v="0"/>
    <n v="10"/>
    <n v="2"/>
    <n v="3"/>
    <n v="8"/>
    <n v="7"/>
    <n v="7"/>
    <n v="7"/>
    <s v="OK"/>
    <s v="OK"/>
    <s v="OK"/>
    <s v="OK"/>
    <x v="43"/>
    <n v="0.875"/>
    <n v="0.25"/>
    <n v="0.875"/>
  </r>
  <r>
    <n v="34"/>
    <s v="No"/>
    <s v="Travel_Rarely"/>
    <n v="216"/>
    <x v="0"/>
    <n v="1"/>
    <n v="4"/>
    <s v="Marketing"/>
    <n v="1"/>
    <n v="1047"/>
    <n v="2"/>
    <s v="Male"/>
    <n v="75"/>
    <n v="4"/>
    <n v="2"/>
    <x v="0"/>
    <n v="4"/>
    <s v="Divorced"/>
    <n v="9725"/>
    <n v="12278"/>
    <n v="0"/>
    <s v="Y"/>
    <s v="No"/>
    <n v="11"/>
    <n v="3"/>
    <n v="4"/>
    <n v="80"/>
    <n v="1"/>
    <n v="16"/>
    <n v="2"/>
    <n v="2"/>
    <n v="15"/>
    <n v="1"/>
    <n v="0"/>
    <n v="9"/>
    <s v="OK"/>
    <s v="OK"/>
    <s v="OK"/>
    <s v="OK"/>
    <x v="0"/>
    <n v="6.6666666666666666E-2"/>
    <n v="0.13333333333333333"/>
    <n v="0.6"/>
  </r>
  <r>
    <n v="59"/>
    <s v="No"/>
    <s v="Travel_Rarely"/>
    <n v="1089"/>
    <x v="0"/>
    <n v="1"/>
    <n v="2"/>
    <s v="Technical Degree"/>
    <n v="1"/>
    <n v="1048"/>
    <n v="2"/>
    <s v="Male"/>
    <n v="66"/>
    <n v="3"/>
    <n v="3"/>
    <x v="5"/>
    <n v="4"/>
    <s v="Married"/>
    <n v="11904"/>
    <n v="11038"/>
    <n v="3"/>
    <s v="Y"/>
    <s v="Yes"/>
    <n v="14"/>
    <n v="3"/>
    <n v="3"/>
    <n v="80"/>
    <n v="1"/>
    <n v="14"/>
    <n v="1"/>
    <n v="1"/>
    <n v="6"/>
    <n v="4"/>
    <n v="0"/>
    <n v="4"/>
    <s v="OK"/>
    <s v="OK"/>
    <s v="OK"/>
    <s v="OK"/>
    <x v="0"/>
    <n v="0.66666666666666663"/>
    <n v="0.16666666666666666"/>
    <n v="0.66666666666666663"/>
  </r>
  <r>
    <n v="45"/>
    <s v="No"/>
    <s v="Travel_Rarely"/>
    <n v="788"/>
    <x v="2"/>
    <n v="24"/>
    <n v="4"/>
    <s v="Medical"/>
    <n v="1"/>
    <n v="1049"/>
    <n v="2"/>
    <s v="Male"/>
    <n v="36"/>
    <n v="3"/>
    <n v="1"/>
    <x v="8"/>
    <n v="2"/>
    <s v="Single"/>
    <n v="2177"/>
    <n v="8318"/>
    <n v="1"/>
    <s v="Y"/>
    <s v="No"/>
    <n v="16"/>
    <n v="3"/>
    <n v="1"/>
    <n v="80"/>
    <n v="0"/>
    <n v="6"/>
    <n v="3"/>
    <n v="3"/>
    <n v="6"/>
    <n v="3"/>
    <n v="0"/>
    <n v="4"/>
    <s v="OK"/>
    <s v="OK"/>
    <s v="OK"/>
    <s v="OK"/>
    <x v="0"/>
    <n v="0.5"/>
    <n v="0.5"/>
    <n v="0.66666666666666663"/>
  </r>
  <r>
    <n v="53"/>
    <s v="No"/>
    <s v="Travel_Frequently"/>
    <n v="124"/>
    <x v="0"/>
    <n v="2"/>
    <n v="3"/>
    <s v="Marketing"/>
    <n v="1"/>
    <n v="1050"/>
    <n v="3"/>
    <s v="Female"/>
    <n v="38"/>
    <n v="2"/>
    <n v="3"/>
    <x v="0"/>
    <n v="2"/>
    <s v="Married"/>
    <n v="7525"/>
    <n v="23537"/>
    <n v="2"/>
    <s v="Y"/>
    <s v="No"/>
    <n v="12"/>
    <n v="3"/>
    <n v="1"/>
    <n v="80"/>
    <n v="1"/>
    <n v="30"/>
    <n v="2"/>
    <n v="3"/>
    <n v="15"/>
    <n v="7"/>
    <n v="6"/>
    <n v="12"/>
    <s v="OK"/>
    <s v="OK"/>
    <s v="OK"/>
    <s v="OK"/>
    <x v="46"/>
    <n v="0.46666666666666667"/>
    <n v="0.13333333333333333"/>
    <n v="0.8"/>
  </r>
  <r>
    <n v="36"/>
    <s v="Yes"/>
    <s v="Travel_Rarely"/>
    <n v="660"/>
    <x v="1"/>
    <n v="15"/>
    <n v="3"/>
    <s v="Other"/>
    <n v="1"/>
    <n v="1052"/>
    <n v="1"/>
    <s v="Male"/>
    <n v="81"/>
    <n v="3"/>
    <n v="2"/>
    <x v="2"/>
    <n v="3"/>
    <s v="Divorced"/>
    <n v="4834"/>
    <n v="7858"/>
    <n v="7"/>
    <s v="Y"/>
    <s v="No"/>
    <n v="14"/>
    <n v="3"/>
    <n v="2"/>
    <n v="80"/>
    <n v="1"/>
    <n v="9"/>
    <n v="3"/>
    <n v="2"/>
    <n v="1"/>
    <n v="0"/>
    <n v="0"/>
    <n v="0"/>
    <s v="OK"/>
    <s v="OK"/>
    <s v="OK"/>
    <s v="OK"/>
    <x v="0"/>
    <n v="0"/>
    <n v="3"/>
    <n v="0"/>
  </r>
  <r>
    <n v="26"/>
    <s v="Yes"/>
    <s v="Travel_Frequently"/>
    <n v="342"/>
    <x v="1"/>
    <n v="2"/>
    <n v="3"/>
    <s v="Life Sciences"/>
    <n v="1"/>
    <n v="1053"/>
    <n v="1"/>
    <s v="Male"/>
    <n v="57"/>
    <n v="3"/>
    <n v="1"/>
    <x v="1"/>
    <n v="1"/>
    <s v="Married"/>
    <n v="2042"/>
    <n v="15346"/>
    <n v="6"/>
    <s v="Y"/>
    <s v="Yes"/>
    <n v="14"/>
    <n v="3"/>
    <n v="2"/>
    <n v="80"/>
    <n v="1"/>
    <n v="6"/>
    <n v="2"/>
    <n v="3"/>
    <n v="3"/>
    <n v="2"/>
    <n v="1"/>
    <n v="2"/>
    <s v="OK"/>
    <s v="OK"/>
    <s v="OK"/>
    <s v="OK"/>
    <x v="9"/>
    <n v="0.66666666666666663"/>
    <n v="0.66666666666666663"/>
    <n v="0.66666666666666663"/>
  </r>
  <r>
    <n v="34"/>
    <s v="No"/>
    <s v="Travel_Rarely"/>
    <n v="1333"/>
    <x v="0"/>
    <n v="10"/>
    <n v="4"/>
    <s v="Life Sciences"/>
    <n v="1"/>
    <n v="1055"/>
    <n v="3"/>
    <s v="Female"/>
    <n v="87"/>
    <n v="3"/>
    <n v="1"/>
    <x v="6"/>
    <n v="3"/>
    <s v="Married"/>
    <n v="2220"/>
    <n v="18410"/>
    <n v="1"/>
    <s v="Y"/>
    <s v="Yes"/>
    <n v="19"/>
    <n v="3"/>
    <n v="4"/>
    <n v="80"/>
    <n v="1"/>
    <n v="1"/>
    <n v="2"/>
    <n v="3"/>
    <n v="1"/>
    <n v="1"/>
    <n v="0"/>
    <n v="0"/>
    <s v="OK"/>
    <s v="OK"/>
    <s v="OK"/>
    <s v="OK"/>
    <x v="0"/>
    <n v="1"/>
    <n v="2"/>
    <n v="0"/>
  </r>
  <r>
    <n v="28"/>
    <s v="No"/>
    <s v="Travel_Rarely"/>
    <n v="1144"/>
    <x v="0"/>
    <n v="10"/>
    <n v="1"/>
    <s v="Medical"/>
    <n v="1"/>
    <n v="1056"/>
    <n v="4"/>
    <s v="Male"/>
    <n v="74"/>
    <n v="3"/>
    <n v="1"/>
    <x v="6"/>
    <n v="2"/>
    <s v="Married"/>
    <n v="1052"/>
    <n v="23384"/>
    <n v="1"/>
    <s v="Y"/>
    <s v="No"/>
    <n v="22"/>
    <n v="4"/>
    <n v="2"/>
    <n v="80"/>
    <n v="0"/>
    <n v="1"/>
    <n v="5"/>
    <n v="3"/>
    <n v="1"/>
    <n v="0"/>
    <n v="0"/>
    <n v="0"/>
    <s v="OK"/>
    <s v="OK"/>
    <s v="OK"/>
    <s v="OK"/>
    <x v="0"/>
    <n v="0"/>
    <n v="5"/>
    <n v="0"/>
  </r>
  <r>
    <n v="38"/>
    <s v="No"/>
    <s v="Travel_Frequently"/>
    <n v="1186"/>
    <x v="1"/>
    <n v="3"/>
    <n v="4"/>
    <s v="Other"/>
    <n v="1"/>
    <n v="1060"/>
    <n v="3"/>
    <s v="Male"/>
    <n v="44"/>
    <n v="3"/>
    <n v="1"/>
    <x v="1"/>
    <n v="3"/>
    <s v="Married"/>
    <n v="2821"/>
    <n v="2997"/>
    <n v="3"/>
    <s v="Y"/>
    <s v="No"/>
    <n v="16"/>
    <n v="3"/>
    <n v="1"/>
    <n v="80"/>
    <n v="1"/>
    <n v="8"/>
    <n v="2"/>
    <n v="3"/>
    <n v="2"/>
    <n v="2"/>
    <n v="2"/>
    <n v="2"/>
    <s v="OK"/>
    <s v="OK"/>
    <s v="OK"/>
    <s v="OK"/>
    <x v="3"/>
    <n v="1"/>
    <n v="1"/>
    <n v="1"/>
  </r>
  <r>
    <n v="50"/>
    <s v="No"/>
    <s v="Travel_Rarely"/>
    <n v="1464"/>
    <x v="1"/>
    <n v="2"/>
    <n v="4"/>
    <s v="Medical"/>
    <n v="1"/>
    <n v="1061"/>
    <n v="2"/>
    <s v="Male"/>
    <n v="62"/>
    <n v="3"/>
    <n v="5"/>
    <x v="7"/>
    <n v="3"/>
    <s v="Married"/>
    <n v="19237"/>
    <n v="12853"/>
    <n v="2"/>
    <s v="Y"/>
    <s v="Yes"/>
    <n v="11"/>
    <n v="3"/>
    <n v="4"/>
    <n v="80"/>
    <n v="1"/>
    <n v="29"/>
    <n v="2"/>
    <n v="2"/>
    <n v="8"/>
    <n v="1"/>
    <n v="7"/>
    <n v="7"/>
    <s v="OK"/>
    <s v="OK"/>
    <s v="OK"/>
    <s v="OK"/>
    <x v="43"/>
    <n v="0.125"/>
    <n v="0.25"/>
    <n v="0.875"/>
  </r>
  <r>
    <n v="37"/>
    <s v="No"/>
    <s v="Travel_Rarely"/>
    <n v="124"/>
    <x v="1"/>
    <n v="3"/>
    <n v="3"/>
    <s v="Other"/>
    <n v="1"/>
    <n v="1062"/>
    <n v="4"/>
    <s v="Female"/>
    <n v="35"/>
    <n v="3"/>
    <n v="2"/>
    <x v="4"/>
    <n v="2"/>
    <s v="Single"/>
    <n v="4107"/>
    <n v="13848"/>
    <n v="3"/>
    <s v="Y"/>
    <s v="No"/>
    <n v="15"/>
    <n v="3"/>
    <n v="1"/>
    <n v="80"/>
    <n v="0"/>
    <n v="8"/>
    <n v="3"/>
    <n v="2"/>
    <n v="4"/>
    <n v="3"/>
    <n v="0"/>
    <n v="1"/>
    <s v="OK"/>
    <s v="OK"/>
    <s v="OK"/>
    <s v="OK"/>
    <x v="0"/>
    <n v="0.75"/>
    <n v="0.75"/>
    <n v="0.25"/>
  </r>
  <r>
    <n v="40"/>
    <s v="No"/>
    <s v="Travel_Rarely"/>
    <n v="300"/>
    <x v="0"/>
    <n v="26"/>
    <n v="3"/>
    <s v="Marketing"/>
    <n v="1"/>
    <n v="1066"/>
    <n v="3"/>
    <s v="Male"/>
    <n v="74"/>
    <n v="3"/>
    <n v="2"/>
    <x v="0"/>
    <n v="1"/>
    <s v="Married"/>
    <n v="8396"/>
    <n v="22217"/>
    <n v="1"/>
    <s v="Y"/>
    <s v="No"/>
    <n v="14"/>
    <n v="3"/>
    <n v="2"/>
    <n v="80"/>
    <n v="1"/>
    <n v="8"/>
    <n v="3"/>
    <n v="2"/>
    <n v="7"/>
    <n v="7"/>
    <n v="7"/>
    <n v="5"/>
    <s v="OK"/>
    <s v="OK"/>
    <s v="OK"/>
    <s v="OK"/>
    <x v="3"/>
    <n v="1"/>
    <n v="0.42857142857142855"/>
    <n v="0.7142857142857143"/>
  </r>
  <r>
    <n v="26"/>
    <s v="No"/>
    <s v="Travel_Frequently"/>
    <n v="921"/>
    <x v="1"/>
    <n v="1"/>
    <n v="1"/>
    <s v="Medical"/>
    <n v="1"/>
    <n v="1068"/>
    <n v="1"/>
    <s v="Female"/>
    <n v="66"/>
    <n v="2"/>
    <n v="1"/>
    <x v="1"/>
    <n v="3"/>
    <s v="Divorced"/>
    <n v="2007"/>
    <n v="25265"/>
    <n v="1"/>
    <s v="Y"/>
    <s v="No"/>
    <n v="13"/>
    <n v="3"/>
    <n v="3"/>
    <n v="80"/>
    <n v="2"/>
    <n v="5"/>
    <n v="5"/>
    <n v="3"/>
    <n v="5"/>
    <n v="3"/>
    <n v="1"/>
    <n v="3"/>
    <s v="OK"/>
    <s v="OK"/>
    <s v="OK"/>
    <s v="OK"/>
    <x v="16"/>
    <n v="0.6"/>
    <n v="1"/>
    <n v="0.6"/>
  </r>
  <r>
    <n v="46"/>
    <s v="No"/>
    <s v="Travel_Rarely"/>
    <n v="430"/>
    <x v="1"/>
    <n v="1"/>
    <n v="4"/>
    <s v="Medical"/>
    <n v="1"/>
    <n v="1069"/>
    <n v="4"/>
    <s v="Male"/>
    <n v="40"/>
    <n v="3"/>
    <n v="5"/>
    <x v="7"/>
    <n v="4"/>
    <s v="Divorced"/>
    <n v="19627"/>
    <n v="21445"/>
    <n v="9"/>
    <s v="Y"/>
    <s v="No"/>
    <n v="17"/>
    <n v="3"/>
    <n v="4"/>
    <n v="80"/>
    <n v="2"/>
    <n v="23"/>
    <n v="0"/>
    <n v="3"/>
    <n v="2"/>
    <n v="2"/>
    <n v="2"/>
    <n v="2"/>
    <s v="OK"/>
    <s v="OK"/>
    <s v="OK"/>
    <s v="OK"/>
    <x v="3"/>
    <n v="1"/>
    <n v="0"/>
    <n v="1"/>
  </r>
  <r>
    <n v="54"/>
    <s v="No"/>
    <s v="Travel_Rarely"/>
    <n v="1082"/>
    <x v="0"/>
    <n v="2"/>
    <n v="4"/>
    <s v="Life Sciences"/>
    <n v="1"/>
    <n v="1070"/>
    <n v="3"/>
    <s v="Female"/>
    <n v="41"/>
    <n v="2"/>
    <n v="3"/>
    <x v="0"/>
    <n v="3"/>
    <s v="Married"/>
    <n v="10686"/>
    <n v="8392"/>
    <n v="6"/>
    <s v="Y"/>
    <s v="No"/>
    <n v="11"/>
    <n v="3"/>
    <n v="2"/>
    <n v="80"/>
    <n v="1"/>
    <n v="13"/>
    <n v="4"/>
    <n v="3"/>
    <n v="9"/>
    <n v="4"/>
    <n v="7"/>
    <n v="0"/>
    <s v="OK"/>
    <s v="OK"/>
    <s v="OK"/>
    <s v="OK"/>
    <x v="21"/>
    <n v="0.44444444444444442"/>
    <n v="0.44444444444444442"/>
    <n v="0"/>
  </r>
  <r>
    <n v="56"/>
    <s v="No"/>
    <s v="Travel_Frequently"/>
    <n v="1240"/>
    <x v="1"/>
    <n v="9"/>
    <n v="3"/>
    <s v="Medical"/>
    <n v="1"/>
    <n v="1071"/>
    <n v="1"/>
    <s v="Female"/>
    <n v="63"/>
    <n v="3"/>
    <n v="1"/>
    <x v="1"/>
    <n v="3"/>
    <s v="Married"/>
    <n v="2942"/>
    <n v="12154"/>
    <n v="2"/>
    <s v="Y"/>
    <s v="No"/>
    <n v="19"/>
    <n v="3"/>
    <n v="2"/>
    <n v="80"/>
    <n v="1"/>
    <n v="18"/>
    <n v="4"/>
    <n v="3"/>
    <n v="5"/>
    <n v="4"/>
    <n v="0"/>
    <n v="3"/>
    <s v="OK"/>
    <s v="OK"/>
    <s v="OK"/>
    <s v="OK"/>
    <x v="0"/>
    <n v="0.8"/>
    <n v="0.8"/>
    <n v="0.6"/>
  </r>
  <r>
    <n v="36"/>
    <s v="No"/>
    <s v="Travel_Rarely"/>
    <n v="796"/>
    <x v="1"/>
    <n v="12"/>
    <n v="5"/>
    <s v="Medical"/>
    <n v="1"/>
    <n v="1073"/>
    <n v="4"/>
    <s v="Female"/>
    <n v="51"/>
    <n v="2"/>
    <n v="3"/>
    <x v="3"/>
    <n v="4"/>
    <s v="Single"/>
    <n v="8858"/>
    <n v="15669"/>
    <n v="0"/>
    <s v="Y"/>
    <s v="No"/>
    <n v="11"/>
    <n v="3"/>
    <n v="2"/>
    <n v="80"/>
    <n v="0"/>
    <n v="15"/>
    <n v="2"/>
    <n v="2"/>
    <n v="14"/>
    <n v="8"/>
    <n v="7"/>
    <n v="8"/>
    <s v="OK"/>
    <s v="OK"/>
    <s v="OK"/>
    <s v="OK"/>
    <x v="7"/>
    <n v="0.5714285714285714"/>
    <n v="0.14285714285714285"/>
    <n v="0.5714285714285714"/>
  </r>
  <r>
    <n v="55"/>
    <s v="No"/>
    <s v="Non-Travel"/>
    <n v="444"/>
    <x v="1"/>
    <n v="2"/>
    <n v="1"/>
    <s v="Medical"/>
    <n v="1"/>
    <n v="1074"/>
    <n v="3"/>
    <s v="Male"/>
    <n v="40"/>
    <n v="2"/>
    <n v="4"/>
    <x v="5"/>
    <n v="1"/>
    <s v="Single"/>
    <n v="16756"/>
    <n v="17323"/>
    <n v="7"/>
    <s v="Y"/>
    <s v="No"/>
    <n v="15"/>
    <n v="3"/>
    <n v="2"/>
    <n v="80"/>
    <n v="0"/>
    <n v="31"/>
    <n v="3"/>
    <n v="4"/>
    <n v="9"/>
    <n v="7"/>
    <n v="6"/>
    <n v="2"/>
    <s v="OK"/>
    <s v="OK"/>
    <s v="OK"/>
    <s v="OK"/>
    <x v="34"/>
    <n v="0.77777777777777779"/>
    <n v="0.33333333333333331"/>
    <n v="0.22222222222222221"/>
  </r>
  <r>
    <n v="43"/>
    <s v="No"/>
    <s v="Travel_Rarely"/>
    <n v="415"/>
    <x v="0"/>
    <n v="25"/>
    <n v="3"/>
    <s v="Medical"/>
    <n v="1"/>
    <n v="1076"/>
    <n v="3"/>
    <s v="Male"/>
    <n v="79"/>
    <n v="2"/>
    <n v="3"/>
    <x v="0"/>
    <n v="4"/>
    <s v="Divorced"/>
    <n v="10798"/>
    <n v="5268"/>
    <n v="5"/>
    <s v="Y"/>
    <s v="No"/>
    <n v="13"/>
    <n v="3"/>
    <n v="3"/>
    <n v="80"/>
    <n v="1"/>
    <n v="18"/>
    <n v="5"/>
    <n v="3"/>
    <n v="1"/>
    <n v="0"/>
    <n v="0"/>
    <n v="0"/>
    <s v="OK"/>
    <s v="OK"/>
    <s v="OK"/>
    <s v="OK"/>
    <x v="0"/>
    <n v="0"/>
    <n v="5"/>
    <n v="0"/>
  </r>
  <r>
    <n v="20"/>
    <s v="Yes"/>
    <s v="Travel_Frequently"/>
    <n v="769"/>
    <x v="0"/>
    <n v="9"/>
    <n v="3"/>
    <s v="Marketing"/>
    <n v="1"/>
    <n v="1077"/>
    <n v="4"/>
    <s v="Female"/>
    <n v="54"/>
    <n v="3"/>
    <n v="1"/>
    <x v="6"/>
    <n v="4"/>
    <s v="Single"/>
    <n v="2323"/>
    <n v="17205"/>
    <n v="1"/>
    <s v="Y"/>
    <s v="Yes"/>
    <n v="14"/>
    <n v="3"/>
    <n v="2"/>
    <n v="80"/>
    <n v="0"/>
    <n v="2"/>
    <n v="3"/>
    <n v="3"/>
    <n v="2"/>
    <n v="2"/>
    <n v="0"/>
    <n v="2"/>
    <s v="OK"/>
    <s v="OK"/>
    <s v="OK"/>
    <s v="OK"/>
    <x v="0"/>
    <n v="1"/>
    <n v="1.5"/>
    <n v="1"/>
  </r>
  <r>
    <n v="21"/>
    <s v="Yes"/>
    <s v="Travel_Rarely"/>
    <n v="1334"/>
    <x v="1"/>
    <n v="10"/>
    <n v="3"/>
    <s v="Life Sciences"/>
    <n v="1"/>
    <n v="1079"/>
    <n v="3"/>
    <s v="Female"/>
    <n v="36"/>
    <n v="2"/>
    <n v="1"/>
    <x v="2"/>
    <n v="1"/>
    <s v="Single"/>
    <n v="1416"/>
    <n v="17258"/>
    <n v="1"/>
    <s v="Y"/>
    <s v="No"/>
    <n v="13"/>
    <n v="3"/>
    <n v="1"/>
    <n v="80"/>
    <n v="0"/>
    <n v="1"/>
    <n v="6"/>
    <n v="2"/>
    <n v="1"/>
    <n v="0"/>
    <n v="1"/>
    <n v="0"/>
    <s v="OK"/>
    <s v="OK"/>
    <s v="OK"/>
    <s v="OK"/>
    <x v="3"/>
    <n v="0"/>
    <n v="6"/>
    <n v="0"/>
  </r>
  <r>
    <n v="46"/>
    <s v="No"/>
    <s v="Travel_Rarely"/>
    <n v="1003"/>
    <x v="1"/>
    <n v="8"/>
    <n v="4"/>
    <s v="Life Sciences"/>
    <n v="1"/>
    <n v="1080"/>
    <n v="4"/>
    <s v="Female"/>
    <n v="74"/>
    <n v="2"/>
    <n v="2"/>
    <x v="1"/>
    <n v="1"/>
    <s v="Divorced"/>
    <n v="4615"/>
    <n v="21029"/>
    <n v="8"/>
    <s v="Y"/>
    <s v="Yes"/>
    <n v="23"/>
    <n v="4"/>
    <n v="1"/>
    <n v="80"/>
    <n v="3"/>
    <n v="19"/>
    <n v="2"/>
    <n v="3"/>
    <n v="16"/>
    <n v="13"/>
    <n v="1"/>
    <n v="7"/>
    <s v="OK"/>
    <s v="OK"/>
    <s v="OK"/>
    <s v="OK"/>
    <x v="89"/>
    <n v="0.8125"/>
    <n v="0.125"/>
    <n v="0.4375"/>
  </r>
  <r>
    <n v="51"/>
    <s v="Yes"/>
    <s v="Travel_Rarely"/>
    <n v="1323"/>
    <x v="1"/>
    <n v="4"/>
    <n v="4"/>
    <s v="Life Sciences"/>
    <n v="1"/>
    <n v="1081"/>
    <n v="1"/>
    <s v="Male"/>
    <n v="34"/>
    <n v="3"/>
    <n v="1"/>
    <x v="1"/>
    <n v="3"/>
    <s v="Married"/>
    <n v="2461"/>
    <n v="10332"/>
    <n v="9"/>
    <s v="Y"/>
    <s v="Yes"/>
    <n v="12"/>
    <n v="3"/>
    <n v="3"/>
    <n v="80"/>
    <n v="3"/>
    <n v="18"/>
    <n v="2"/>
    <n v="4"/>
    <n v="10"/>
    <n v="0"/>
    <n v="2"/>
    <n v="7"/>
    <s v="OK"/>
    <s v="OK"/>
    <s v="OK"/>
    <s v="OK"/>
    <x v="16"/>
    <n v="0"/>
    <n v="0.2"/>
    <n v="0.7"/>
  </r>
  <r>
    <n v="28"/>
    <s v="Yes"/>
    <s v="Non-Travel"/>
    <n v="1366"/>
    <x v="1"/>
    <n v="24"/>
    <n v="2"/>
    <s v="Technical Degree"/>
    <n v="1"/>
    <n v="1082"/>
    <n v="2"/>
    <s v="Male"/>
    <n v="72"/>
    <n v="2"/>
    <n v="3"/>
    <x v="4"/>
    <n v="1"/>
    <s v="Single"/>
    <n v="8722"/>
    <n v="12355"/>
    <n v="1"/>
    <s v="Y"/>
    <s v="No"/>
    <n v="12"/>
    <n v="3"/>
    <n v="1"/>
    <n v="80"/>
    <n v="0"/>
    <n v="10"/>
    <n v="2"/>
    <n v="2"/>
    <n v="10"/>
    <n v="7"/>
    <n v="1"/>
    <n v="9"/>
    <s v="OK"/>
    <s v="OK"/>
    <s v="OK"/>
    <s v="OK"/>
    <x v="1"/>
    <n v="0.7"/>
    <n v="0.2"/>
    <n v="0.9"/>
  </r>
  <r>
    <n v="26"/>
    <s v="No"/>
    <s v="Travel_Rarely"/>
    <n v="192"/>
    <x v="1"/>
    <n v="1"/>
    <n v="2"/>
    <s v="Medical"/>
    <n v="1"/>
    <n v="1083"/>
    <n v="1"/>
    <s v="Male"/>
    <n v="59"/>
    <n v="2"/>
    <n v="1"/>
    <x v="2"/>
    <n v="1"/>
    <s v="Married"/>
    <n v="3955"/>
    <n v="11141"/>
    <n v="1"/>
    <s v="Y"/>
    <s v="No"/>
    <n v="16"/>
    <n v="3"/>
    <n v="1"/>
    <n v="80"/>
    <n v="2"/>
    <n v="6"/>
    <n v="2"/>
    <n v="3"/>
    <n v="5"/>
    <n v="3"/>
    <n v="1"/>
    <n v="3"/>
    <s v="OK"/>
    <s v="OK"/>
    <s v="OK"/>
    <s v="OK"/>
    <x v="16"/>
    <n v="0.6"/>
    <n v="0.4"/>
    <n v="0.6"/>
  </r>
  <r>
    <n v="30"/>
    <s v="No"/>
    <s v="Travel_Rarely"/>
    <n v="1176"/>
    <x v="1"/>
    <n v="20"/>
    <n v="3"/>
    <s v="Other"/>
    <n v="1"/>
    <n v="1084"/>
    <n v="3"/>
    <s v="Male"/>
    <n v="85"/>
    <n v="3"/>
    <n v="2"/>
    <x v="3"/>
    <n v="1"/>
    <s v="Married"/>
    <n v="9957"/>
    <n v="9096"/>
    <n v="0"/>
    <s v="Y"/>
    <s v="No"/>
    <n v="15"/>
    <n v="3"/>
    <n v="3"/>
    <n v="80"/>
    <n v="1"/>
    <n v="7"/>
    <n v="1"/>
    <n v="2"/>
    <n v="6"/>
    <n v="2"/>
    <n v="0"/>
    <n v="2"/>
    <s v="OK"/>
    <s v="OK"/>
    <s v="OK"/>
    <s v="OK"/>
    <x v="0"/>
    <n v="0.33333333333333331"/>
    <n v="0.16666666666666666"/>
    <n v="0.33333333333333331"/>
  </r>
  <r>
    <n v="41"/>
    <s v="No"/>
    <s v="Travel_Rarely"/>
    <n v="509"/>
    <x v="1"/>
    <n v="7"/>
    <n v="2"/>
    <s v="Technical Degree"/>
    <n v="1"/>
    <n v="1085"/>
    <n v="2"/>
    <s v="Female"/>
    <n v="43"/>
    <n v="4"/>
    <n v="1"/>
    <x v="1"/>
    <n v="3"/>
    <s v="Married"/>
    <n v="3376"/>
    <n v="18863"/>
    <n v="1"/>
    <s v="Y"/>
    <s v="No"/>
    <n v="13"/>
    <n v="3"/>
    <n v="3"/>
    <n v="80"/>
    <n v="0"/>
    <n v="10"/>
    <n v="3"/>
    <n v="3"/>
    <n v="10"/>
    <n v="6"/>
    <n v="0"/>
    <n v="8"/>
    <s v="OK"/>
    <s v="OK"/>
    <s v="OK"/>
    <s v="OK"/>
    <x v="0"/>
    <n v="0.6"/>
    <n v="0.3"/>
    <n v="0.8"/>
  </r>
  <r>
    <n v="38"/>
    <s v="No"/>
    <s v="Travel_Rarely"/>
    <n v="330"/>
    <x v="1"/>
    <n v="17"/>
    <n v="1"/>
    <s v="Life Sciences"/>
    <n v="1"/>
    <n v="1088"/>
    <n v="3"/>
    <s v="Female"/>
    <n v="65"/>
    <n v="2"/>
    <n v="3"/>
    <x v="4"/>
    <n v="3"/>
    <s v="Married"/>
    <n v="8823"/>
    <n v="24608"/>
    <n v="0"/>
    <s v="Y"/>
    <s v="No"/>
    <n v="18"/>
    <n v="3"/>
    <n v="1"/>
    <n v="80"/>
    <n v="1"/>
    <n v="20"/>
    <n v="4"/>
    <n v="2"/>
    <n v="19"/>
    <n v="9"/>
    <n v="1"/>
    <n v="9"/>
    <s v="OK"/>
    <s v="OK"/>
    <s v="OK"/>
    <s v="OK"/>
    <x v="90"/>
    <n v="0.47368421052631576"/>
    <n v="0.21052631578947367"/>
    <n v="0.47368421052631576"/>
  </r>
  <r>
    <n v="40"/>
    <s v="No"/>
    <s v="Travel_Rarely"/>
    <n v="1492"/>
    <x v="1"/>
    <n v="20"/>
    <n v="4"/>
    <s v="Technical Degree"/>
    <n v="1"/>
    <n v="1092"/>
    <n v="1"/>
    <s v="Male"/>
    <n v="61"/>
    <n v="3"/>
    <n v="3"/>
    <x v="4"/>
    <n v="4"/>
    <s v="Married"/>
    <n v="10322"/>
    <n v="26542"/>
    <n v="4"/>
    <s v="Y"/>
    <s v="No"/>
    <n v="20"/>
    <n v="4"/>
    <n v="4"/>
    <n v="80"/>
    <n v="1"/>
    <n v="14"/>
    <n v="6"/>
    <n v="3"/>
    <n v="11"/>
    <n v="10"/>
    <n v="11"/>
    <n v="1"/>
    <s v="OK"/>
    <s v="OK"/>
    <s v="OK"/>
    <s v="OK"/>
    <x v="3"/>
    <n v="0.90909090909090906"/>
    <n v="0.54545454545454541"/>
    <n v="9.0909090909090912E-2"/>
  </r>
  <r>
    <n v="27"/>
    <s v="No"/>
    <s v="Non-Travel"/>
    <n v="1277"/>
    <x v="1"/>
    <n v="8"/>
    <n v="5"/>
    <s v="Life Sciences"/>
    <n v="1"/>
    <n v="1094"/>
    <n v="1"/>
    <s v="Male"/>
    <n v="87"/>
    <n v="1"/>
    <n v="1"/>
    <x v="2"/>
    <n v="3"/>
    <s v="Married"/>
    <n v="4621"/>
    <n v="5869"/>
    <n v="1"/>
    <s v="Y"/>
    <s v="No"/>
    <n v="19"/>
    <n v="3"/>
    <n v="4"/>
    <n v="80"/>
    <n v="3"/>
    <n v="3"/>
    <n v="4"/>
    <n v="3"/>
    <n v="3"/>
    <n v="2"/>
    <n v="1"/>
    <n v="2"/>
    <s v="OK"/>
    <s v="OK"/>
    <s v="OK"/>
    <s v="OK"/>
    <x v="9"/>
    <n v="0.66666666666666663"/>
    <n v="1.3333333333333333"/>
    <n v="0.66666666666666663"/>
  </r>
  <r>
    <n v="55"/>
    <s v="No"/>
    <s v="Travel_Frequently"/>
    <n v="1091"/>
    <x v="1"/>
    <n v="2"/>
    <n v="1"/>
    <s v="Life Sciences"/>
    <n v="1"/>
    <n v="1096"/>
    <n v="4"/>
    <s v="Male"/>
    <n v="65"/>
    <n v="3"/>
    <n v="3"/>
    <x v="3"/>
    <n v="2"/>
    <s v="Married"/>
    <n v="10976"/>
    <n v="15813"/>
    <n v="3"/>
    <s v="Y"/>
    <s v="No"/>
    <n v="18"/>
    <n v="3"/>
    <n v="2"/>
    <n v="80"/>
    <n v="1"/>
    <n v="23"/>
    <n v="4"/>
    <n v="3"/>
    <n v="3"/>
    <n v="2"/>
    <n v="1"/>
    <n v="2"/>
    <s v="OK"/>
    <s v="OK"/>
    <s v="OK"/>
    <s v="OK"/>
    <x v="9"/>
    <n v="0.66666666666666663"/>
    <n v="1.3333333333333333"/>
    <n v="0.66666666666666663"/>
  </r>
  <r>
    <n v="28"/>
    <s v="No"/>
    <s v="Travel_Rarely"/>
    <n v="857"/>
    <x v="1"/>
    <n v="10"/>
    <n v="3"/>
    <s v="Other"/>
    <n v="1"/>
    <n v="1097"/>
    <n v="3"/>
    <s v="Female"/>
    <n v="59"/>
    <n v="3"/>
    <n v="2"/>
    <x v="1"/>
    <n v="3"/>
    <s v="Single"/>
    <n v="3660"/>
    <n v="7909"/>
    <n v="3"/>
    <s v="Y"/>
    <s v="No"/>
    <n v="13"/>
    <n v="3"/>
    <n v="4"/>
    <n v="80"/>
    <n v="0"/>
    <n v="10"/>
    <n v="4"/>
    <n v="4"/>
    <n v="8"/>
    <n v="7"/>
    <n v="1"/>
    <n v="7"/>
    <s v="OK"/>
    <s v="OK"/>
    <s v="OK"/>
    <s v="OK"/>
    <x v="33"/>
    <n v="0.875"/>
    <n v="0.5"/>
    <n v="0.875"/>
  </r>
  <r>
    <n v="44"/>
    <s v="Yes"/>
    <s v="Travel_Rarely"/>
    <n v="1376"/>
    <x v="2"/>
    <n v="1"/>
    <n v="2"/>
    <s v="Medical"/>
    <n v="1"/>
    <n v="1098"/>
    <n v="2"/>
    <s v="Male"/>
    <n v="91"/>
    <n v="2"/>
    <n v="3"/>
    <x v="8"/>
    <n v="1"/>
    <s v="Married"/>
    <n v="10482"/>
    <n v="2326"/>
    <n v="9"/>
    <s v="Y"/>
    <s v="No"/>
    <n v="14"/>
    <n v="3"/>
    <n v="4"/>
    <n v="80"/>
    <n v="1"/>
    <n v="24"/>
    <n v="1"/>
    <n v="3"/>
    <n v="20"/>
    <n v="6"/>
    <n v="3"/>
    <n v="6"/>
    <s v="OK"/>
    <s v="OK"/>
    <s v="OK"/>
    <s v="OK"/>
    <x v="72"/>
    <n v="0.3"/>
    <n v="0.05"/>
    <n v="0.3"/>
  </r>
  <r>
    <n v="33"/>
    <s v="No"/>
    <s v="Travel_Rarely"/>
    <n v="654"/>
    <x v="1"/>
    <n v="5"/>
    <n v="3"/>
    <s v="Life Sciences"/>
    <n v="1"/>
    <n v="1099"/>
    <n v="4"/>
    <s v="Male"/>
    <n v="34"/>
    <n v="2"/>
    <n v="3"/>
    <x v="4"/>
    <n v="4"/>
    <s v="Divorced"/>
    <n v="7119"/>
    <n v="21214"/>
    <n v="4"/>
    <s v="Y"/>
    <s v="No"/>
    <n v="15"/>
    <n v="3"/>
    <n v="3"/>
    <n v="80"/>
    <n v="1"/>
    <n v="9"/>
    <n v="2"/>
    <n v="3"/>
    <n v="3"/>
    <n v="2"/>
    <n v="1"/>
    <n v="2"/>
    <s v="OK"/>
    <s v="OK"/>
    <s v="OK"/>
    <s v="OK"/>
    <x v="9"/>
    <n v="0.66666666666666663"/>
    <n v="0.66666666666666663"/>
    <n v="0.66666666666666663"/>
  </r>
  <r>
    <n v="35"/>
    <s v="Yes"/>
    <s v="Travel_Rarely"/>
    <n v="1204"/>
    <x v="0"/>
    <n v="4"/>
    <n v="3"/>
    <s v="Technical Degree"/>
    <n v="1"/>
    <n v="1100"/>
    <n v="4"/>
    <s v="Male"/>
    <n v="86"/>
    <n v="3"/>
    <n v="3"/>
    <x v="0"/>
    <n v="1"/>
    <s v="Single"/>
    <n v="9582"/>
    <n v="10333"/>
    <n v="0"/>
    <s v="Y"/>
    <s v="Yes"/>
    <n v="22"/>
    <n v="4"/>
    <n v="1"/>
    <n v="80"/>
    <n v="0"/>
    <n v="9"/>
    <n v="2"/>
    <n v="3"/>
    <n v="8"/>
    <n v="7"/>
    <n v="4"/>
    <n v="7"/>
    <s v="OK"/>
    <s v="OK"/>
    <s v="OK"/>
    <s v="OK"/>
    <x v="7"/>
    <n v="0.875"/>
    <n v="0.25"/>
    <n v="0.875"/>
  </r>
  <r>
    <n v="33"/>
    <s v="Yes"/>
    <s v="Travel_Frequently"/>
    <n v="827"/>
    <x v="1"/>
    <n v="29"/>
    <n v="4"/>
    <s v="Medical"/>
    <n v="1"/>
    <n v="1101"/>
    <n v="1"/>
    <s v="Female"/>
    <n v="54"/>
    <n v="2"/>
    <n v="2"/>
    <x v="1"/>
    <n v="3"/>
    <s v="Single"/>
    <n v="4508"/>
    <n v="3129"/>
    <n v="1"/>
    <s v="Y"/>
    <s v="No"/>
    <n v="22"/>
    <n v="4"/>
    <n v="2"/>
    <n v="80"/>
    <n v="0"/>
    <n v="14"/>
    <n v="4"/>
    <n v="3"/>
    <n v="13"/>
    <n v="7"/>
    <n v="3"/>
    <n v="8"/>
    <s v="OK"/>
    <s v="OK"/>
    <s v="OK"/>
    <s v="OK"/>
    <x v="50"/>
    <n v="0.53846153846153844"/>
    <n v="0.30769230769230771"/>
    <n v="0.61538461538461542"/>
  </r>
  <r>
    <n v="28"/>
    <s v="No"/>
    <s v="Travel_Rarely"/>
    <n v="895"/>
    <x v="1"/>
    <n v="15"/>
    <n v="2"/>
    <s v="Life Sciences"/>
    <n v="1"/>
    <n v="1102"/>
    <n v="1"/>
    <s v="Male"/>
    <n v="50"/>
    <n v="3"/>
    <n v="1"/>
    <x v="2"/>
    <n v="3"/>
    <s v="Divorced"/>
    <n v="2207"/>
    <n v="22482"/>
    <n v="1"/>
    <s v="Y"/>
    <s v="No"/>
    <n v="16"/>
    <n v="3"/>
    <n v="4"/>
    <n v="80"/>
    <n v="1"/>
    <n v="4"/>
    <n v="5"/>
    <n v="2"/>
    <n v="4"/>
    <n v="2"/>
    <n v="2"/>
    <n v="2"/>
    <s v="OK"/>
    <s v="OK"/>
    <s v="OK"/>
    <s v="OK"/>
    <x v="7"/>
    <n v="0.5"/>
    <n v="1.25"/>
    <n v="0.5"/>
  </r>
  <r>
    <n v="34"/>
    <s v="No"/>
    <s v="Travel_Frequently"/>
    <n v="618"/>
    <x v="1"/>
    <n v="3"/>
    <n v="1"/>
    <s v="Life Sciences"/>
    <n v="1"/>
    <n v="1103"/>
    <n v="1"/>
    <s v="Male"/>
    <n v="45"/>
    <n v="3"/>
    <n v="2"/>
    <x v="4"/>
    <n v="4"/>
    <s v="Single"/>
    <n v="7756"/>
    <n v="22266"/>
    <n v="0"/>
    <s v="Y"/>
    <s v="No"/>
    <n v="17"/>
    <n v="3"/>
    <n v="3"/>
    <n v="80"/>
    <n v="0"/>
    <n v="7"/>
    <n v="1"/>
    <n v="2"/>
    <n v="6"/>
    <n v="2"/>
    <n v="0"/>
    <n v="4"/>
    <s v="OK"/>
    <s v="OK"/>
    <s v="OK"/>
    <s v="OK"/>
    <x v="0"/>
    <n v="0.33333333333333331"/>
    <n v="0.16666666666666666"/>
    <n v="0.66666666666666663"/>
  </r>
  <r>
    <n v="37"/>
    <s v="No"/>
    <s v="Travel_Rarely"/>
    <n v="309"/>
    <x v="0"/>
    <n v="10"/>
    <n v="4"/>
    <s v="Life Sciences"/>
    <n v="1"/>
    <n v="1105"/>
    <n v="4"/>
    <s v="Female"/>
    <n v="88"/>
    <n v="2"/>
    <n v="2"/>
    <x v="0"/>
    <n v="4"/>
    <s v="Divorced"/>
    <n v="6694"/>
    <n v="24223"/>
    <n v="2"/>
    <s v="Y"/>
    <s v="Yes"/>
    <n v="14"/>
    <n v="3"/>
    <n v="3"/>
    <n v="80"/>
    <n v="3"/>
    <n v="8"/>
    <n v="5"/>
    <n v="3"/>
    <n v="1"/>
    <n v="0"/>
    <n v="0"/>
    <n v="0"/>
    <s v="OK"/>
    <s v="OK"/>
    <s v="OK"/>
    <s v="OK"/>
    <x v="0"/>
    <n v="0"/>
    <n v="5"/>
    <n v="0"/>
  </r>
  <r>
    <n v="25"/>
    <s v="Yes"/>
    <s v="Travel_Rarely"/>
    <n v="1219"/>
    <x v="1"/>
    <n v="4"/>
    <n v="1"/>
    <s v="Technical Degree"/>
    <n v="1"/>
    <n v="1106"/>
    <n v="4"/>
    <s v="Male"/>
    <n v="32"/>
    <n v="3"/>
    <n v="1"/>
    <x v="2"/>
    <n v="4"/>
    <s v="Married"/>
    <n v="3691"/>
    <n v="4605"/>
    <n v="1"/>
    <s v="Y"/>
    <s v="Yes"/>
    <n v="15"/>
    <n v="3"/>
    <n v="2"/>
    <n v="80"/>
    <n v="1"/>
    <n v="7"/>
    <n v="3"/>
    <n v="4"/>
    <n v="7"/>
    <n v="7"/>
    <n v="5"/>
    <n v="6"/>
    <s v="OK"/>
    <s v="OK"/>
    <s v="OK"/>
    <s v="OK"/>
    <x v="68"/>
    <n v="1"/>
    <n v="0.42857142857142855"/>
    <n v="0.8571428571428571"/>
  </r>
  <r>
    <n v="26"/>
    <s v="Yes"/>
    <s v="Travel_Rarely"/>
    <n v="1330"/>
    <x v="1"/>
    <n v="21"/>
    <n v="3"/>
    <s v="Medical"/>
    <n v="1"/>
    <n v="1107"/>
    <n v="1"/>
    <s v="Male"/>
    <n v="37"/>
    <n v="3"/>
    <n v="1"/>
    <x v="2"/>
    <n v="3"/>
    <s v="Divorced"/>
    <n v="2377"/>
    <n v="19373"/>
    <n v="1"/>
    <s v="Y"/>
    <s v="No"/>
    <n v="20"/>
    <n v="4"/>
    <n v="3"/>
    <n v="80"/>
    <n v="1"/>
    <n v="1"/>
    <n v="0"/>
    <n v="2"/>
    <n v="1"/>
    <n v="1"/>
    <n v="0"/>
    <n v="0"/>
    <s v="OK"/>
    <s v="OK"/>
    <s v="OK"/>
    <s v="OK"/>
    <x v="0"/>
    <n v="1"/>
    <n v="0"/>
    <n v="0"/>
  </r>
  <r>
    <n v="33"/>
    <s v="Yes"/>
    <s v="Travel_Rarely"/>
    <n v="1017"/>
    <x v="1"/>
    <n v="25"/>
    <n v="3"/>
    <s v="Medical"/>
    <n v="1"/>
    <n v="1108"/>
    <n v="1"/>
    <s v="Male"/>
    <n v="55"/>
    <n v="2"/>
    <n v="1"/>
    <x v="1"/>
    <n v="2"/>
    <s v="Single"/>
    <n v="2313"/>
    <n v="2993"/>
    <n v="4"/>
    <s v="Y"/>
    <s v="Yes"/>
    <n v="20"/>
    <n v="4"/>
    <n v="2"/>
    <n v="80"/>
    <n v="0"/>
    <n v="5"/>
    <n v="0"/>
    <n v="3"/>
    <n v="2"/>
    <n v="2"/>
    <n v="2"/>
    <n v="2"/>
    <s v="OK"/>
    <s v="OK"/>
    <s v="OK"/>
    <s v="OK"/>
    <x v="3"/>
    <n v="1"/>
    <n v="0"/>
    <n v="1"/>
  </r>
  <r>
    <n v="42"/>
    <s v="No"/>
    <s v="Travel_Rarely"/>
    <n v="469"/>
    <x v="1"/>
    <n v="2"/>
    <n v="2"/>
    <s v="Medical"/>
    <n v="1"/>
    <n v="1109"/>
    <n v="4"/>
    <s v="Male"/>
    <n v="35"/>
    <n v="3"/>
    <n v="4"/>
    <x v="5"/>
    <n v="1"/>
    <s v="Married"/>
    <n v="17665"/>
    <n v="14399"/>
    <n v="0"/>
    <s v="Y"/>
    <s v="No"/>
    <n v="17"/>
    <n v="3"/>
    <n v="4"/>
    <n v="80"/>
    <n v="1"/>
    <n v="23"/>
    <n v="3"/>
    <n v="3"/>
    <n v="22"/>
    <n v="6"/>
    <n v="13"/>
    <n v="7"/>
    <s v="OK"/>
    <s v="OK"/>
    <s v="OK"/>
    <s v="OK"/>
    <x v="91"/>
    <n v="0.27272727272727271"/>
    <n v="0.13636363636363635"/>
    <n v="0.31818181818181818"/>
  </r>
  <r>
    <n v="28"/>
    <s v="Yes"/>
    <s v="Travel_Frequently"/>
    <n v="1009"/>
    <x v="1"/>
    <n v="1"/>
    <n v="3"/>
    <s v="Medical"/>
    <n v="1"/>
    <n v="1111"/>
    <n v="1"/>
    <s v="Male"/>
    <n v="45"/>
    <n v="2"/>
    <n v="1"/>
    <x v="2"/>
    <n v="2"/>
    <s v="Divorced"/>
    <n v="2596"/>
    <n v="7160"/>
    <n v="1"/>
    <s v="Y"/>
    <s v="No"/>
    <n v="15"/>
    <n v="3"/>
    <n v="1"/>
    <n v="80"/>
    <n v="2"/>
    <n v="1"/>
    <n v="2"/>
    <n v="3"/>
    <n v="1"/>
    <n v="0"/>
    <n v="0"/>
    <n v="0"/>
    <s v="OK"/>
    <s v="OK"/>
    <s v="OK"/>
    <s v="OK"/>
    <x v="0"/>
    <n v="0"/>
    <n v="2"/>
    <n v="0"/>
  </r>
  <r>
    <n v="50"/>
    <s v="Yes"/>
    <s v="Travel_Frequently"/>
    <n v="959"/>
    <x v="0"/>
    <n v="1"/>
    <n v="4"/>
    <s v="Other"/>
    <n v="1"/>
    <n v="1113"/>
    <n v="4"/>
    <s v="Male"/>
    <n v="81"/>
    <n v="3"/>
    <n v="2"/>
    <x v="0"/>
    <n v="3"/>
    <s v="Single"/>
    <n v="4728"/>
    <n v="17251"/>
    <n v="3"/>
    <s v="Y"/>
    <s v="Yes"/>
    <n v="14"/>
    <n v="3"/>
    <n v="4"/>
    <n v="80"/>
    <n v="0"/>
    <n v="5"/>
    <n v="4"/>
    <n v="3"/>
    <n v="0"/>
    <n v="0"/>
    <n v="0"/>
    <n v="0"/>
    <s v="OK"/>
    <s v="OK"/>
    <s v="OK"/>
    <s v="OK"/>
    <x v="0"/>
    <n v="0"/>
    <n v="0"/>
    <n v="0"/>
  </r>
  <r>
    <n v="33"/>
    <s v="No"/>
    <s v="Travel_Frequently"/>
    <n v="970"/>
    <x v="0"/>
    <n v="7"/>
    <n v="3"/>
    <s v="Life Sciences"/>
    <n v="1"/>
    <n v="1114"/>
    <n v="4"/>
    <s v="Female"/>
    <n v="30"/>
    <n v="3"/>
    <n v="2"/>
    <x v="0"/>
    <n v="2"/>
    <s v="Married"/>
    <n v="4302"/>
    <n v="13401"/>
    <n v="0"/>
    <s v="Y"/>
    <s v="No"/>
    <n v="17"/>
    <n v="3"/>
    <n v="3"/>
    <n v="80"/>
    <n v="1"/>
    <n v="4"/>
    <n v="3"/>
    <n v="3"/>
    <n v="3"/>
    <n v="2"/>
    <n v="0"/>
    <n v="2"/>
    <s v="OK"/>
    <s v="OK"/>
    <s v="OK"/>
    <s v="OK"/>
    <x v="0"/>
    <n v="0.66666666666666663"/>
    <n v="1"/>
    <n v="0.66666666666666663"/>
  </r>
  <r>
    <n v="34"/>
    <s v="No"/>
    <s v="Non-Travel"/>
    <n v="697"/>
    <x v="1"/>
    <n v="3"/>
    <n v="4"/>
    <s v="Life Sciences"/>
    <n v="1"/>
    <n v="1115"/>
    <n v="3"/>
    <s v="Male"/>
    <n v="40"/>
    <n v="2"/>
    <n v="1"/>
    <x v="1"/>
    <n v="4"/>
    <s v="Married"/>
    <n v="2979"/>
    <n v="22478"/>
    <n v="3"/>
    <s v="Y"/>
    <s v="No"/>
    <n v="17"/>
    <n v="3"/>
    <n v="4"/>
    <n v="80"/>
    <n v="3"/>
    <n v="6"/>
    <n v="2"/>
    <n v="3"/>
    <n v="0"/>
    <n v="0"/>
    <n v="0"/>
    <n v="0"/>
    <s v="OK"/>
    <s v="OK"/>
    <s v="OK"/>
    <s v="OK"/>
    <x v="0"/>
    <n v="0"/>
    <n v="0"/>
    <n v="0"/>
  </r>
  <r>
    <n v="48"/>
    <s v="No"/>
    <s v="Non-Travel"/>
    <n v="1262"/>
    <x v="1"/>
    <n v="1"/>
    <n v="4"/>
    <s v="Medical"/>
    <n v="1"/>
    <n v="1116"/>
    <n v="1"/>
    <s v="Male"/>
    <n v="35"/>
    <n v="4"/>
    <n v="4"/>
    <x v="5"/>
    <n v="4"/>
    <s v="Single"/>
    <n v="16885"/>
    <n v="16154"/>
    <n v="2"/>
    <s v="Y"/>
    <s v="No"/>
    <n v="22"/>
    <n v="4"/>
    <n v="3"/>
    <n v="80"/>
    <n v="0"/>
    <n v="27"/>
    <n v="3"/>
    <n v="2"/>
    <n v="5"/>
    <n v="4"/>
    <n v="2"/>
    <n v="1"/>
    <s v="OK"/>
    <s v="OK"/>
    <s v="OK"/>
    <s v="OK"/>
    <x v="46"/>
    <n v="0.8"/>
    <n v="0.6"/>
    <n v="0.2"/>
  </r>
  <r>
    <n v="45"/>
    <s v="No"/>
    <s v="Non-Travel"/>
    <n v="1050"/>
    <x v="0"/>
    <n v="9"/>
    <n v="4"/>
    <s v="Life Sciences"/>
    <n v="1"/>
    <n v="1117"/>
    <n v="2"/>
    <s v="Female"/>
    <n v="65"/>
    <n v="2"/>
    <n v="2"/>
    <x v="0"/>
    <n v="3"/>
    <s v="Married"/>
    <n v="5593"/>
    <n v="17970"/>
    <n v="1"/>
    <s v="Y"/>
    <s v="No"/>
    <n v="13"/>
    <n v="3"/>
    <n v="4"/>
    <n v="80"/>
    <n v="1"/>
    <n v="15"/>
    <n v="2"/>
    <n v="3"/>
    <n v="15"/>
    <n v="10"/>
    <n v="4"/>
    <n v="12"/>
    <s v="OK"/>
    <s v="OK"/>
    <s v="OK"/>
    <s v="OK"/>
    <x v="75"/>
    <n v="0.66666666666666663"/>
    <n v="0.13333333333333333"/>
    <n v="0.8"/>
  </r>
  <r>
    <n v="52"/>
    <s v="No"/>
    <s v="Travel_Rarely"/>
    <n v="994"/>
    <x v="1"/>
    <n v="7"/>
    <n v="4"/>
    <s v="Life Sciences"/>
    <n v="1"/>
    <n v="1118"/>
    <n v="2"/>
    <s v="Male"/>
    <n v="87"/>
    <n v="3"/>
    <n v="3"/>
    <x v="4"/>
    <n v="2"/>
    <s v="Single"/>
    <n v="10445"/>
    <n v="15322"/>
    <n v="7"/>
    <s v="Y"/>
    <s v="No"/>
    <n v="19"/>
    <n v="3"/>
    <n v="4"/>
    <n v="80"/>
    <n v="0"/>
    <n v="18"/>
    <n v="4"/>
    <n v="3"/>
    <n v="8"/>
    <n v="6"/>
    <n v="4"/>
    <n v="0"/>
    <s v="OK"/>
    <s v="OK"/>
    <s v="OK"/>
    <s v="OK"/>
    <x v="7"/>
    <n v="0.75"/>
    <n v="0.5"/>
    <n v="0"/>
  </r>
  <r>
    <n v="38"/>
    <s v="No"/>
    <s v="Travel_Rarely"/>
    <n v="770"/>
    <x v="0"/>
    <n v="10"/>
    <n v="4"/>
    <s v="Marketing"/>
    <n v="1"/>
    <n v="1119"/>
    <n v="3"/>
    <s v="Male"/>
    <n v="73"/>
    <n v="2"/>
    <n v="3"/>
    <x v="0"/>
    <n v="3"/>
    <s v="Divorced"/>
    <n v="8740"/>
    <n v="5569"/>
    <n v="0"/>
    <s v="Y"/>
    <s v="Yes"/>
    <n v="14"/>
    <n v="3"/>
    <n v="2"/>
    <n v="80"/>
    <n v="2"/>
    <n v="9"/>
    <n v="2"/>
    <n v="3"/>
    <n v="8"/>
    <n v="7"/>
    <n v="2"/>
    <n v="7"/>
    <s v="OK"/>
    <s v="OK"/>
    <s v="OK"/>
    <s v="OK"/>
    <x v="10"/>
    <n v="0.875"/>
    <n v="0.25"/>
    <n v="0.875"/>
  </r>
  <r>
    <n v="29"/>
    <s v="No"/>
    <s v="Travel_Rarely"/>
    <n v="1107"/>
    <x v="1"/>
    <n v="28"/>
    <n v="4"/>
    <s v="Life Sciences"/>
    <n v="1"/>
    <n v="1120"/>
    <n v="3"/>
    <s v="Female"/>
    <n v="93"/>
    <n v="3"/>
    <n v="1"/>
    <x v="1"/>
    <n v="4"/>
    <s v="Divorced"/>
    <n v="2514"/>
    <n v="26968"/>
    <n v="4"/>
    <s v="Y"/>
    <s v="No"/>
    <n v="22"/>
    <n v="4"/>
    <n v="1"/>
    <n v="80"/>
    <n v="1"/>
    <n v="11"/>
    <n v="1"/>
    <n v="3"/>
    <n v="7"/>
    <n v="5"/>
    <n v="1"/>
    <n v="7"/>
    <s v="OK"/>
    <s v="OK"/>
    <s v="OK"/>
    <s v="OK"/>
    <x v="20"/>
    <n v="0.7142857142857143"/>
    <n v="0.14285714285714285"/>
    <n v="1"/>
  </r>
  <r>
    <n v="28"/>
    <s v="No"/>
    <s v="Travel_Rarely"/>
    <n v="950"/>
    <x v="1"/>
    <n v="3"/>
    <n v="3"/>
    <s v="Medical"/>
    <n v="1"/>
    <n v="1121"/>
    <n v="4"/>
    <s v="Female"/>
    <n v="93"/>
    <n v="3"/>
    <n v="3"/>
    <x v="3"/>
    <n v="2"/>
    <s v="Divorced"/>
    <n v="7655"/>
    <n v="8039"/>
    <n v="0"/>
    <s v="Y"/>
    <s v="No"/>
    <n v="17"/>
    <n v="3"/>
    <n v="2"/>
    <n v="80"/>
    <n v="3"/>
    <n v="10"/>
    <n v="3"/>
    <n v="2"/>
    <n v="9"/>
    <n v="7"/>
    <n v="1"/>
    <n v="7"/>
    <s v="OK"/>
    <s v="OK"/>
    <s v="OK"/>
    <s v="OK"/>
    <x v="5"/>
    <n v="0.77777777777777779"/>
    <n v="0.33333333333333331"/>
    <n v="0.77777777777777779"/>
  </r>
  <r>
    <n v="46"/>
    <s v="No"/>
    <s v="Travel_Rarely"/>
    <n v="406"/>
    <x v="0"/>
    <n v="3"/>
    <n v="1"/>
    <s v="Marketing"/>
    <n v="1"/>
    <n v="1124"/>
    <n v="1"/>
    <s v="Male"/>
    <n v="52"/>
    <n v="3"/>
    <n v="4"/>
    <x v="5"/>
    <n v="3"/>
    <s v="Married"/>
    <n v="17465"/>
    <n v="15596"/>
    <n v="3"/>
    <s v="Y"/>
    <s v="No"/>
    <n v="12"/>
    <n v="3"/>
    <n v="4"/>
    <n v="80"/>
    <n v="1"/>
    <n v="23"/>
    <n v="3"/>
    <n v="3"/>
    <n v="12"/>
    <n v="9"/>
    <n v="4"/>
    <n v="9"/>
    <s v="OK"/>
    <s v="OK"/>
    <s v="OK"/>
    <s v="OK"/>
    <x v="9"/>
    <n v="0.75"/>
    <n v="0.25"/>
    <n v="0.75"/>
  </r>
  <r>
    <n v="38"/>
    <s v="No"/>
    <s v="Travel_Rarely"/>
    <n v="130"/>
    <x v="0"/>
    <n v="2"/>
    <n v="2"/>
    <s v="Marketing"/>
    <n v="1"/>
    <n v="1125"/>
    <n v="4"/>
    <s v="Male"/>
    <n v="32"/>
    <n v="3"/>
    <n v="3"/>
    <x v="0"/>
    <n v="2"/>
    <s v="Single"/>
    <n v="7351"/>
    <n v="20619"/>
    <n v="7"/>
    <s v="Y"/>
    <s v="No"/>
    <n v="16"/>
    <n v="3"/>
    <n v="3"/>
    <n v="80"/>
    <n v="0"/>
    <n v="10"/>
    <n v="2"/>
    <n v="3"/>
    <n v="1"/>
    <n v="0"/>
    <n v="0"/>
    <n v="0"/>
    <s v="OK"/>
    <s v="OK"/>
    <s v="OK"/>
    <s v="OK"/>
    <x v="0"/>
    <n v="0"/>
    <n v="2"/>
    <n v="0"/>
  </r>
  <r>
    <n v="43"/>
    <s v="No"/>
    <s v="Travel_Frequently"/>
    <n v="1082"/>
    <x v="1"/>
    <n v="27"/>
    <n v="3"/>
    <s v="Life Sciences"/>
    <n v="1"/>
    <n v="1126"/>
    <n v="3"/>
    <s v="Female"/>
    <n v="83"/>
    <n v="3"/>
    <n v="3"/>
    <x v="3"/>
    <n v="1"/>
    <s v="Married"/>
    <n v="10820"/>
    <n v="11535"/>
    <n v="8"/>
    <s v="Y"/>
    <s v="No"/>
    <n v="11"/>
    <n v="3"/>
    <n v="3"/>
    <n v="80"/>
    <n v="1"/>
    <n v="18"/>
    <n v="1"/>
    <n v="3"/>
    <n v="8"/>
    <n v="7"/>
    <n v="0"/>
    <n v="1"/>
    <s v="OK"/>
    <s v="OK"/>
    <s v="OK"/>
    <s v="OK"/>
    <x v="0"/>
    <n v="0.875"/>
    <n v="0.125"/>
    <n v="0.125"/>
  </r>
  <r>
    <n v="39"/>
    <s v="Yes"/>
    <s v="Travel_Frequently"/>
    <n v="203"/>
    <x v="1"/>
    <n v="2"/>
    <n v="3"/>
    <s v="Life Sciences"/>
    <n v="1"/>
    <n v="1127"/>
    <n v="1"/>
    <s v="Male"/>
    <n v="84"/>
    <n v="3"/>
    <n v="4"/>
    <x v="4"/>
    <n v="4"/>
    <s v="Divorced"/>
    <n v="12169"/>
    <n v="13547"/>
    <n v="7"/>
    <s v="Y"/>
    <s v="No"/>
    <n v="11"/>
    <n v="3"/>
    <n v="4"/>
    <n v="80"/>
    <n v="3"/>
    <n v="21"/>
    <n v="4"/>
    <n v="3"/>
    <n v="18"/>
    <n v="7"/>
    <n v="11"/>
    <n v="5"/>
    <s v="OK"/>
    <s v="OK"/>
    <s v="OK"/>
    <s v="OK"/>
    <x v="70"/>
    <n v="0.3888888888888889"/>
    <n v="0.22222222222222221"/>
    <n v="0.27777777777777779"/>
  </r>
  <r>
    <n v="40"/>
    <s v="No"/>
    <s v="Travel_Rarely"/>
    <n v="1308"/>
    <x v="1"/>
    <n v="14"/>
    <n v="3"/>
    <s v="Medical"/>
    <n v="1"/>
    <n v="1128"/>
    <n v="3"/>
    <s v="Male"/>
    <n v="44"/>
    <n v="2"/>
    <n v="5"/>
    <x v="7"/>
    <n v="3"/>
    <s v="Single"/>
    <n v="19626"/>
    <n v="17544"/>
    <n v="1"/>
    <s v="Y"/>
    <s v="No"/>
    <n v="14"/>
    <n v="3"/>
    <n v="1"/>
    <n v="80"/>
    <n v="0"/>
    <n v="21"/>
    <n v="2"/>
    <n v="4"/>
    <n v="20"/>
    <n v="7"/>
    <n v="4"/>
    <n v="9"/>
    <s v="OK"/>
    <s v="OK"/>
    <s v="OK"/>
    <s v="OK"/>
    <x v="16"/>
    <n v="0.35"/>
    <n v="0.1"/>
    <n v="0.45"/>
  </r>
  <r>
    <n v="21"/>
    <s v="No"/>
    <s v="Travel_Rarely"/>
    <n v="984"/>
    <x v="1"/>
    <n v="1"/>
    <n v="1"/>
    <s v="Technical Degree"/>
    <n v="1"/>
    <n v="1131"/>
    <n v="4"/>
    <s v="Female"/>
    <n v="70"/>
    <n v="2"/>
    <n v="1"/>
    <x v="1"/>
    <n v="2"/>
    <s v="Single"/>
    <n v="2070"/>
    <n v="25326"/>
    <n v="1"/>
    <s v="Y"/>
    <s v="Yes"/>
    <n v="11"/>
    <n v="3"/>
    <n v="3"/>
    <n v="80"/>
    <n v="0"/>
    <n v="2"/>
    <n v="6"/>
    <n v="4"/>
    <n v="2"/>
    <n v="2"/>
    <n v="2"/>
    <n v="2"/>
    <s v="OK"/>
    <s v="OK"/>
    <s v="OK"/>
    <s v="OK"/>
    <x v="3"/>
    <n v="1"/>
    <n v="3"/>
    <n v="1"/>
  </r>
  <r>
    <n v="39"/>
    <s v="No"/>
    <s v="Non-Travel"/>
    <n v="439"/>
    <x v="1"/>
    <n v="9"/>
    <n v="3"/>
    <s v="Life Sciences"/>
    <n v="1"/>
    <n v="1132"/>
    <n v="3"/>
    <s v="Male"/>
    <n v="70"/>
    <n v="3"/>
    <n v="2"/>
    <x v="2"/>
    <n v="2"/>
    <s v="Single"/>
    <n v="6782"/>
    <n v="8770"/>
    <n v="9"/>
    <s v="Y"/>
    <s v="No"/>
    <n v="15"/>
    <n v="3"/>
    <n v="3"/>
    <n v="80"/>
    <n v="0"/>
    <n v="9"/>
    <n v="2"/>
    <n v="2"/>
    <n v="5"/>
    <n v="4"/>
    <n v="0"/>
    <n v="3"/>
    <s v="OK"/>
    <s v="OK"/>
    <s v="OK"/>
    <s v="OK"/>
    <x v="0"/>
    <n v="0.8"/>
    <n v="0.4"/>
    <n v="0.6"/>
  </r>
  <r>
    <n v="36"/>
    <s v="No"/>
    <s v="Non-Travel"/>
    <n v="217"/>
    <x v="1"/>
    <n v="18"/>
    <n v="4"/>
    <s v="Life Sciences"/>
    <n v="1"/>
    <n v="1133"/>
    <n v="1"/>
    <s v="Male"/>
    <n v="78"/>
    <n v="3"/>
    <n v="2"/>
    <x v="3"/>
    <n v="4"/>
    <s v="Single"/>
    <n v="7779"/>
    <n v="23238"/>
    <n v="2"/>
    <s v="Y"/>
    <s v="No"/>
    <n v="20"/>
    <n v="4"/>
    <n v="1"/>
    <n v="80"/>
    <n v="0"/>
    <n v="18"/>
    <n v="0"/>
    <n v="3"/>
    <n v="11"/>
    <n v="9"/>
    <n v="0"/>
    <n v="9"/>
    <s v="OK"/>
    <s v="OK"/>
    <s v="OK"/>
    <s v="OK"/>
    <x v="0"/>
    <n v="0.81818181818181823"/>
    <n v="0"/>
    <n v="0.81818181818181823"/>
  </r>
  <r>
    <n v="31"/>
    <s v="No"/>
    <s v="Travel_Frequently"/>
    <n v="793"/>
    <x v="0"/>
    <n v="20"/>
    <n v="3"/>
    <s v="Life Sciences"/>
    <n v="1"/>
    <n v="1135"/>
    <n v="3"/>
    <s v="Male"/>
    <n v="67"/>
    <n v="4"/>
    <n v="1"/>
    <x v="6"/>
    <n v="4"/>
    <s v="Married"/>
    <n v="2791"/>
    <n v="21981"/>
    <n v="0"/>
    <s v="Y"/>
    <s v="No"/>
    <n v="12"/>
    <n v="3"/>
    <n v="1"/>
    <n v="80"/>
    <n v="1"/>
    <n v="3"/>
    <n v="4"/>
    <n v="3"/>
    <n v="2"/>
    <n v="2"/>
    <n v="2"/>
    <n v="2"/>
    <s v="OK"/>
    <s v="OK"/>
    <s v="OK"/>
    <s v="OK"/>
    <x v="3"/>
    <n v="1"/>
    <n v="2"/>
    <n v="1"/>
  </r>
  <r>
    <n v="28"/>
    <s v="No"/>
    <s v="Travel_Rarely"/>
    <n v="1451"/>
    <x v="1"/>
    <n v="2"/>
    <n v="1"/>
    <s v="Life Sciences"/>
    <n v="1"/>
    <n v="1136"/>
    <n v="1"/>
    <s v="Male"/>
    <n v="67"/>
    <n v="2"/>
    <n v="1"/>
    <x v="1"/>
    <n v="2"/>
    <s v="Married"/>
    <n v="3201"/>
    <n v="19911"/>
    <n v="0"/>
    <s v="Y"/>
    <s v="No"/>
    <n v="17"/>
    <n v="3"/>
    <n v="1"/>
    <n v="80"/>
    <n v="0"/>
    <n v="6"/>
    <n v="2"/>
    <n v="1"/>
    <n v="5"/>
    <n v="3"/>
    <n v="0"/>
    <n v="4"/>
    <s v="OK"/>
    <s v="OK"/>
    <s v="OK"/>
    <s v="OK"/>
    <x v="0"/>
    <n v="0.6"/>
    <n v="0.4"/>
    <n v="0.8"/>
  </r>
  <r>
    <n v="35"/>
    <s v="No"/>
    <s v="Travel_Frequently"/>
    <n v="1182"/>
    <x v="0"/>
    <n v="11"/>
    <n v="2"/>
    <s v="Marketing"/>
    <n v="1"/>
    <n v="1137"/>
    <n v="4"/>
    <s v="Male"/>
    <n v="54"/>
    <n v="3"/>
    <n v="2"/>
    <x v="0"/>
    <n v="4"/>
    <s v="Divorced"/>
    <n v="4968"/>
    <n v="18500"/>
    <n v="1"/>
    <s v="Y"/>
    <s v="No"/>
    <n v="11"/>
    <n v="3"/>
    <n v="4"/>
    <n v="80"/>
    <n v="1"/>
    <n v="5"/>
    <n v="3"/>
    <n v="3"/>
    <n v="5"/>
    <n v="2"/>
    <n v="0"/>
    <n v="2"/>
    <s v="OK"/>
    <s v="OK"/>
    <s v="OK"/>
    <s v="OK"/>
    <x v="0"/>
    <n v="0.4"/>
    <n v="0.6"/>
    <n v="0.4"/>
  </r>
  <r>
    <n v="49"/>
    <s v="No"/>
    <s v="Travel_Rarely"/>
    <n v="174"/>
    <x v="0"/>
    <n v="8"/>
    <n v="4"/>
    <s v="Technical Degree"/>
    <n v="1"/>
    <n v="1138"/>
    <n v="4"/>
    <s v="Male"/>
    <n v="56"/>
    <n v="2"/>
    <n v="4"/>
    <x v="0"/>
    <n v="2"/>
    <s v="Married"/>
    <n v="13120"/>
    <n v="11879"/>
    <n v="6"/>
    <s v="Y"/>
    <s v="No"/>
    <n v="17"/>
    <n v="3"/>
    <n v="2"/>
    <n v="80"/>
    <n v="1"/>
    <n v="22"/>
    <n v="3"/>
    <n v="3"/>
    <n v="9"/>
    <n v="8"/>
    <n v="2"/>
    <n v="3"/>
    <s v="OK"/>
    <s v="OK"/>
    <s v="OK"/>
    <s v="OK"/>
    <x v="36"/>
    <n v="0.88888888888888884"/>
    <n v="0.33333333333333331"/>
    <n v="0.33333333333333331"/>
  </r>
  <r>
    <n v="34"/>
    <s v="No"/>
    <s v="Travel_Frequently"/>
    <n v="1003"/>
    <x v="1"/>
    <n v="2"/>
    <n v="2"/>
    <s v="Life Sciences"/>
    <n v="1"/>
    <n v="1140"/>
    <n v="4"/>
    <s v="Male"/>
    <n v="95"/>
    <n v="3"/>
    <n v="2"/>
    <x v="3"/>
    <n v="3"/>
    <s v="Single"/>
    <n v="4033"/>
    <n v="15834"/>
    <n v="2"/>
    <s v="Y"/>
    <s v="No"/>
    <n v="11"/>
    <n v="3"/>
    <n v="4"/>
    <n v="80"/>
    <n v="0"/>
    <n v="5"/>
    <n v="3"/>
    <n v="2"/>
    <n v="3"/>
    <n v="2"/>
    <n v="0"/>
    <n v="2"/>
    <s v="OK"/>
    <s v="OK"/>
    <s v="OK"/>
    <s v="OK"/>
    <x v="0"/>
    <n v="0.66666666666666663"/>
    <n v="1"/>
    <n v="0.66666666666666663"/>
  </r>
  <r>
    <n v="29"/>
    <s v="No"/>
    <s v="Travel_Frequently"/>
    <n v="490"/>
    <x v="1"/>
    <n v="10"/>
    <n v="3"/>
    <s v="Life Sciences"/>
    <n v="1"/>
    <n v="1143"/>
    <n v="4"/>
    <s v="Female"/>
    <n v="61"/>
    <n v="3"/>
    <n v="1"/>
    <x v="1"/>
    <n v="2"/>
    <s v="Divorced"/>
    <n v="3291"/>
    <n v="17940"/>
    <n v="0"/>
    <s v="Y"/>
    <s v="No"/>
    <n v="14"/>
    <n v="3"/>
    <n v="4"/>
    <n v="80"/>
    <n v="2"/>
    <n v="8"/>
    <n v="2"/>
    <n v="2"/>
    <n v="7"/>
    <n v="5"/>
    <n v="1"/>
    <n v="1"/>
    <s v="OK"/>
    <s v="OK"/>
    <s v="OK"/>
    <s v="OK"/>
    <x v="20"/>
    <n v="0.7142857142857143"/>
    <n v="0.2857142857142857"/>
    <n v="0.14285714285714285"/>
  </r>
  <r>
    <n v="42"/>
    <s v="No"/>
    <s v="Travel_Rarely"/>
    <n v="188"/>
    <x v="1"/>
    <n v="29"/>
    <n v="3"/>
    <s v="Medical"/>
    <n v="1"/>
    <n v="1148"/>
    <n v="2"/>
    <s v="Male"/>
    <n v="56"/>
    <n v="1"/>
    <n v="2"/>
    <x v="2"/>
    <n v="4"/>
    <s v="Single"/>
    <n v="4272"/>
    <n v="9558"/>
    <n v="4"/>
    <s v="Y"/>
    <s v="No"/>
    <n v="19"/>
    <n v="3"/>
    <n v="1"/>
    <n v="80"/>
    <n v="0"/>
    <n v="16"/>
    <n v="3"/>
    <n v="3"/>
    <n v="1"/>
    <n v="0"/>
    <n v="0"/>
    <n v="0"/>
    <s v="OK"/>
    <s v="OK"/>
    <s v="OK"/>
    <s v="OK"/>
    <x v="0"/>
    <n v="0"/>
    <n v="3"/>
    <n v="0"/>
  </r>
  <r>
    <n v="29"/>
    <s v="No"/>
    <s v="Travel_Rarely"/>
    <n v="718"/>
    <x v="1"/>
    <n v="8"/>
    <n v="1"/>
    <s v="Medical"/>
    <n v="1"/>
    <n v="1150"/>
    <n v="2"/>
    <s v="Male"/>
    <n v="79"/>
    <n v="2"/>
    <n v="2"/>
    <x v="3"/>
    <n v="4"/>
    <s v="Married"/>
    <n v="5056"/>
    <n v="17689"/>
    <n v="1"/>
    <s v="Y"/>
    <s v="Yes"/>
    <n v="15"/>
    <n v="3"/>
    <n v="3"/>
    <n v="80"/>
    <n v="1"/>
    <n v="10"/>
    <n v="2"/>
    <n v="2"/>
    <n v="10"/>
    <n v="7"/>
    <n v="1"/>
    <n v="2"/>
    <s v="OK"/>
    <s v="OK"/>
    <s v="OK"/>
    <s v="OK"/>
    <x v="1"/>
    <n v="0.7"/>
    <n v="0.2"/>
    <n v="0.2"/>
  </r>
  <r>
    <n v="38"/>
    <s v="No"/>
    <s v="Travel_Rarely"/>
    <n v="433"/>
    <x v="2"/>
    <n v="1"/>
    <n v="3"/>
    <s v="Human Resources"/>
    <n v="1"/>
    <n v="1152"/>
    <n v="3"/>
    <s v="Male"/>
    <n v="37"/>
    <n v="4"/>
    <n v="1"/>
    <x v="8"/>
    <n v="3"/>
    <s v="Married"/>
    <n v="2844"/>
    <n v="6004"/>
    <n v="1"/>
    <s v="Y"/>
    <s v="No"/>
    <n v="13"/>
    <n v="3"/>
    <n v="4"/>
    <n v="80"/>
    <n v="1"/>
    <n v="7"/>
    <n v="2"/>
    <n v="4"/>
    <n v="7"/>
    <n v="6"/>
    <n v="5"/>
    <n v="0"/>
    <s v="OK"/>
    <s v="OK"/>
    <s v="OK"/>
    <s v="OK"/>
    <x v="68"/>
    <n v="0.8571428571428571"/>
    <n v="0.2857142857142857"/>
    <n v="0"/>
  </r>
  <r>
    <n v="28"/>
    <s v="No"/>
    <s v="Travel_Frequently"/>
    <n v="773"/>
    <x v="1"/>
    <n v="6"/>
    <n v="3"/>
    <s v="Life Sciences"/>
    <n v="1"/>
    <n v="1154"/>
    <n v="3"/>
    <s v="Male"/>
    <n v="39"/>
    <n v="2"/>
    <n v="1"/>
    <x v="1"/>
    <n v="3"/>
    <s v="Divorced"/>
    <n v="2703"/>
    <n v="22088"/>
    <n v="1"/>
    <s v="Y"/>
    <s v="Yes"/>
    <n v="14"/>
    <n v="3"/>
    <n v="4"/>
    <n v="80"/>
    <n v="1"/>
    <n v="3"/>
    <n v="2"/>
    <n v="3"/>
    <n v="3"/>
    <n v="1"/>
    <n v="0"/>
    <n v="2"/>
    <s v="OK"/>
    <s v="OK"/>
    <s v="OK"/>
    <s v="OK"/>
    <x v="0"/>
    <n v="0.33333333333333331"/>
    <n v="0.66666666666666663"/>
    <n v="0.66666666666666663"/>
  </r>
  <r>
    <n v="18"/>
    <s v="Yes"/>
    <s v="Non-Travel"/>
    <n v="247"/>
    <x v="1"/>
    <n v="8"/>
    <n v="1"/>
    <s v="Medical"/>
    <n v="1"/>
    <n v="1156"/>
    <n v="3"/>
    <s v="Male"/>
    <n v="80"/>
    <n v="3"/>
    <n v="1"/>
    <x v="2"/>
    <n v="3"/>
    <s v="Single"/>
    <n v="1904"/>
    <n v="13556"/>
    <n v="1"/>
    <s v="Y"/>
    <s v="No"/>
    <n v="12"/>
    <n v="3"/>
    <n v="4"/>
    <n v="80"/>
    <n v="0"/>
    <n v="0"/>
    <n v="0"/>
    <n v="3"/>
    <n v="0"/>
    <n v="0"/>
    <n v="0"/>
    <n v="0"/>
    <s v="OK"/>
    <s v="OK"/>
    <s v="OK"/>
    <s v="OK"/>
    <x v="0"/>
    <n v="0"/>
    <n v="0"/>
    <n v="0"/>
  </r>
  <r>
    <n v="33"/>
    <s v="Yes"/>
    <s v="Travel_Rarely"/>
    <n v="603"/>
    <x v="0"/>
    <n v="9"/>
    <n v="4"/>
    <s v="Marketing"/>
    <n v="1"/>
    <n v="1157"/>
    <n v="1"/>
    <s v="Female"/>
    <n v="77"/>
    <n v="3"/>
    <n v="2"/>
    <x v="0"/>
    <n v="1"/>
    <s v="Single"/>
    <n v="8224"/>
    <n v="18385"/>
    <n v="0"/>
    <s v="Y"/>
    <s v="Yes"/>
    <n v="17"/>
    <n v="3"/>
    <n v="1"/>
    <n v="80"/>
    <n v="0"/>
    <n v="6"/>
    <n v="3"/>
    <n v="3"/>
    <n v="5"/>
    <n v="2"/>
    <n v="0"/>
    <n v="3"/>
    <s v="OK"/>
    <s v="OK"/>
    <s v="OK"/>
    <s v="OK"/>
    <x v="0"/>
    <n v="0.4"/>
    <n v="0.6"/>
    <n v="0.6"/>
  </r>
  <r>
    <n v="41"/>
    <s v="No"/>
    <s v="Travel_Rarely"/>
    <n v="167"/>
    <x v="1"/>
    <n v="12"/>
    <n v="4"/>
    <s v="Life Sciences"/>
    <n v="1"/>
    <n v="1158"/>
    <n v="2"/>
    <s v="Male"/>
    <n v="46"/>
    <n v="3"/>
    <n v="1"/>
    <x v="2"/>
    <n v="4"/>
    <s v="Married"/>
    <n v="4766"/>
    <n v="9051"/>
    <n v="3"/>
    <s v="Y"/>
    <s v="Yes"/>
    <n v="11"/>
    <n v="3"/>
    <n v="1"/>
    <n v="80"/>
    <n v="1"/>
    <n v="6"/>
    <n v="4"/>
    <n v="3"/>
    <n v="1"/>
    <n v="0"/>
    <n v="0"/>
    <n v="0"/>
    <s v="OK"/>
    <s v="OK"/>
    <s v="OK"/>
    <s v="OK"/>
    <x v="0"/>
    <n v="0"/>
    <n v="4"/>
    <n v="0"/>
  </r>
  <r>
    <n v="31"/>
    <s v="Yes"/>
    <s v="Travel_Frequently"/>
    <n v="874"/>
    <x v="1"/>
    <n v="15"/>
    <n v="3"/>
    <s v="Medical"/>
    <n v="1"/>
    <n v="1160"/>
    <n v="3"/>
    <s v="Male"/>
    <n v="72"/>
    <n v="3"/>
    <n v="1"/>
    <x v="2"/>
    <n v="3"/>
    <s v="Married"/>
    <n v="2610"/>
    <n v="6233"/>
    <n v="1"/>
    <s v="Y"/>
    <s v="No"/>
    <n v="12"/>
    <n v="3"/>
    <n v="3"/>
    <n v="80"/>
    <n v="1"/>
    <n v="2"/>
    <n v="5"/>
    <n v="2"/>
    <n v="2"/>
    <n v="2"/>
    <n v="2"/>
    <n v="2"/>
    <s v="OK"/>
    <s v="OK"/>
    <s v="OK"/>
    <s v="OK"/>
    <x v="3"/>
    <n v="1"/>
    <n v="2.5"/>
    <n v="1"/>
  </r>
  <r>
    <n v="37"/>
    <s v="No"/>
    <s v="Travel_Rarely"/>
    <n v="367"/>
    <x v="1"/>
    <n v="25"/>
    <n v="2"/>
    <s v="Medical"/>
    <n v="1"/>
    <n v="1161"/>
    <n v="3"/>
    <s v="Female"/>
    <n v="52"/>
    <n v="2"/>
    <n v="2"/>
    <x v="4"/>
    <n v="4"/>
    <s v="Divorced"/>
    <n v="5731"/>
    <n v="17171"/>
    <n v="7"/>
    <s v="Y"/>
    <s v="No"/>
    <n v="13"/>
    <n v="3"/>
    <n v="3"/>
    <n v="80"/>
    <n v="2"/>
    <n v="9"/>
    <n v="2"/>
    <n v="3"/>
    <n v="6"/>
    <n v="2"/>
    <n v="1"/>
    <n v="3"/>
    <s v="OK"/>
    <s v="OK"/>
    <s v="OK"/>
    <s v="OK"/>
    <x v="11"/>
    <n v="0.33333333333333331"/>
    <n v="0.33333333333333331"/>
    <n v="0.5"/>
  </r>
  <r>
    <n v="27"/>
    <s v="No"/>
    <s v="Travel_Rarely"/>
    <n v="199"/>
    <x v="1"/>
    <n v="6"/>
    <n v="3"/>
    <s v="Life Sciences"/>
    <n v="1"/>
    <n v="1162"/>
    <n v="4"/>
    <s v="Male"/>
    <n v="55"/>
    <n v="2"/>
    <n v="1"/>
    <x v="1"/>
    <n v="3"/>
    <s v="Married"/>
    <n v="2539"/>
    <n v="7950"/>
    <n v="1"/>
    <s v="Y"/>
    <s v="No"/>
    <n v="13"/>
    <n v="3"/>
    <n v="3"/>
    <n v="80"/>
    <n v="1"/>
    <n v="4"/>
    <n v="0"/>
    <n v="3"/>
    <n v="4"/>
    <n v="2"/>
    <n v="2"/>
    <n v="2"/>
    <s v="OK"/>
    <s v="OK"/>
    <s v="OK"/>
    <s v="OK"/>
    <x v="7"/>
    <n v="0.5"/>
    <n v="0"/>
    <n v="0.5"/>
  </r>
  <r>
    <n v="34"/>
    <s v="No"/>
    <s v="Travel_Rarely"/>
    <n v="1400"/>
    <x v="0"/>
    <n v="9"/>
    <n v="1"/>
    <s v="Life Sciences"/>
    <n v="1"/>
    <n v="1163"/>
    <n v="2"/>
    <s v="Female"/>
    <n v="70"/>
    <n v="3"/>
    <n v="2"/>
    <x v="0"/>
    <n v="3"/>
    <s v="Married"/>
    <n v="5714"/>
    <n v="5829"/>
    <n v="1"/>
    <s v="Y"/>
    <s v="No"/>
    <n v="20"/>
    <n v="4"/>
    <n v="1"/>
    <n v="80"/>
    <n v="0"/>
    <n v="6"/>
    <n v="3"/>
    <n v="2"/>
    <n v="6"/>
    <n v="5"/>
    <n v="1"/>
    <n v="3"/>
    <s v="OK"/>
    <s v="OK"/>
    <s v="OK"/>
    <s v="OK"/>
    <x v="11"/>
    <n v="0.83333333333333337"/>
    <n v="0.5"/>
    <n v="0.5"/>
  </r>
  <r>
    <n v="35"/>
    <s v="No"/>
    <s v="Travel_Rarely"/>
    <n v="528"/>
    <x v="2"/>
    <n v="8"/>
    <n v="4"/>
    <s v="Technical Degree"/>
    <n v="1"/>
    <n v="1164"/>
    <n v="3"/>
    <s v="Male"/>
    <n v="100"/>
    <n v="3"/>
    <n v="1"/>
    <x v="8"/>
    <n v="3"/>
    <s v="Single"/>
    <n v="4323"/>
    <n v="7108"/>
    <n v="1"/>
    <s v="Y"/>
    <s v="No"/>
    <n v="17"/>
    <n v="3"/>
    <n v="2"/>
    <n v="80"/>
    <n v="0"/>
    <n v="6"/>
    <n v="2"/>
    <n v="1"/>
    <n v="5"/>
    <n v="4"/>
    <n v="1"/>
    <n v="4"/>
    <s v="OK"/>
    <s v="OK"/>
    <s v="OK"/>
    <s v="OK"/>
    <x v="16"/>
    <n v="0.8"/>
    <n v="0.4"/>
    <n v="0.8"/>
  </r>
  <r>
    <n v="29"/>
    <s v="Yes"/>
    <s v="Travel_Rarely"/>
    <n v="408"/>
    <x v="0"/>
    <n v="23"/>
    <n v="1"/>
    <s v="Life Sciences"/>
    <n v="1"/>
    <n v="1165"/>
    <n v="4"/>
    <s v="Female"/>
    <n v="45"/>
    <n v="2"/>
    <n v="3"/>
    <x v="0"/>
    <n v="1"/>
    <s v="Married"/>
    <n v="7336"/>
    <n v="11162"/>
    <n v="1"/>
    <s v="Y"/>
    <s v="No"/>
    <n v="13"/>
    <n v="3"/>
    <n v="1"/>
    <n v="80"/>
    <n v="1"/>
    <n v="11"/>
    <n v="3"/>
    <n v="1"/>
    <n v="11"/>
    <n v="8"/>
    <n v="3"/>
    <n v="10"/>
    <s v="OK"/>
    <s v="OK"/>
    <s v="OK"/>
    <s v="OK"/>
    <x v="81"/>
    <n v="0.72727272727272729"/>
    <n v="0.27272727272727271"/>
    <n v="0.90909090909090906"/>
  </r>
  <r>
    <n v="40"/>
    <s v="No"/>
    <s v="Travel_Frequently"/>
    <n v="593"/>
    <x v="1"/>
    <n v="9"/>
    <n v="4"/>
    <s v="Medical"/>
    <n v="1"/>
    <n v="1166"/>
    <n v="2"/>
    <s v="Female"/>
    <n v="88"/>
    <n v="3"/>
    <n v="3"/>
    <x v="7"/>
    <n v="3"/>
    <s v="Single"/>
    <n v="13499"/>
    <n v="13782"/>
    <n v="9"/>
    <s v="Y"/>
    <s v="No"/>
    <n v="17"/>
    <n v="3"/>
    <n v="3"/>
    <n v="80"/>
    <n v="0"/>
    <n v="20"/>
    <n v="3"/>
    <n v="2"/>
    <n v="18"/>
    <n v="7"/>
    <n v="2"/>
    <n v="13"/>
    <s v="OK"/>
    <s v="OK"/>
    <s v="OK"/>
    <s v="OK"/>
    <x v="5"/>
    <n v="0.3888888888888889"/>
    <n v="0.16666666666666666"/>
    <n v="0.72222222222222221"/>
  </r>
  <r>
    <n v="42"/>
    <s v="Yes"/>
    <s v="Travel_Frequently"/>
    <n v="481"/>
    <x v="0"/>
    <n v="12"/>
    <n v="3"/>
    <s v="Life Sciences"/>
    <n v="1"/>
    <n v="1167"/>
    <n v="3"/>
    <s v="Male"/>
    <n v="44"/>
    <n v="3"/>
    <n v="4"/>
    <x v="0"/>
    <n v="1"/>
    <s v="Single"/>
    <n v="13758"/>
    <n v="2447"/>
    <n v="0"/>
    <s v="Y"/>
    <s v="Yes"/>
    <n v="12"/>
    <n v="3"/>
    <n v="2"/>
    <n v="80"/>
    <n v="0"/>
    <n v="22"/>
    <n v="2"/>
    <n v="2"/>
    <n v="21"/>
    <n v="9"/>
    <n v="13"/>
    <n v="14"/>
    <s v="OK"/>
    <s v="OK"/>
    <s v="OK"/>
    <s v="OK"/>
    <x v="62"/>
    <n v="0.42857142857142855"/>
    <n v="9.5238095238095233E-2"/>
    <n v="0.66666666666666663"/>
  </r>
  <r>
    <n v="42"/>
    <s v="No"/>
    <s v="Travel_Rarely"/>
    <n v="647"/>
    <x v="0"/>
    <n v="4"/>
    <n v="4"/>
    <s v="Marketing"/>
    <n v="1"/>
    <n v="1171"/>
    <n v="2"/>
    <s v="Male"/>
    <n v="45"/>
    <n v="3"/>
    <n v="2"/>
    <x v="0"/>
    <n v="1"/>
    <s v="Single"/>
    <n v="5155"/>
    <n v="2253"/>
    <n v="7"/>
    <s v="Y"/>
    <s v="No"/>
    <n v="13"/>
    <n v="3"/>
    <n v="4"/>
    <n v="80"/>
    <n v="0"/>
    <n v="9"/>
    <n v="3"/>
    <n v="4"/>
    <n v="6"/>
    <n v="4"/>
    <n v="1"/>
    <n v="5"/>
    <s v="OK"/>
    <s v="OK"/>
    <s v="OK"/>
    <s v="OK"/>
    <x v="11"/>
    <n v="0.66666666666666663"/>
    <n v="0.5"/>
    <n v="0.83333333333333337"/>
  </r>
  <r>
    <n v="35"/>
    <s v="No"/>
    <s v="Travel_Rarely"/>
    <n v="982"/>
    <x v="1"/>
    <n v="1"/>
    <n v="4"/>
    <s v="Medical"/>
    <n v="1"/>
    <n v="1172"/>
    <n v="4"/>
    <s v="Male"/>
    <n v="58"/>
    <n v="2"/>
    <n v="1"/>
    <x v="2"/>
    <n v="3"/>
    <s v="Married"/>
    <n v="2258"/>
    <n v="16340"/>
    <n v="6"/>
    <s v="Y"/>
    <s v="No"/>
    <n v="12"/>
    <n v="3"/>
    <n v="2"/>
    <n v="80"/>
    <n v="1"/>
    <n v="10"/>
    <n v="2"/>
    <n v="3"/>
    <n v="8"/>
    <n v="0"/>
    <n v="1"/>
    <n v="7"/>
    <s v="OK"/>
    <s v="OK"/>
    <s v="OK"/>
    <s v="OK"/>
    <x v="33"/>
    <n v="0"/>
    <n v="0.25"/>
    <n v="0.875"/>
  </r>
  <r>
    <n v="24"/>
    <s v="No"/>
    <s v="Travel_Rarely"/>
    <n v="477"/>
    <x v="1"/>
    <n v="24"/>
    <n v="3"/>
    <s v="Medical"/>
    <n v="1"/>
    <n v="1173"/>
    <n v="4"/>
    <s v="Male"/>
    <n v="49"/>
    <n v="3"/>
    <n v="1"/>
    <x v="2"/>
    <n v="2"/>
    <s v="Single"/>
    <n v="3597"/>
    <n v="6409"/>
    <n v="8"/>
    <s v="Y"/>
    <s v="No"/>
    <n v="22"/>
    <n v="4"/>
    <n v="4"/>
    <n v="80"/>
    <n v="0"/>
    <n v="6"/>
    <n v="2"/>
    <n v="3"/>
    <n v="4"/>
    <n v="3"/>
    <n v="1"/>
    <n v="2"/>
    <s v="OK"/>
    <s v="OK"/>
    <s v="OK"/>
    <s v="OK"/>
    <x v="10"/>
    <n v="0.75"/>
    <n v="0.5"/>
    <n v="0.5"/>
  </r>
  <r>
    <n v="28"/>
    <s v="Yes"/>
    <s v="Travel_Rarely"/>
    <n v="1485"/>
    <x v="1"/>
    <n v="12"/>
    <n v="1"/>
    <s v="Life Sciences"/>
    <n v="1"/>
    <n v="1175"/>
    <n v="3"/>
    <s v="Female"/>
    <n v="79"/>
    <n v="3"/>
    <n v="1"/>
    <x v="2"/>
    <n v="4"/>
    <s v="Married"/>
    <n v="2515"/>
    <n v="22955"/>
    <n v="1"/>
    <s v="Y"/>
    <s v="Yes"/>
    <n v="11"/>
    <n v="3"/>
    <n v="4"/>
    <n v="80"/>
    <n v="0"/>
    <n v="1"/>
    <n v="4"/>
    <n v="2"/>
    <n v="1"/>
    <n v="1"/>
    <n v="0"/>
    <n v="0"/>
    <s v="OK"/>
    <s v="OK"/>
    <s v="OK"/>
    <s v="OK"/>
    <x v="0"/>
    <n v="1"/>
    <n v="4"/>
    <n v="0"/>
  </r>
  <r>
    <n v="26"/>
    <s v="No"/>
    <s v="Travel_Rarely"/>
    <n v="1384"/>
    <x v="1"/>
    <n v="3"/>
    <n v="4"/>
    <s v="Medical"/>
    <n v="1"/>
    <n v="1177"/>
    <n v="1"/>
    <s v="Male"/>
    <n v="82"/>
    <n v="4"/>
    <n v="1"/>
    <x v="2"/>
    <n v="4"/>
    <s v="Married"/>
    <n v="4420"/>
    <n v="13421"/>
    <n v="1"/>
    <s v="Y"/>
    <s v="No"/>
    <n v="22"/>
    <n v="4"/>
    <n v="2"/>
    <n v="80"/>
    <n v="1"/>
    <n v="8"/>
    <n v="2"/>
    <n v="3"/>
    <n v="8"/>
    <n v="7"/>
    <n v="0"/>
    <n v="7"/>
    <s v="OK"/>
    <s v="OK"/>
    <s v="OK"/>
    <s v="OK"/>
    <x v="0"/>
    <n v="0.875"/>
    <n v="0.25"/>
    <n v="0.875"/>
  </r>
  <r>
    <n v="30"/>
    <s v="No"/>
    <s v="Travel_Rarely"/>
    <n v="852"/>
    <x v="0"/>
    <n v="10"/>
    <n v="3"/>
    <s v="Marketing"/>
    <n v="1"/>
    <n v="1179"/>
    <n v="3"/>
    <s v="Male"/>
    <n v="72"/>
    <n v="2"/>
    <n v="2"/>
    <x v="0"/>
    <n v="3"/>
    <s v="Married"/>
    <n v="6578"/>
    <n v="2706"/>
    <n v="1"/>
    <s v="Y"/>
    <s v="No"/>
    <n v="18"/>
    <n v="3"/>
    <n v="1"/>
    <n v="80"/>
    <n v="1"/>
    <n v="10"/>
    <n v="3"/>
    <n v="3"/>
    <n v="10"/>
    <n v="3"/>
    <n v="1"/>
    <n v="4"/>
    <s v="OK"/>
    <s v="OK"/>
    <s v="OK"/>
    <s v="OK"/>
    <x v="1"/>
    <n v="0.3"/>
    <n v="0.3"/>
    <n v="0.4"/>
  </r>
  <r>
    <n v="40"/>
    <s v="No"/>
    <s v="Travel_Frequently"/>
    <n v="902"/>
    <x v="1"/>
    <n v="26"/>
    <n v="2"/>
    <s v="Medical"/>
    <n v="1"/>
    <n v="1180"/>
    <n v="3"/>
    <s v="Female"/>
    <n v="92"/>
    <n v="2"/>
    <n v="2"/>
    <x v="1"/>
    <n v="4"/>
    <s v="Married"/>
    <n v="4422"/>
    <n v="21203"/>
    <n v="3"/>
    <s v="Y"/>
    <s v="Yes"/>
    <n v="13"/>
    <n v="3"/>
    <n v="4"/>
    <n v="80"/>
    <n v="1"/>
    <n v="16"/>
    <n v="3"/>
    <n v="1"/>
    <n v="1"/>
    <n v="1"/>
    <n v="0"/>
    <n v="0"/>
    <s v="OK"/>
    <s v="OK"/>
    <s v="OK"/>
    <s v="OK"/>
    <x v="0"/>
    <n v="1"/>
    <n v="3"/>
    <n v="0"/>
  </r>
  <r>
    <n v="35"/>
    <s v="No"/>
    <s v="Travel_Rarely"/>
    <n v="819"/>
    <x v="1"/>
    <n v="2"/>
    <n v="3"/>
    <s v="Life Sciences"/>
    <n v="1"/>
    <n v="1182"/>
    <n v="3"/>
    <s v="Male"/>
    <n v="44"/>
    <n v="2"/>
    <n v="3"/>
    <x v="3"/>
    <n v="2"/>
    <s v="Divorced"/>
    <n v="10274"/>
    <n v="19588"/>
    <n v="2"/>
    <s v="Y"/>
    <s v="No"/>
    <n v="18"/>
    <n v="3"/>
    <n v="2"/>
    <n v="80"/>
    <n v="1"/>
    <n v="15"/>
    <n v="2"/>
    <n v="4"/>
    <n v="7"/>
    <n v="7"/>
    <n v="6"/>
    <n v="4"/>
    <s v="OK"/>
    <s v="OK"/>
    <s v="OK"/>
    <s v="OK"/>
    <x v="56"/>
    <n v="1"/>
    <n v="0.2857142857142857"/>
    <n v="0.5714285714285714"/>
  </r>
  <r>
    <n v="34"/>
    <s v="No"/>
    <s v="Travel_Frequently"/>
    <n v="669"/>
    <x v="1"/>
    <n v="1"/>
    <n v="3"/>
    <s v="Medical"/>
    <n v="1"/>
    <n v="1184"/>
    <n v="4"/>
    <s v="Male"/>
    <n v="97"/>
    <n v="2"/>
    <n v="2"/>
    <x v="4"/>
    <n v="1"/>
    <s v="Single"/>
    <n v="5343"/>
    <n v="25755"/>
    <n v="0"/>
    <s v="Y"/>
    <s v="No"/>
    <n v="20"/>
    <n v="4"/>
    <n v="3"/>
    <n v="80"/>
    <n v="0"/>
    <n v="14"/>
    <n v="3"/>
    <n v="3"/>
    <n v="13"/>
    <n v="9"/>
    <n v="4"/>
    <n v="9"/>
    <s v="OK"/>
    <s v="OK"/>
    <s v="OK"/>
    <s v="OK"/>
    <x v="59"/>
    <n v="0.69230769230769229"/>
    <n v="0.23076923076923078"/>
    <n v="0.69230769230769229"/>
  </r>
  <r>
    <n v="35"/>
    <s v="No"/>
    <s v="Travel_Frequently"/>
    <n v="636"/>
    <x v="1"/>
    <n v="4"/>
    <n v="4"/>
    <s v="Other"/>
    <n v="1"/>
    <n v="1185"/>
    <n v="4"/>
    <s v="Male"/>
    <n v="47"/>
    <n v="2"/>
    <n v="1"/>
    <x v="2"/>
    <n v="4"/>
    <s v="Married"/>
    <n v="2376"/>
    <n v="26537"/>
    <n v="1"/>
    <s v="Y"/>
    <s v="No"/>
    <n v="13"/>
    <n v="3"/>
    <n v="2"/>
    <n v="80"/>
    <n v="1"/>
    <n v="2"/>
    <n v="2"/>
    <n v="4"/>
    <n v="2"/>
    <n v="2"/>
    <n v="2"/>
    <n v="2"/>
    <s v="OK"/>
    <s v="OK"/>
    <s v="OK"/>
    <s v="OK"/>
    <x v="3"/>
    <n v="1"/>
    <n v="1"/>
    <n v="1"/>
  </r>
  <r>
    <n v="43"/>
    <s v="Yes"/>
    <s v="Travel_Rarely"/>
    <n v="1372"/>
    <x v="0"/>
    <n v="9"/>
    <n v="3"/>
    <s v="Marketing"/>
    <n v="1"/>
    <n v="1188"/>
    <n v="1"/>
    <s v="Female"/>
    <n v="85"/>
    <n v="1"/>
    <n v="2"/>
    <x v="0"/>
    <n v="3"/>
    <s v="Single"/>
    <n v="5346"/>
    <n v="9489"/>
    <n v="8"/>
    <s v="Y"/>
    <s v="No"/>
    <n v="13"/>
    <n v="3"/>
    <n v="2"/>
    <n v="80"/>
    <n v="0"/>
    <n v="7"/>
    <n v="2"/>
    <n v="2"/>
    <n v="4"/>
    <n v="3"/>
    <n v="1"/>
    <n v="3"/>
    <s v="OK"/>
    <s v="OK"/>
    <s v="OK"/>
    <s v="OK"/>
    <x v="10"/>
    <n v="0.75"/>
    <n v="0.5"/>
    <n v="0.75"/>
  </r>
  <r>
    <n v="32"/>
    <s v="No"/>
    <s v="Non-Travel"/>
    <n v="862"/>
    <x v="0"/>
    <n v="2"/>
    <n v="1"/>
    <s v="Life Sciences"/>
    <n v="1"/>
    <n v="1190"/>
    <n v="3"/>
    <s v="Female"/>
    <n v="76"/>
    <n v="3"/>
    <n v="1"/>
    <x v="6"/>
    <n v="1"/>
    <s v="Divorced"/>
    <n v="2827"/>
    <n v="14947"/>
    <n v="1"/>
    <s v="Y"/>
    <s v="No"/>
    <n v="12"/>
    <n v="3"/>
    <n v="3"/>
    <n v="80"/>
    <n v="3"/>
    <n v="1"/>
    <n v="3"/>
    <n v="3"/>
    <n v="1"/>
    <n v="0"/>
    <n v="0"/>
    <n v="0"/>
    <s v="OK"/>
    <s v="OK"/>
    <s v="OK"/>
    <s v="OK"/>
    <x v="0"/>
    <n v="0"/>
    <n v="3"/>
    <n v="0"/>
  </r>
  <r>
    <n v="56"/>
    <s v="No"/>
    <s v="Travel_Rarely"/>
    <n v="718"/>
    <x v="1"/>
    <n v="4"/>
    <n v="4"/>
    <s v="Technical Degree"/>
    <n v="1"/>
    <n v="1191"/>
    <n v="4"/>
    <s v="Female"/>
    <n v="92"/>
    <n v="3"/>
    <n v="5"/>
    <x v="5"/>
    <n v="1"/>
    <s v="Divorced"/>
    <n v="19943"/>
    <n v="18575"/>
    <n v="4"/>
    <s v="Y"/>
    <s v="No"/>
    <n v="13"/>
    <n v="3"/>
    <n v="4"/>
    <n v="80"/>
    <n v="1"/>
    <n v="28"/>
    <n v="2"/>
    <n v="3"/>
    <n v="5"/>
    <n v="2"/>
    <n v="4"/>
    <n v="2"/>
    <s v="OK"/>
    <s v="OK"/>
    <s v="OK"/>
    <s v="OK"/>
    <x v="6"/>
    <n v="0.4"/>
    <n v="0.4"/>
    <n v="0.4"/>
  </r>
  <r>
    <n v="29"/>
    <s v="No"/>
    <s v="Travel_Rarely"/>
    <n v="1401"/>
    <x v="1"/>
    <n v="6"/>
    <n v="1"/>
    <s v="Medical"/>
    <n v="1"/>
    <n v="1192"/>
    <n v="2"/>
    <s v="Female"/>
    <n v="54"/>
    <n v="3"/>
    <n v="1"/>
    <x v="2"/>
    <n v="4"/>
    <s v="Married"/>
    <n v="3131"/>
    <n v="26342"/>
    <n v="1"/>
    <s v="Y"/>
    <s v="No"/>
    <n v="13"/>
    <n v="3"/>
    <n v="1"/>
    <n v="80"/>
    <n v="1"/>
    <n v="10"/>
    <n v="5"/>
    <n v="3"/>
    <n v="10"/>
    <n v="8"/>
    <n v="0"/>
    <n v="8"/>
    <s v="OK"/>
    <s v="OK"/>
    <s v="OK"/>
    <s v="OK"/>
    <x v="0"/>
    <n v="0.8"/>
    <n v="0.5"/>
    <n v="0.8"/>
  </r>
  <r>
    <n v="19"/>
    <s v="No"/>
    <s v="Travel_Rarely"/>
    <n v="645"/>
    <x v="1"/>
    <n v="9"/>
    <n v="2"/>
    <s v="Life Sciences"/>
    <n v="1"/>
    <n v="1193"/>
    <n v="3"/>
    <s v="Male"/>
    <n v="54"/>
    <n v="3"/>
    <n v="1"/>
    <x v="1"/>
    <n v="1"/>
    <s v="Single"/>
    <n v="2552"/>
    <n v="7172"/>
    <n v="1"/>
    <s v="Y"/>
    <s v="No"/>
    <n v="25"/>
    <n v="4"/>
    <n v="3"/>
    <n v="80"/>
    <n v="0"/>
    <n v="1"/>
    <n v="4"/>
    <n v="3"/>
    <n v="1"/>
    <n v="1"/>
    <n v="0"/>
    <n v="0"/>
    <s v="OK"/>
    <s v="OK"/>
    <s v="OK"/>
    <s v="OK"/>
    <x v="0"/>
    <n v="1"/>
    <n v="4"/>
    <n v="0"/>
  </r>
  <r>
    <n v="45"/>
    <s v="No"/>
    <s v="Travel_Rarely"/>
    <n v="1457"/>
    <x v="1"/>
    <n v="7"/>
    <n v="3"/>
    <s v="Medical"/>
    <n v="1"/>
    <n v="1195"/>
    <n v="1"/>
    <s v="Female"/>
    <n v="83"/>
    <n v="3"/>
    <n v="1"/>
    <x v="1"/>
    <n v="3"/>
    <s v="Married"/>
    <n v="4477"/>
    <n v="20100"/>
    <n v="4"/>
    <s v="Y"/>
    <s v="Yes"/>
    <n v="19"/>
    <n v="3"/>
    <n v="3"/>
    <n v="80"/>
    <n v="1"/>
    <n v="7"/>
    <n v="2"/>
    <n v="2"/>
    <n v="3"/>
    <n v="2"/>
    <n v="0"/>
    <n v="2"/>
    <s v="OK"/>
    <s v="OK"/>
    <s v="OK"/>
    <s v="OK"/>
    <x v="0"/>
    <n v="0.66666666666666663"/>
    <n v="0.66666666666666663"/>
    <n v="0.66666666666666663"/>
  </r>
  <r>
    <n v="37"/>
    <s v="No"/>
    <s v="Travel_Rarely"/>
    <n v="977"/>
    <x v="1"/>
    <n v="1"/>
    <n v="3"/>
    <s v="Life Sciences"/>
    <n v="1"/>
    <n v="1196"/>
    <n v="4"/>
    <s v="Female"/>
    <n v="56"/>
    <n v="2"/>
    <n v="2"/>
    <x v="3"/>
    <n v="4"/>
    <s v="Married"/>
    <n v="6474"/>
    <n v="9961"/>
    <n v="1"/>
    <s v="Y"/>
    <s v="No"/>
    <n v="13"/>
    <n v="3"/>
    <n v="2"/>
    <n v="80"/>
    <n v="1"/>
    <n v="14"/>
    <n v="2"/>
    <n v="2"/>
    <n v="14"/>
    <n v="8"/>
    <n v="3"/>
    <n v="11"/>
    <s v="OK"/>
    <s v="OK"/>
    <s v="OK"/>
    <s v="OK"/>
    <x v="92"/>
    <n v="0.5714285714285714"/>
    <n v="0.14285714285714285"/>
    <n v="0.7857142857142857"/>
  </r>
  <r>
    <n v="20"/>
    <s v="No"/>
    <s v="Travel_Rarely"/>
    <n v="805"/>
    <x v="1"/>
    <n v="3"/>
    <n v="3"/>
    <s v="Life Sciences"/>
    <n v="1"/>
    <n v="1198"/>
    <n v="1"/>
    <s v="Male"/>
    <n v="87"/>
    <n v="2"/>
    <n v="1"/>
    <x v="2"/>
    <n v="3"/>
    <s v="Single"/>
    <n v="3033"/>
    <n v="12828"/>
    <n v="1"/>
    <s v="Y"/>
    <s v="No"/>
    <n v="12"/>
    <n v="3"/>
    <n v="1"/>
    <n v="80"/>
    <n v="0"/>
    <n v="2"/>
    <n v="2"/>
    <n v="2"/>
    <n v="2"/>
    <n v="2"/>
    <n v="1"/>
    <n v="2"/>
    <s v="OK"/>
    <s v="OK"/>
    <s v="OK"/>
    <s v="OK"/>
    <x v="7"/>
    <n v="1"/>
    <n v="1"/>
    <n v="1"/>
  </r>
  <r>
    <n v="44"/>
    <s v="Yes"/>
    <s v="Travel_Rarely"/>
    <n v="1097"/>
    <x v="1"/>
    <n v="10"/>
    <n v="4"/>
    <s v="Life Sciences"/>
    <n v="1"/>
    <n v="1200"/>
    <n v="3"/>
    <s v="Male"/>
    <n v="96"/>
    <n v="3"/>
    <n v="1"/>
    <x v="1"/>
    <n v="3"/>
    <s v="Single"/>
    <n v="2936"/>
    <n v="10826"/>
    <n v="1"/>
    <s v="Y"/>
    <s v="Yes"/>
    <n v="11"/>
    <n v="3"/>
    <n v="3"/>
    <n v="80"/>
    <n v="0"/>
    <n v="6"/>
    <n v="4"/>
    <n v="3"/>
    <n v="6"/>
    <n v="4"/>
    <n v="0"/>
    <n v="2"/>
    <s v="OK"/>
    <s v="OK"/>
    <s v="OK"/>
    <s v="OK"/>
    <x v="0"/>
    <n v="0.66666666666666663"/>
    <n v="0.66666666666666663"/>
    <n v="0.33333333333333331"/>
  </r>
  <r>
    <n v="53"/>
    <s v="No"/>
    <s v="Travel_Rarely"/>
    <n v="1223"/>
    <x v="1"/>
    <n v="7"/>
    <n v="2"/>
    <s v="Medical"/>
    <n v="1"/>
    <n v="1201"/>
    <n v="4"/>
    <s v="Female"/>
    <n v="50"/>
    <n v="3"/>
    <n v="5"/>
    <x v="5"/>
    <n v="3"/>
    <s v="Divorced"/>
    <n v="18606"/>
    <n v="18640"/>
    <n v="3"/>
    <s v="Y"/>
    <s v="No"/>
    <n v="18"/>
    <n v="3"/>
    <n v="2"/>
    <n v="80"/>
    <n v="1"/>
    <n v="26"/>
    <n v="6"/>
    <n v="3"/>
    <n v="7"/>
    <n v="7"/>
    <n v="4"/>
    <n v="7"/>
    <s v="OK"/>
    <s v="OK"/>
    <s v="OK"/>
    <s v="OK"/>
    <x v="41"/>
    <n v="1"/>
    <n v="0.8571428571428571"/>
    <n v="1"/>
  </r>
  <r>
    <n v="29"/>
    <s v="No"/>
    <s v="Travel_Rarely"/>
    <n v="942"/>
    <x v="1"/>
    <n v="15"/>
    <n v="1"/>
    <s v="Life Sciences"/>
    <n v="1"/>
    <n v="1202"/>
    <n v="2"/>
    <s v="Female"/>
    <n v="69"/>
    <n v="1"/>
    <n v="1"/>
    <x v="1"/>
    <n v="4"/>
    <s v="Married"/>
    <n v="2168"/>
    <n v="26933"/>
    <n v="0"/>
    <s v="Y"/>
    <s v="Yes"/>
    <n v="18"/>
    <n v="3"/>
    <n v="1"/>
    <n v="80"/>
    <n v="1"/>
    <n v="6"/>
    <n v="2"/>
    <n v="2"/>
    <n v="5"/>
    <n v="4"/>
    <n v="1"/>
    <n v="3"/>
    <s v="OK"/>
    <s v="OK"/>
    <s v="OK"/>
    <s v="OK"/>
    <x v="16"/>
    <n v="0.8"/>
    <n v="0.4"/>
    <n v="0.6"/>
  </r>
  <r>
    <n v="22"/>
    <s v="Yes"/>
    <s v="Travel_Frequently"/>
    <n v="1256"/>
    <x v="1"/>
    <n v="3"/>
    <n v="4"/>
    <s v="Life Sciences"/>
    <n v="1"/>
    <n v="1203"/>
    <n v="3"/>
    <s v="Male"/>
    <n v="48"/>
    <n v="2"/>
    <n v="1"/>
    <x v="1"/>
    <n v="4"/>
    <s v="Married"/>
    <n v="2853"/>
    <n v="4223"/>
    <n v="0"/>
    <s v="Y"/>
    <s v="Yes"/>
    <n v="11"/>
    <n v="3"/>
    <n v="2"/>
    <n v="80"/>
    <n v="1"/>
    <n v="1"/>
    <n v="5"/>
    <n v="3"/>
    <n v="0"/>
    <n v="0"/>
    <n v="0"/>
    <n v="0"/>
    <s v="OK"/>
    <s v="OK"/>
    <s v="OK"/>
    <s v="OK"/>
    <x v="0"/>
    <n v="0"/>
    <n v="0"/>
    <n v="0"/>
  </r>
  <r>
    <n v="46"/>
    <s v="No"/>
    <s v="Travel_Rarely"/>
    <n v="1402"/>
    <x v="0"/>
    <n v="2"/>
    <n v="3"/>
    <s v="Marketing"/>
    <n v="1"/>
    <n v="1204"/>
    <n v="3"/>
    <s v="Female"/>
    <n v="69"/>
    <n v="3"/>
    <n v="4"/>
    <x v="5"/>
    <n v="1"/>
    <s v="Married"/>
    <n v="17048"/>
    <n v="24097"/>
    <n v="8"/>
    <s v="Y"/>
    <s v="No"/>
    <n v="23"/>
    <n v="4"/>
    <n v="1"/>
    <n v="80"/>
    <n v="0"/>
    <n v="28"/>
    <n v="2"/>
    <n v="3"/>
    <n v="26"/>
    <n v="15"/>
    <n v="15"/>
    <n v="9"/>
    <s v="OK"/>
    <s v="OK"/>
    <s v="OK"/>
    <s v="OK"/>
    <x v="93"/>
    <n v="0.57692307692307687"/>
    <n v="7.6923076923076927E-2"/>
    <n v="0.34615384615384615"/>
  </r>
  <r>
    <n v="44"/>
    <s v="No"/>
    <s v="Non-Travel"/>
    <n v="111"/>
    <x v="1"/>
    <n v="17"/>
    <n v="3"/>
    <s v="Life Sciences"/>
    <n v="1"/>
    <n v="1206"/>
    <n v="4"/>
    <s v="Male"/>
    <n v="74"/>
    <n v="1"/>
    <n v="1"/>
    <x v="1"/>
    <n v="3"/>
    <s v="Single"/>
    <n v="2290"/>
    <n v="4279"/>
    <n v="2"/>
    <s v="Y"/>
    <s v="No"/>
    <n v="13"/>
    <n v="3"/>
    <n v="4"/>
    <n v="80"/>
    <n v="0"/>
    <n v="6"/>
    <n v="3"/>
    <n v="3"/>
    <n v="0"/>
    <n v="0"/>
    <n v="0"/>
    <n v="0"/>
    <s v="OK"/>
    <s v="OK"/>
    <s v="OK"/>
    <s v="OK"/>
    <x v="0"/>
    <n v="0"/>
    <n v="0"/>
    <n v="0"/>
  </r>
  <r>
    <n v="33"/>
    <s v="No"/>
    <s v="Travel_Rarely"/>
    <n v="147"/>
    <x v="2"/>
    <n v="2"/>
    <n v="3"/>
    <s v="Human Resources"/>
    <n v="1"/>
    <n v="1207"/>
    <n v="2"/>
    <s v="Male"/>
    <n v="99"/>
    <n v="3"/>
    <n v="1"/>
    <x v="8"/>
    <n v="3"/>
    <s v="Married"/>
    <n v="3600"/>
    <n v="8429"/>
    <n v="1"/>
    <s v="Y"/>
    <s v="No"/>
    <n v="13"/>
    <n v="3"/>
    <n v="4"/>
    <n v="80"/>
    <n v="1"/>
    <n v="5"/>
    <n v="2"/>
    <n v="3"/>
    <n v="5"/>
    <n v="4"/>
    <n v="1"/>
    <n v="4"/>
    <s v="OK"/>
    <s v="OK"/>
    <s v="OK"/>
    <s v="OK"/>
    <x v="16"/>
    <n v="0.8"/>
    <n v="0.4"/>
    <n v="0.8"/>
  </r>
  <r>
    <n v="41"/>
    <s v="Yes"/>
    <s v="Non-Travel"/>
    <n v="906"/>
    <x v="1"/>
    <n v="5"/>
    <n v="2"/>
    <s v="Life Sciences"/>
    <n v="1"/>
    <n v="1210"/>
    <n v="1"/>
    <s v="Male"/>
    <n v="95"/>
    <n v="2"/>
    <n v="1"/>
    <x v="1"/>
    <n v="1"/>
    <s v="Divorced"/>
    <n v="2107"/>
    <n v="20293"/>
    <n v="6"/>
    <s v="Y"/>
    <s v="No"/>
    <n v="17"/>
    <n v="3"/>
    <n v="1"/>
    <n v="80"/>
    <n v="1"/>
    <n v="5"/>
    <n v="2"/>
    <n v="1"/>
    <n v="1"/>
    <n v="0"/>
    <n v="0"/>
    <n v="0"/>
    <s v="OK"/>
    <s v="OK"/>
    <s v="OK"/>
    <s v="OK"/>
    <x v="0"/>
    <n v="0"/>
    <n v="2"/>
    <n v="0"/>
  </r>
  <r>
    <n v="30"/>
    <s v="No"/>
    <s v="Travel_Rarely"/>
    <n v="1329"/>
    <x v="0"/>
    <n v="29"/>
    <n v="4"/>
    <s v="Life Sciences"/>
    <n v="1"/>
    <n v="1211"/>
    <n v="3"/>
    <s v="Male"/>
    <n v="61"/>
    <n v="3"/>
    <n v="2"/>
    <x v="0"/>
    <n v="1"/>
    <s v="Divorced"/>
    <n v="4115"/>
    <n v="13192"/>
    <n v="8"/>
    <s v="Y"/>
    <s v="No"/>
    <n v="19"/>
    <n v="3"/>
    <n v="3"/>
    <n v="80"/>
    <n v="3"/>
    <n v="8"/>
    <n v="3"/>
    <n v="3"/>
    <n v="4"/>
    <n v="3"/>
    <n v="0"/>
    <n v="3"/>
    <s v="OK"/>
    <s v="OK"/>
    <s v="OK"/>
    <s v="OK"/>
    <x v="0"/>
    <n v="0.75"/>
    <n v="0.75"/>
    <n v="0.75"/>
  </r>
  <r>
    <n v="40"/>
    <s v="No"/>
    <s v="Travel_Frequently"/>
    <n v="1184"/>
    <x v="0"/>
    <n v="2"/>
    <n v="4"/>
    <s v="Medical"/>
    <n v="1"/>
    <n v="1212"/>
    <n v="2"/>
    <s v="Male"/>
    <n v="62"/>
    <n v="3"/>
    <n v="2"/>
    <x v="0"/>
    <n v="2"/>
    <s v="Married"/>
    <n v="4327"/>
    <n v="25440"/>
    <n v="5"/>
    <s v="Y"/>
    <s v="No"/>
    <n v="12"/>
    <n v="3"/>
    <n v="4"/>
    <n v="80"/>
    <n v="3"/>
    <n v="5"/>
    <n v="2"/>
    <n v="3"/>
    <n v="0"/>
    <n v="0"/>
    <n v="0"/>
    <n v="0"/>
    <s v="OK"/>
    <s v="OK"/>
    <s v="OK"/>
    <s v="OK"/>
    <x v="0"/>
    <n v="0"/>
    <n v="0"/>
    <n v="0"/>
  </r>
  <r>
    <n v="50"/>
    <s v="No"/>
    <s v="Travel_Frequently"/>
    <n v="1421"/>
    <x v="1"/>
    <n v="2"/>
    <n v="3"/>
    <s v="Medical"/>
    <n v="1"/>
    <n v="1215"/>
    <n v="4"/>
    <s v="Female"/>
    <n v="30"/>
    <n v="3"/>
    <n v="4"/>
    <x v="5"/>
    <n v="1"/>
    <s v="Married"/>
    <n v="17856"/>
    <n v="9490"/>
    <n v="2"/>
    <s v="Y"/>
    <s v="No"/>
    <n v="22"/>
    <n v="4"/>
    <n v="3"/>
    <n v="80"/>
    <n v="1"/>
    <n v="32"/>
    <n v="3"/>
    <n v="3"/>
    <n v="2"/>
    <n v="2"/>
    <n v="2"/>
    <n v="2"/>
    <s v="OK"/>
    <s v="OK"/>
    <s v="OK"/>
    <s v="OK"/>
    <x v="3"/>
    <n v="1"/>
    <n v="1.5"/>
    <n v="1"/>
  </r>
  <r>
    <n v="28"/>
    <s v="No"/>
    <s v="Travel_Rarely"/>
    <n v="1179"/>
    <x v="1"/>
    <n v="19"/>
    <n v="4"/>
    <s v="Medical"/>
    <n v="1"/>
    <n v="1216"/>
    <n v="4"/>
    <s v="Male"/>
    <n v="78"/>
    <n v="2"/>
    <n v="1"/>
    <x v="2"/>
    <n v="1"/>
    <s v="Married"/>
    <n v="3196"/>
    <n v="12449"/>
    <n v="1"/>
    <s v="Y"/>
    <s v="No"/>
    <n v="12"/>
    <n v="3"/>
    <n v="3"/>
    <n v="80"/>
    <n v="3"/>
    <n v="6"/>
    <n v="2"/>
    <n v="3"/>
    <n v="6"/>
    <n v="5"/>
    <n v="3"/>
    <n v="3"/>
    <s v="OK"/>
    <s v="OK"/>
    <s v="OK"/>
    <s v="OK"/>
    <x v="7"/>
    <n v="0.83333333333333337"/>
    <n v="0.33333333333333331"/>
    <n v="0.5"/>
  </r>
  <r>
    <n v="46"/>
    <s v="No"/>
    <s v="Travel_Rarely"/>
    <n v="1450"/>
    <x v="1"/>
    <n v="15"/>
    <n v="2"/>
    <s v="Life Sciences"/>
    <n v="1"/>
    <n v="1217"/>
    <n v="4"/>
    <s v="Male"/>
    <n v="52"/>
    <n v="3"/>
    <n v="5"/>
    <x v="7"/>
    <n v="2"/>
    <s v="Married"/>
    <n v="19081"/>
    <n v="10849"/>
    <n v="5"/>
    <s v="Y"/>
    <s v="No"/>
    <n v="11"/>
    <n v="3"/>
    <n v="1"/>
    <n v="80"/>
    <n v="1"/>
    <n v="25"/>
    <n v="2"/>
    <n v="3"/>
    <n v="4"/>
    <n v="2"/>
    <n v="0"/>
    <n v="3"/>
    <s v="OK"/>
    <s v="OK"/>
    <s v="OK"/>
    <s v="OK"/>
    <x v="0"/>
    <n v="0.5"/>
    <n v="0.5"/>
    <n v="0.75"/>
  </r>
  <r>
    <n v="35"/>
    <s v="No"/>
    <s v="Travel_Rarely"/>
    <n v="1361"/>
    <x v="0"/>
    <n v="17"/>
    <n v="4"/>
    <s v="Life Sciences"/>
    <n v="1"/>
    <n v="1218"/>
    <n v="3"/>
    <s v="Male"/>
    <n v="94"/>
    <n v="3"/>
    <n v="2"/>
    <x v="0"/>
    <n v="1"/>
    <s v="Married"/>
    <n v="8966"/>
    <n v="21026"/>
    <n v="3"/>
    <s v="Y"/>
    <s v="Yes"/>
    <n v="15"/>
    <n v="3"/>
    <n v="4"/>
    <n v="80"/>
    <n v="3"/>
    <n v="15"/>
    <n v="2"/>
    <n v="3"/>
    <n v="7"/>
    <n v="7"/>
    <n v="1"/>
    <n v="7"/>
    <s v="OK"/>
    <s v="OK"/>
    <s v="OK"/>
    <s v="OK"/>
    <x v="20"/>
    <n v="1"/>
    <n v="0.2857142857142857"/>
    <n v="1"/>
  </r>
  <r>
    <n v="24"/>
    <s v="Yes"/>
    <s v="Travel_Rarely"/>
    <n v="984"/>
    <x v="1"/>
    <n v="17"/>
    <n v="2"/>
    <s v="Life Sciences"/>
    <n v="1"/>
    <n v="1219"/>
    <n v="4"/>
    <s v="Female"/>
    <n v="97"/>
    <n v="3"/>
    <n v="1"/>
    <x v="2"/>
    <n v="2"/>
    <s v="Married"/>
    <n v="2210"/>
    <n v="3372"/>
    <n v="1"/>
    <s v="Y"/>
    <s v="No"/>
    <n v="13"/>
    <n v="3"/>
    <n v="1"/>
    <n v="80"/>
    <n v="1"/>
    <n v="1"/>
    <n v="3"/>
    <n v="1"/>
    <n v="1"/>
    <n v="0"/>
    <n v="0"/>
    <n v="0"/>
    <s v="OK"/>
    <s v="OK"/>
    <s v="OK"/>
    <s v="OK"/>
    <x v="0"/>
    <n v="0"/>
    <n v="3"/>
    <n v="0"/>
  </r>
  <r>
    <n v="33"/>
    <s v="No"/>
    <s v="Travel_Frequently"/>
    <n v="1146"/>
    <x v="0"/>
    <n v="25"/>
    <n v="3"/>
    <s v="Medical"/>
    <n v="1"/>
    <n v="1220"/>
    <n v="2"/>
    <s v="Female"/>
    <n v="82"/>
    <n v="3"/>
    <n v="2"/>
    <x v="0"/>
    <n v="3"/>
    <s v="Married"/>
    <n v="4539"/>
    <n v="4905"/>
    <n v="1"/>
    <s v="Y"/>
    <s v="No"/>
    <n v="12"/>
    <n v="3"/>
    <n v="1"/>
    <n v="80"/>
    <n v="1"/>
    <n v="10"/>
    <n v="3"/>
    <n v="2"/>
    <n v="10"/>
    <n v="7"/>
    <n v="0"/>
    <n v="1"/>
    <s v="OK"/>
    <s v="OK"/>
    <s v="OK"/>
    <s v="OK"/>
    <x v="0"/>
    <n v="0.7"/>
    <n v="0.3"/>
    <n v="0.1"/>
  </r>
  <r>
    <n v="36"/>
    <s v="No"/>
    <s v="Travel_Rarely"/>
    <n v="917"/>
    <x v="1"/>
    <n v="6"/>
    <n v="4"/>
    <s v="Life Sciences"/>
    <n v="1"/>
    <n v="1221"/>
    <n v="3"/>
    <s v="Male"/>
    <n v="60"/>
    <n v="1"/>
    <n v="1"/>
    <x v="2"/>
    <n v="3"/>
    <s v="Divorced"/>
    <n v="2741"/>
    <n v="6865"/>
    <n v="1"/>
    <s v="Y"/>
    <s v="No"/>
    <n v="14"/>
    <n v="3"/>
    <n v="3"/>
    <n v="80"/>
    <n v="1"/>
    <n v="7"/>
    <n v="4"/>
    <n v="3"/>
    <n v="7"/>
    <n v="7"/>
    <n v="1"/>
    <n v="7"/>
    <s v="OK"/>
    <s v="OK"/>
    <s v="OK"/>
    <s v="OK"/>
    <x v="20"/>
    <n v="1"/>
    <n v="0.5714285714285714"/>
    <n v="1"/>
  </r>
  <r>
    <n v="30"/>
    <s v="No"/>
    <s v="Travel_Rarely"/>
    <n v="853"/>
    <x v="1"/>
    <n v="7"/>
    <n v="4"/>
    <s v="Life Sciences"/>
    <n v="1"/>
    <n v="1224"/>
    <n v="3"/>
    <s v="Male"/>
    <n v="49"/>
    <n v="3"/>
    <n v="2"/>
    <x v="2"/>
    <n v="3"/>
    <s v="Divorced"/>
    <n v="3491"/>
    <n v="11309"/>
    <n v="1"/>
    <s v="Y"/>
    <s v="No"/>
    <n v="13"/>
    <n v="3"/>
    <n v="1"/>
    <n v="80"/>
    <n v="3"/>
    <n v="10"/>
    <n v="4"/>
    <n v="2"/>
    <n v="10"/>
    <n v="7"/>
    <n v="8"/>
    <n v="9"/>
    <s v="OK"/>
    <s v="OK"/>
    <s v="OK"/>
    <s v="OK"/>
    <x v="6"/>
    <n v="0.7"/>
    <n v="0.4"/>
    <n v="0.9"/>
  </r>
  <r>
    <n v="44"/>
    <s v="No"/>
    <s v="Travel_Rarely"/>
    <n v="200"/>
    <x v="1"/>
    <n v="29"/>
    <n v="4"/>
    <s v="Other"/>
    <n v="1"/>
    <n v="1225"/>
    <n v="4"/>
    <s v="Male"/>
    <n v="32"/>
    <n v="3"/>
    <n v="2"/>
    <x v="1"/>
    <n v="4"/>
    <s v="Single"/>
    <n v="4541"/>
    <n v="7744"/>
    <n v="1"/>
    <s v="Y"/>
    <s v="No"/>
    <n v="25"/>
    <n v="4"/>
    <n v="2"/>
    <n v="80"/>
    <n v="0"/>
    <n v="20"/>
    <n v="3"/>
    <n v="3"/>
    <n v="20"/>
    <n v="11"/>
    <n v="13"/>
    <n v="17"/>
    <s v="OK"/>
    <s v="OK"/>
    <s v="OK"/>
    <s v="OK"/>
    <x v="94"/>
    <n v="0.55000000000000004"/>
    <n v="0.15"/>
    <n v="0.85"/>
  </r>
  <r>
    <n v="20"/>
    <s v="No"/>
    <s v="Travel_Rarely"/>
    <n v="654"/>
    <x v="0"/>
    <n v="21"/>
    <n v="3"/>
    <s v="Marketing"/>
    <n v="1"/>
    <n v="1226"/>
    <n v="3"/>
    <s v="Male"/>
    <n v="43"/>
    <n v="4"/>
    <n v="1"/>
    <x v="6"/>
    <n v="4"/>
    <s v="Single"/>
    <n v="2678"/>
    <n v="5050"/>
    <n v="1"/>
    <s v="Y"/>
    <s v="No"/>
    <n v="17"/>
    <n v="3"/>
    <n v="4"/>
    <n v="80"/>
    <n v="0"/>
    <n v="2"/>
    <n v="2"/>
    <n v="3"/>
    <n v="2"/>
    <n v="1"/>
    <n v="2"/>
    <n v="2"/>
    <s v="OK"/>
    <s v="OK"/>
    <s v="OK"/>
    <s v="OK"/>
    <x v="3"/>
    <n v="0.5"/>
    <n v="1"/>
    <n v="1"/>
  </r>
  <r>
    <n v="46"/>
    <s v="No"/>
    <s v="Travel_Rarely"/>
    <n v="150"/>
    <x v="1"/>
    <n v="2"/>
    <n v="4"/>
    <s v="Technical Degree"/>
    <n v="1"/>
    <n v="1228"/>
    <n v="4"/>
    <s v="Male"/>
    <n v="60"/>
    <n v="3"/>
    <n v="2"/>
    <x v="3"/>
    <n v="4"/>
    <s v="Divorced"/>
    <n v="7379"/>
    <n v="17433"/>
    <n v="2"/>
    <s v="Y"/>
    <s v="No"/>
    <n v="11"/>
    <n v="3"/>
    <n v="3"/>
    <n v="80"/>
    <n v="1"/>
    <n v="12"/>
    <n v="3"/>
    <n v="2"/>
    <n v="6"/>
    <n v="3"/>
    <n v="1"/>
    <n v="4"/>
    <s v="OK"/>
    <s v="OK"/>
    <s v="OK"/>
    <s v="OK"/>
    <x v="11"/>
    <n v="0.5"/>
    <n v="0.5"/>
    <n v="0.66666666666666663"/>
  </r>
  <r>
    <n v="42"/>
    <s v="No"/>
    <s v="Non-Travel"/>
    <n v="179"/>
    <x v="2"/>
    <n v="2"/>
    <n v="5"/>
    <s v="Medical"/>
    <n v="1"/>
    <n v="1231"/>
    <n v="4"/>
    <s v="Male"/>
    <n v="79"/>
    <n v="4"/>
    <n v="2"/>
    <x v="8"/>
    <n v="1"/>
    <s v="Married"/>
    <n v="6272"/>
    <n v="12858"/>
    <n v="7"/>
    <s v="Y"/>
    <s v="No"/>
    <n v="16"/>
    <n v="3"/>
    <n v="1"/>
    <n v="80"/>
    <n v="1"/>
    <n v="10"/>
    <n v="3"/>
    <n v="4"/>
    <n v="4"/>
    <n v="3"/>
    <n v="0"/>
    <n v="3"/>
    <s v="OK"/>
    <s v="OK"/>
    <s v="OK"/>
    <s v="OK"/>
    <x v="0"/>
    <n v="0.75"/>
    <n v="0.75"/>
    <n v="0.75"/>
  </r>
  <r>
    <n v="60"/>
    <s v="No"/>
    <s v="Travel_Rarely"/>
    <n v="696"/>
    <x v="0"/>
    <n v="7"/>
    <n v="4"/>
    <s v="Marketing"/>
    <n v="1"/>
    <n v="1233"/>
    <n v="2"/>
    <s v="Male"/>
    <n v="52"/>
    <n v="4"/>
    <n v="2"/>
    <x v="0"/>
    <n v="4"/>
    <s v="Divorced"/>
    <n v="5220"/>
    <n v="10893"/>
    <n v="0"/>
    <s v="Y"/>
    <s v="Yes"/>
    <n v="18"/>
    <n v="3"/>
    <n v="2"/>
    <n v="80"/>
    <n v="1"/>
    <n v="12"/>
    <n v="3"/>
    <n v="3"/>
    <n v="11"/>
    <n v="7"/>
    <n v="1"/>
    <n v="9"/>
    <s v="OK"/>
    <s v="OK"/>
    <s v="OK"/>
    <s v="OK"/>
    <x v="25"/>
    <n v="0.63636363636363635"/>
    <n v="0.27272727272727271"/>
    <n v="0.81818181818181823"/>
  </r>
  <r>
    <n v="32"/>
    <s v="No"/>
    <s v="Travel_Frequently"/>
    <n v="116"/>
    <x v="1"/>
    <n v="13"/>
    <n v="3"/>
    <s v="Other"/>
    <n v="1"/>
    <n v="1234"/>
    <n v="3"/>
    <s v="Female"/>
    <n v="77"/>
    <n v="2"/>
    <n v="1"/>
    <x v="2"/>
    <n v="2"/>
    <s v="Married"/>
    <n v="2743"/>
    <n v="7331"/>
    <n v="1"/>
    <s v="Y"/>
    <s v="No"/>
    <n v="20"/>
    <n v="4"/>
    <n v="3"/>
    <n v="80"/>
    <n v="1"/>
    <n v="2"/>
    <n v="2"/>
    <n v="3"/>
    <n v="2"/>
    <n v="2"/>
    <n v="2"/>
    <n v="2"/>
    <s v="OK"/>
    <s v="OK"/>
    <s v="OK"/>
    <s v="OK"/>
    <x v="3"/>
    <n v="1"/>
    <n v="1"/>
    <n v="1"/>
  </r>
  <r>
    <n v="32"/>
    <s v="No"/>
    <s v="Travel_Frequently"/>
    <n v="1316"/>
    <x v="1"/>
    <n v="2"/>
    <n v="2"/>
    <s v="Life Sciences"/>
    <n v="1"/>
    <n v="1235"/>
    <n v="4"/>
    <s v="Female"/>
    <n v="38"/>
    <n v="3"/>
    <n v="2"/>
    <x v="1"/>
    <n v="3"/>
    <s v="Single"/>
    <n v="4998"/>
    <n v="2338"/>
    <n v="4"/>
    <s v="Y"/>
    <s v="Yes"/>
    <n v="14"/>
    <n v="3"/>
    <n v="4"/>
    <n v="80"/>
    <n v="0"/>
    <n v="10"/>
    <n v="2"/>
    <n v="3"/>
    <n v="8"/>
    <n v="7"/>
    <n v="0"/>
    <n v="7"/>
    <s v="OK"/>
    <s v="OK"/>
    <s v="OK"/>
    <s v="OK"/>
    <x v="0"/>
    <n v="0.875"/>
    <n v="0.25"/>
    <n v="0.875"/>
  </r>
  <r>
    <n v="36"/>
    <s v="No"/>
    <s v="Travel_Rarely"/>
    <n v="363"/>
    <x v="1"/>
    <n v="1"/>
    <n v="3"/>
    <s v="Technical Degree"/>
    <n v="1"/>
    <n v="1237"/>
    <n v="3"/>
    <s v="Female"/>
    <n v="77"/>
    <n v="1"/>
    <n v="3"/>
    <x v="3"/>
    <n v="1"/>
    <s v="Divorced"/>
    <n v="10252"/>
    <n v="4235"/>
    <n v="2"/>
    <s v="Y"/>
    <s v="Yes"/>
    <n v="21"/>
    <n v="4"/>
    <n v="3"/>
    <n v="80"/>
    <n v="1"/>
    <n v="17"/>
    <n v="2"/>
    <n v="3"/>
    <n v="7"/>
    <n v="7"/>
    <n v="7"/>
    <n v="7"/>
    <s v="OK"/>
    <s v="OK"/>
    <s v="OK"/>
    <s v="OK"/>
    <x v="3"/>
    <n v="1"/>
    <n v="0.2857142857142857"/>
    <n v="1"/>
  </r>
  <r>
    <n v="33"/>
    <s v="No"/>
    <s v="Travel_Rarely"/>
    <n v="117"/>
    <x v="1"/>
    <n v="9"/>
    <n v="3"/>
    <s v="Medical"/>
    <n v="1"/>
    <n v="1238"/>
    <n v="1"/>
    <s v="Male"/>
    <n v="60"/>
    <n v="3"/>
    <n v="1"/>
    <x v="1"/>
    <n v="4"/>
    <s v="Married"/>
    <n v="2781"/>
    <n v="6311"/>
    <n v="0"/>
    <s v="Y"/>
    <s v="No"/>
    <n v="13"/>
    <n v="3"/>
    <n v="2"/>
    <n v="80"/>
    <n v="1"/>
    <n v="15"/>
    <n v="5"/>
    <n v="3"/>
    <n v="14"/>
    <n v="10"/>
    <n v="4"/>
    <n v="10"/>
    <s v="OK"/>
    <s v="OK"/>
    <s v="OK"/>
    <s v="OK"/>
    <x v="12"/>
    <n v="0.7142857142857143"/>
    <n v="0.35714285714285715"/>
    <n v="0.7142857142857143"/>
  </r>
  <r>
    <n v="40"/>
    <s v="No"/>
    <s v="Travel_Rarely"/>
    <n v="107"/>
    <x v="0"/>
    <n v="10"/>
    <n v="3"/>
    <s v="Technical Degree"/>
    <n v="1"/>
    <n v="1239"/>
    <n v="2"/>
    <s v="Female"/>
    <n v="84"/>
    <n v="2"/>
    <n v="2"/>
    <x v="0"/>
    <n v="2"/>
    <s v="Divorced"/>
    <n v="6852"/>
    <n v="11591"/>
    <n v="7"/>
    <s v="Y"/>
    <s v="No"/>
    <n v="12"/>
    <n v="3"/>
    <n v="2"/>
    <n v="80"/>
    <n v="1"/>
    <n v="7"/>
    <n v="2"/>
    <n v="4"/>
    <n v="5"/>
    <n v="1"/>
    <n v="1"/>
    <n v="3"/>
    <s v="OK"/>
    <s v="OK"/>
    <s v="OK"/>
    <s v="OK"/>
    <x v="16"/>
    <n v="0.2"/>
    <n v="0.4"/>
    <n v="0.6"/>
  </r>
  <r>
    <n v="25"/>
    <s v="No"/>
    <s v="Travel_Rarely"/>
    <n v="1356"/>
    <x v="0"/>
    <n v="10"/>
    <n v="4"/>
    <s v="Life Sciences"/>
    <n v="1"/>
    <n v="1240"/>
    <n v="3"/>
    <s v="Male"/>
    <n v="57"/>
    <n v="3"/>
    <n v="2"/>
    <x v="0"/>
    <n v="4"/>
    <s v="Single"/>
    <n v="4950"/>
    <n v="20623"/>
    <n v="0"/>
    <s v="Y"/>
    <s v="No"/>
    <n v="14"/>
    <n v="3"/>
    <n v="2"/>
    <n v="80"/>
    <n v="0"/>
    <n v="5"/>
    <n v="4"/>
    <n v="3"/>
    <n v="4"/>
    <n v="3"/>
    <n v="1"/>
    <n v="1"/>
    <s v="OK"/>
    <s v="OK"/>
    <s v="OK"/>
    <s v="OK"/>
    <x v="10"/>
    <n v="0.75"/>
    <n v="1"/>
    <n v="0.25"/>
  </r>
  <r>
    <n v="30"/>
    <s v="No"/>
    <s v="Travel_Rarely"/>
    <n v="1465"/>
    <x v="1"/>
    <n v="1"/>
    <n v="3"/>
    <s v="Medical"/>
    <n v="1"/>
    <n v="1241"/>
    <n v="4"/>
    <s v="Male"/>
    <n v="63"/>
    <n v="3"/>
    <n v="1"/>
    <x v="1"/>
    <n v="2"/>
    <s v="Married"/>
    <n v="3579"/>
    <n v="9369"/>
    <n v="0"/>
    <s v="Y"/>
    <s v="Yes"/>
    <n v="21"/>
    <n v="4"/>
    <n v="1"/>
    <n v="80"/>
    <n v="1"/>
    <n v="12"/>
    <n v="2"/>
    <n v="3"/>
    <n v="11"/>
    <n v="9"/>
    <n v="5"/>
    <n v="7"/>
    <s v="OK"/>
    <s v="OK"/>
    <s v="OK"/>
    <s v="OK"/>
    <x v="31"/>
    <n v="0.81818181818181823"/>
    <n v="0.18181818181818182"/>
    <n v="0.63636363636363635"/>
  </r>
  <r>
    <n v="42"/>
    <s v="No"/>
    <s v="Travel_Frequently"/>
    <n v="458"/>
    <x v="1"/>
    <n v="26"/>
    <n v="5"/>
    <s v="Medical"/>
    <n v="1"/>
    <n v="1242"/>
    <n v="1"/>
    <s v="Female"/>
    <n v="60"/>
    <n v="3"/>
    <n v="3"/>
    <x v="7"/>
    <n v="1"/>
    <s v="Married"/>
    <n v="13191"/>
    <n v="23281"/>
    <n v="3"/>
    <s v="Y"/>
    <s v="Yes"/>
    <n v="17"/>
    <n v="3"/>
    <n v="3"/>
    <n v="80"/>
    <n v="0"/>
    <n v="20"/>
    <n v="6"/>
    <n v="3"/>
    <n v="1"/>
    <n v="0"/>
    <n v="0"/>
    <n v="0"/>
    <s v="OK"/>
    <s v="OK"/>
    <s v="OK"/>
    <s v="OK"/>
    <x v="0"/>
    <n v="0"/>
    <n v="6"/>
    <n v="0"/>
  </r>
  <r>
    <n v="35"/>
    <s v="No"/>
    <s v="Non-Travel"/>
    <n v="1212"/>
    <x v="0"/>
    <n v="8"/>
    <n v="2"/>
    <s v="Marketing"/>
    <n v="1"/>
    <n v="1243"/>
    <n v="3"/>
    <s v="Female"/>
    <n v="78"/>
    <n v="2"/>
    <n v="3"/>
    <x v="0"/>
    <n v="4"/>
    <s v="Married"/>
    <n v="10377"/>
    <n v="13755"/>
    <n v="4"/>
    <s v="Y"/>
    <s v="Yes"/>
    <n v="11"/>
    <n v="3"/>
    <n v="2"/>
    <n v="80"/>
    <n v="1"/>
    <n v="16"/>
    <n v="6"/>
    <n v="2"/>
    <n v="13"/>
    <n v="2"/>
    <n v="4"/>
    <n v="12"/>
    <s v="OK"/>
    <s v="OK"/>
    <s v="OK"/>
    <s v="OK"/>
    <x v="59"/>
    <n v="0.15384615384615385"/>
    <n v="0.46153846153846156"/>
    <n v="0.92307692307692313"/>
  </r>
  <r>
    <n v="27"/>
    <s v="No"/>
    <s v="Travel_Rarely"/>
    <n v="1103"/>
    <x v="1"/>
    <n v="14"/>
    <n v="3"/>
    <s v="Life Sciences"/>
    <n v="1"/>
    <n v="1244"/>
    <n v="1"/>
    <s v="Male"/>
    <n v="42"/>
    <n v="3"/>
    <n v="1"/>
    <x v="1"/>
    <n v="1"/>
    <s v="Married"/>
    <n v="2235"/>
    <n v="14377"/>
    <n v="1"/>
    <s v="Y"/>
    <s v="Yes"/>
    <n v="14"/>
    <n v="3"/>
    <n v="4"/>
    <n v="80"/>
    <n v="2"/>
    <n v="9"/>
    <n v="3"/>
    <n v="2"/>
    <n v="9"/>
    <n v="7"/>
    <n v="6"/>
    <n v="8"/>
    <s v="OK"/>
    <s v="OK"/>
    <s v="OK"/>
    <s v="OK"/>
    <x v="34"/>
    <n v="0.77777777777777779"/>
    <n v="0.33333333333333331"/>
    <n v="0.88888888888888884"/>
  </r>
  <r>
    <n v="54"/>
    <s v="No"/>
    <s v="Travel_Frequently"/>
    <n v="966"/>
    <x v="1"/>
    <n v="1"/>
    <n v="4"/>
    <s v="Life Sciences"/>
    <n v="1"/>
    <n v="1245"/>
    <n v="4"/>
    <s v="Female"/>
    <n v="53"/>
    <n v="3"/>
    <n v="3"/>
    <x v="3"/>
    <n v="3"/>
    <s v="Divorced"/>
    <n v="10502"/>
    <n v="9659"/>
    <n v="7"/>
    <s v="Y"/>
    <s v="No"/>
    <n v="17"/>
    <n v="3"/>
    <n v="1"/>
    <n v="80"/>
    <n v="1"/>
    <n v="33"/>
    <n v="2"/>
    <n v="1"/>
    <n v="5"/>
    <n v="4"/>
    <n v="1"/>
    <n v="4"/>
    <s v="OK"/>
    <s v="OK"/>
    <s v="OK"/>
    <s v="OK"/>
    <x v="16"/>
    <n v="0.8"/>
    <n v="0.4"/>
    <n v="0.8"/>
  </r>
  <r>
    <n v="44"/>
    <s v="No"/>
    <s v="Travel_Rarely"/>
    <n v="1117"/>
    <x v="1"/>
    <n v="2"/>
    <n v="1"/>
    <s v="Life Sciences"/>
    <n v="1"/>
    <n v="1246"/>
    <n v="1"/>
    <s v="Female"/>
    <n v="72"/>
    <n v="4"/>
    <n v="1"/>
    <x v="1"/>
    <n v="4"/>
    <s v="Married"/>
    <n v="2011"/>
    <n v="19982"/>
    <n v="1"/>
    <s v="Y"/>
    <s v="No"/>
    <n v="13"/>
    <n v="3"/>
    <n v="4"/>
    <n v="80"/>
    <n v="1"/>
    <n v="10"/>
    <n v="5"/>
    <n v="3"/>
    <n v="10"/>
    <n v="5"/>
    <n v="7"/>
    <n v="7"/>
    <s v="OK"/>
    <s v="OK"/>
    <s v="OK"/>
    <s v="OK"/>
    <x v="42"/>
    <n v="0.5"/>
    <n v="0.5"/>
    <n v="0.7"/>
  </r>
  <r>
    <n v="19"/>
    <s v="Yes"/>
    <s v="Non-Travel"/>
    <n v="504"/>
    <x v="1"/>
    <n v="10"/>
    <n v="3"/>
    <s v="Medical"/>
    <n v="1"/>
    <n v="1248"/>
    <n v="1"/>
    <s v="Female"/>
    <n v="96"/>
    <n v="2"/>
    <n v="1"/>
    <x v="1"/>
    <n v="2"/>
    <s v="Single"/>
    <n v="1859"/>
    <n v="6148"/>
    <n v="1"/>
    <s v="Y"/>
    <s v="Yes"/>
    <n v="25"/>
    <n v="4"/>
    <n v="2"/>
    <n v="80"/>
    <n v="0"/>
    <n v="1"/>
    <n v="2"/>
    <n v="4"/>
    <n v="1"/>
    <n v="1"/>
    <n v="0"/>
    <n v="0"/>
    <s v="OK"/>
    <s v="OK"/>
    <s v="OK"/>
    <s v="OK"/>
    <x v="0"/>
    <n v="1"/>
    <n v="2"/>
    <n v="0"/>
  </r>
  <r>
    <n v="29"/>
    <s v="No"/>
    <s v="Travel_Rarely"/>
    <n v="1010"/>
    <x v="1"/>
    <n v="1"/>
    <n v="3"/>
    <s v="Life Sciences"/>
    <n v="1"/>
    <n v="1249"/>
    <n v="1"/>
    <s v="Female"/>
    <n v="97"/>
    <n v="3"/>
    <n v="1"/>
    <x v="1"/>
    <n v="4"/>
    <s v="Divorced"/>
    <n v="3760"/>
    <n v="5598"/>
    <n v="1"/>
    <s v="Y"/>
    <s v="No"/>
    <n v="15"/>
    <n v="3"/>
    <n v="1"/>
    <n v="80"/>
    <n v="3"/>
    <n v="3"/>
    <n v="5"/>
    <n v="3"/>
    <n v="3"/>
    <n v="2"/>
    <n v="1"/>
    <n v="2"/>
    <s v="OK"/>
    <s v="OK"/>
    <s v="OK"/>
    <s v="OK"/>
    <x v="9"/>
    <n v="0.66666666666666663"/>
    <n v="1.6666666666666667"/>
    <n v="0.66666666666666663"/>
  </r>
  <r>
    <n v="54"/>
    <s v="No"/>
    <s v="Travel_Rarely"/>
    <n v="685"/>
    <x v="1"/>
    <n v="3"/>
    <n v="3"/>
    <s v="Life Sciences"/>
    <n v="1"/>
    <n v="1250"/>
    <n v="4"/>
    <s v="Male"/>
    <n v="85"/>
    <n v="3"/>
    <n v="4"/>
    <x v="7"/>
    <n v="4"/>
    <s v="Married"/>
    <n v="17779"/>
    <n v="23474"/>
    <n v="3"/>
    <s v="Y"/>
    <s v="No"/>
    <n v="14"/>
    <n v="3"/>
    <n v="1"/>
    <n v="80"/>
    <n v="0"/>
    <n v="36"/>
    <n v="2"/>
    <n v="3"/>
    <n v="10"/>
    <n v="9"/>
    <n v="0"/>
    <n v="9"/>
    <s v="OK"/>
    <s v="OK"/>
    <s v="OK"/>
    <s v="OK"/>
    <x v="0"/>
    <n v="0.9"/>
    <n v="0.2"/>
    <n v="0.9"/>
  </r>
  <r>
    <n v="31"/>
    <s v="No"/>
    <s v="Travel_Rarely"/>
    <n v="1332"/>
    <x v="1"/>
    <n v="11"/>
    <n v="2"/>
    <s v="Medical"/>
    <n v="1"/>
    <n v="1251"/>
    <n v="3"/>
    <s v="Male"/>
    <n v="80"/>
    <n v="3"/>
    <n v="2"/>
    <x v="4"/>
    <n v="1"/>
    <s v="Married"/>
    <n v="6833"/>
    <n v="17089"/>
    <n v="1"/>
    <s v="Y"/>
    <s v="Yes"/>
    <n v="12"/>
    <n v="3"/>
    <n v="4"/>
    <n v="80"/>
    <n v="0"/>
    <n v="6"/>
    <n v="2"/>
    <n v="2"/>
    <n v="6"/>
    <n v="5"/>
    <n v="0"/>
    <n v="1"/>
    <s v="OK"/>
    <s v="OK"/>
    <s v="OK"/>
    <s v="OK"/>
    <x v="0"/>
    <n v="0.83333333333333337"/>
    <n v="0.33333333333333331"/>
    <n v="0.16666666666666666"/>
  </r>
  <r>
    <n v="31"/>
    <s v="No"/>
    <s v="Travel_Rarely"/>
    <n v="1062"/>
    <x v="1"/>
    <n v="24"/>
    <n v="3"/>
    <s v="Medical"/>
    <n v="1"/>
    <n v="1252"/>
    <n v="3"/>
    <s v="Female"/>
    <n v="96"/>
    <n v="2"/>
    <n v="2"/>
    <x v="4"/>
    <n v="1"/>
    <s v="Single"/>
    <n v="6812"/>
    <n v="17198"/>
    <n v="1"/>
    <s v="Y"/>
    <s v="No"/>
    <n v="19"/>
    <n v="3"/>
    <n v="2"/>
    <n v="80"/>
    <n v="0"/>
    <n v="10"/>
    <n v="2"/>
    <n v="3"/>
    <n v="10"/>
    <n v="9"/>
    <n v="1"/>
    <n v="8"/>
    <s v="OK"/>
    <s v="OK"/>
    <s v="OK"/>
    <s v="OK"/>
    <x v="1"/>
    <n v="0.9"/>
    <n v="0.2"/>
    <n v="0.8"/>
  </r>
  <r>
    <n v="59"/>
    <s v="No"/>
    <s v="Travel_Rarely"/>
    <n v="326"/>
    <x v="0"/>
    <n v="3"/>
    <n v="3"/>
    <s v="Life Sciences"/>
    <n v="1"/>
    <n v="1254"/>
    <n v="3"/>
    <s v="Female"/>
    <n v="48"/>
    <n v="2"/>
    <n v="2"/>
    <x v="0"/>
    <n v="4"/>
    <s v="Single"/>
    <n v="5171"/>
    <n v="16490"/>
    <n v="5"/>
    <s v="Y"/>
    <s v="No"/>
    <n v="17"/>
    <n v="3"/>
    <n v="4"/>
    <n v="80"/>
    <n v="0"/>
    <n v="13"/>
    <n v="2"/>
    <n v="3"/>
    <n v="6"/>
    <n v="1"/>
    <n v="0"/>
    <n v="5"/>
    <s v="OK"/>
    <s v="OK"/>
    <s v="OK"/>
    <s v="OK"/>
    <x v="0"/>
    <n v="0.16666666666666666"/>
    <n v="0.33333333333333331"/>
    <n v="0.83333333333333337"/>
  </r>
  <r>
    <n v="43"/>
    <s v="No"/>
    <s v="Travel_Rarely"/>
    <n v="920"/>
    <x v="1"/>
    <n v="3"/>
    <n v="3"/>
    <s v="Life Sciences"/>
    <n v="1"/>
    <n v="1255"/>
    <n v="3"/>
    <s v="Male"/>
    <n v="96"/>
    <n v="1"/>
    <n v="5"/>
    <x v="7"/>
    <n v="4"/>
    <s v="Married"/>
    <n v="19740"/>
    <n v="18625"/>
    <n v="3"/>
    <s v="Y"/>
    <s v="No"/>
    <n v="14"/>
    <n v="3"/>
    <n v="2"/>
    <n v="80"/>
    <n v="1"/>
    <n v="25"/>
    <n v="2"/>
    <n v="3"/>
    <n v="8"/>
    <n v="7"/>
    <n v="0"/>
    <n v="7"/>
    <s v="OK"/>
    <s v="OK"/>
    <s v="OK"/>
    <s v="OK"/>
    <x v="0"/>
    <n v="0.875"/>
    <n v="0.25"/>
    <n v="0.875"/>
  </r>
  <r>
    <n v="49"/>
    <s v="No"/>
    <s v="Travel_Rarely"/>
    <n v="1098"/>
    <x v="1"/>
    <n v="4"/>
    <n v="2"/>
    <s v="Medical"/>
    <n v="1"/>
    <n v="1256"/>
    <n v="1"/>
    <s v="Male"/>
    <n v="85"/>
    <n v="2"/>
    <n v="5"/>
    <x v="5"/>
    <n v="3"/>
    <s v="Married"/>
    <n v="18711"/>
    <n v="12124"/>
    <n v="2"/>
    <s v="Y"/>
    <s v="No"/>
    <n v="13"/>
    <n v="3"/>
    <n v="3"/>
    <n v="80"/>
    <n v="1"/>
    <n v="23"/>
    <n v="2"/>
    <n v="4"/>
    <n v="1"/>
    <n v="0"/>
    <n v="0"/>
    <n v="0"/>
    <s v="OK"/>
    <s v="OK"/>
    <s v="OK"/>
    <s v="OK"/>
    <x v="0"/>
    <n v="0"/>
    <n v="2"/>
    <n v="0"/>
  </r>
  <r>
    <n v="36"/>
    <s v="No"/>
    <s v="Travel_Frequently"/>
    <n v="469"/>
    <x v="1"/>
    <n v="3"/>
    <n v="3"/>
    <s v="Technical Degree"/>
    <n v="1"/>
    <n v="1257"/>
    <n v="3"/>
    <s v="Male"/>
    <n v="46"/>
    <n v="3"/>
    <n v="1"/>
    <x v="1"/>
    <n v="2"/>
    <s v="Married"/>
    <n v="3692"/>
    <n v="9256"/>
    <n v="1"/>
    <s v="Y"/>
    <s v="No"/>
    <n v="12"/>
    <n v="3"/>
    <n v="3"/>
    <n v="80"/>
    <n v="0"/>
    <n v="12"/>
    <n v="2"/>
    <n v="2"/>
    <n v="11"/>
    <n v="10"/>
    <n v="0"/>
    <n v="7"/>
    <s v="OK"/>
    <s v="OK"/>
    <s v="OK"/>
    <s v="OK"/>
    <x v="0"/>
    <n v="0.90909090909090906"/>
    <n v="0.18181818181818182"/>
    <n v="0.63636363636363635"/>
  </r>
  <r>
    <n v="48"/>
    <s v="No"/>
    <s v="Travel_Rarely"/>
    <n v="969"/>
    <x v="1"/>
    <n v="2"/>
    <n v="2"/>
    <s v="Technical Degree"/>
    <n v="1"/>
    <n v="1258"/>
    <n v="4"/>
    <s v="Male"/>
    <n v="76"/>
    <n v="4"/>
    <n v="1"/>
    <x v="2"/>
    <n v="2"/>
    <s v="Single"/>
    <n v="2559"/>
    <n v="16620"/>
    <n v="5"/>
    <s v="Y"/>
    <s v="No"/>
    <n v="11"/>
    <n v="3"/>
    <n v="3"/>
    <n v="80"/>
    <n v="0"/>
    <n v="7"/>
    <n v="4"/>
    <n v="2"/>
    <n v="1"/>
    <n v="0"/>
    <n v="0"/>
    <n v="0"/>
    <s v="OK"/>
    <s v="OK"/>
    <s v="OK"/>
    <s v="OK"/>
    <x v="0"/>
    <n v="0"/>
    <n v="4"/>
    <n v="0"/>
  </r>
  <r>
    <n v="27"/>
    <s v="No"/>
    <s v="Travel_Rarely"/>
    <n v="1167"/>
    <x v="1"/>
    <n v="4"/>
    <n v="2"/>
    <s v="Life Sciences"/>
    <n v="1"/>
    <n v="1259"/>
    <n v="1"/>
    <s v="Male"/>
    <n v="76"/>
    <n v="3"/>
    <n v="1"/>
    <x v="1"/>
    <n v="3"/>
    <s v="Divorced"/>
    <n v="2517"/>
    <n v="3208"/>
    <n v="1"/>
    <s v="Y"/>
    <s v="No"/>
    <n v="11"/>
    <n v="3"/>
    <n v="2"/>
    <n v="80"/>
    <n v="3"/>
    <n v="5"/>
    <n v="2"/>
    <n v="3"/>
    <n v="5"/>
    <n v="3"/>
    <n v="0"/>
    <n v="3"/>
    <s v="OK"/>
    <s v="OK"/>
    <s v="OK"/>
    <s v="OK"/>
    <x v="0"/>
    <n v="0.6"/>
    <n v="0.4"/>
    <n v="0.6"/>
  </r>
  <r>
    <n v="29"/>
    <s v="No"/>
    <s v="Travel_Rarely"/>
    <n v="1329"/>
    <x v="1"/>
    <n v="7"/>
    <n v="3"/>
    <s v="Life Sciences"/>
    <n v="1"/>
    <n v="1260"/>
    <n v="3"/>
    <s v="Male"/>
    <n v="82"/>
    <n v="3"/>
    <n v="2"/>
    <x v="4"/>
    <n v="4"/>
    <s v="Divorced"/>
    <n v="6623"/>
    <n v="4204"/>
    <n v="1"/>
    <s v="Y"/>
    <s v="Yes"/>
    <n v="11"/>
    <n v="3"/>
    <n v="2"/>
    <n v="80"/>
    <n v="2"/>
    <n v="6"/>
    <n v="2"/>
    <n v="3"/>
    <n v="6"/>
    <n v="0"/>
    <n v="1"/>
    <n v="0"/>
    <s v="OK"/>
    <s v="OK"/>
    <s v="OK"/>
    <s v="OK"/>
    <x v="11"/>
    <n v="0"/>
    <n v="0.33333333333333331"/>
    <n v="0"/>
  </r>
  <r>
    <n v="48"/>
    <s v="No"/>
    <s v="Travel_Rarely"/>
    <n v="715"/>
    <x v="1"/>
    <n v="1"/>
    <n v="3"/>
    <s v="Life Sciences"/>
    <n v="1"/>
    <n v="1263"/>
    <n v="4"/>
    <s v="Male"/>
    <n v="76"/>
    <n v="2"/>
    <n v="5"/>
    <x v="7"/>
    <n v="4"/>
    <s v="Single"/>
    <n v="18265"/>
    <n v="8733"/>
    <n v="6"/>
    <s v="Y"/>
    <s v="No"/>
    <n v="12"/>
    <n v="3"/>
    <n v="3"/>
    <n v="80"/>
    <n v="0"/>
    <n v="25"/>
    <n v="3"/>
    <n v="4"/>
    <n v="1"/>
    <n v="0"/>
    <n v="0"/>
    <n v="0"/>
    <s v="OK"/>
    <s v="OK"/>
    <s v="OK"/>
    <s v="OK"/>
    <x v="0"/>
    <n v="0"/>
    <n v="3"/>
    <n v="0"/>
  </r>
  <r>
    <n v="29"/>
    <s v="No"/>
    <s v="Travel_Rarely"/>
    <n v="694"/>
    <x v="1"/>
    <n v="1"/>
    <n v="3"/>
    <s v="Life Sciences"/>
    <n v="1"/>
    <n v="1264"/>
    <n v="4"/>
    <s v="Female"/>
    <n v="87"/>
    <n v="2"/>
    <n v="4"/>
    <x v="7"/>
    <n v="4"/>
    <s v="Divorced"/>
    <n v="16124"/>
    <n v="3423"/>
    <n v="3"/>
    <s v="Y"/>
    <s v="No"/>
    <n v="14"/>
    <n v="3"/>
    <n v="2"/>
    <n v="80"/>
    <n v="2"/>
    <n v="9"/>
    <n v="2"/>
    <n v="2"/>
    <n v="7"/>
    <n v="7"/>
    <n v="1"/>
    <n v="7"/>
    <s v="OK"/>
    <s v="OK"/>
    <s v="OK"/>
    <s v="OK"/>
    <x v="20"/>
    <n v="1"/>
    <n v="0.2857142857142857"/>
    <n v="1"/>
  </r>
  <r>
    <n v="34"/>
    <s v="No"/>
    <s v="Travel_Rarely"/>
    <n v="1320"/>
    <x v="1"/>
    <n v="20"/>
    <n v="3"/>
    <s v="Technical Degree"/>
    <n v="1"/>
    <n v="1265"/>
    <n v="3"/>
    <s v="Female"/>
    <n v="89"/>
    <n v="4"/>
    <n v="1"/>
    <x v="1"/>
    <n v="3"/>
    <s v="Married"/>
    <n v="2585"/>
    <n v="21643"/>
    <n v="0"/>
    <s v="Y"/>
    <s v="No"/>
    <n v="17"/>
    <n v="3"/>
    <n v="4"/>
    <n v="80"/>
    <n v="0"/>
    <n v="2"/>
    <n v="5"/>
    <n v="2"/>
    <n v="1"/>
    <n v="0"/>
    <n v="0"/>
    <n v="0"/>
    <s v="OK"/>
    <s v="OK"/>
    <s v="OK"/>
    <s v="OK"/>
    <x v="0"/>
    <n v="0"/>
    <n v="5"/>
    <n v="0"/>
  </r>
  <r>
    <n v="44"/>
    <s v="No"/>
    <s v="Travel_Rarely"/>
    <n v="1099"/>
    <x v="0"/>
    <n v="5"/>
    <n v="3"/>
    <s v="Marketing"/>
    <n v="1"/>
    <n v="1267"/>
    <n v="2"/>
    <s v="Male"/>
    <n v="88"/>
    <n v="3"/>
    <n v="5"/>
    <x v="5"/>
    <n v="2"/>
    <s v="Married"/>
    <n v="18213"/>
    <n v="8751"/>
    <n v="7"/>
    <s v="Y"/>
    <s v="No"/>
    <n v="11"/>
    <n v="3"/>
    <n v="3"/>
    <n v="80"/>
    <n v="1"/>
    <n v="26"/>
    <n v="5"/>
    <n v="3"/>
    <n v="22"/>
    <n v="9"/>
    <n v="3"/>
    <n v="10"/>
    <s v="OK"/>
    <s v="OK"/>
    <s v="OK"/>
    <s v="OK"/>
    <x v="95"/>
    <n v="0.40909090909090912"/>
    <n v="0.22727272727272727"/>
    <n v="0.45454545454545453"/>
  </r>
  <r>
    <n v="33"/>
    <s v="No"/>
    <s v="Travel_Rarely"/>
    <n v="536"/>
    <x v="0"/>
    <n v="10"/>
    <n v="5"/>
    <s v="Marketing"/>
    <n v="1"/>
    <n v="1268"/>
    <n v="4"/>
    <s v="Male"/>
    <n v="82"/>
    <n v="4"/>
    <n v="3"/>
    <x v="0"/>
    <n v="3"/>
    <s v="Divorced"/>
    <n v="8380"/>
    <n v="21708"/>
    <n v="0"/>
    <s v="Y"/>
    <s v="Yes"/>
    <n v="14"/>
    <n v="3"/>
    <n v="4"/>
    <n v="80"/>
    <n v="2"/>
    <n v="10"/>
    <n v="3"/>
    <n v="3"/>
    <n v="9"/>
    <n v="8"/>
    <n v="0"/>
    <n v="8"/>
    <s v="OK"/>
    <s v="OK"/>
    <s v="OK"/>
    <s v="OK"/>
    <x v="0"/>
    <n v="0.88888888888888884"/>
    <n v="0.33333333333333331"/>
    <n v="0.88888888888888884"/>
  </r>
  <r>
    <n v="19"/>
    <s v="No"/>
    <s v="Travel_Rarely"/>
    <n v="265"/>
    <x v="1"/>
    <n v="25"/>
    <n v="3"/>
    <s v="Life Sciences"/>
    <n v="1"/>
    <n v="1269"/>
    <n v="2"/>
    <s v="Female"/>
    <n v="57"/>
    <n v="4"/>
    <n v="1"/>
    <x v="1"/>
    <n v="4"/>
    <s v="Single"/>
    <n v="2994"/>
    <n v="21221"/>
    <n v="1"/>
    <s v="Y"/>
    <s v="Yes"/>
    <n v="12"/>
    <n v="3"/>
    <n v="4"/>
    <n v="80"/>
    <n v="0"/>
    <n v="1"/>
    <n v="2"/>
    <n v="3"/>
    <n v="1"/>
    <n v="0"/>
    <n v="0"/>
    <n v="1"/>
    <s v="OK"/>
    <s v="OK"/>
    <s v="OK"/>
    <s v="OK"/>
    <x v="0"/>
    <n v="0"/>
    <n v="2"/>
    <n v="1"/>
  </r>
  <r>
    <n v="23"/>
    <s v="No"/>
    <s v="Travel_Rarely"/>
    <n v="373"/>
    <x v="1"/>
    <n v="1"/>
    <n v="2"/>
    <s v="Life Sciences"/>
    <n v="1"/>
    <n v="1270"/>
    <n v="4"/>
    <s v="Male"/>
    <n v="47"/>
    <n v="3"/>
    <n v="1"/>
    <x v="1"/>
    <n v="3"/>
    <s v="Married"/>
    <n v="1223"/>
    <n v="16901"/>
    <n v="1"/>
    <s v="Y"/>
    <s v="No"/>
    <n v="22"/>
    <n v="4"/>
    <n v="4"/>
    <n v="80"/>
    <n v="1"/>
    <n v="1"/>
    <n v="2"/>
    <n v="3"/>
    <n v="1"/>
    <n v="0"/>
    <n v="0"/>
    <n v="1"/>
    <s v="OK"/>
    <s v="OK"/>
    <s v="OK"/>
    <s v="OK"/>
    <x v="0"/>
    <n v="0"/>
    <n v="2"/>
    <n v="1"/>
  </r>
  <r>
    <n v="25"/>
    <s v="Yes"/>
    <s v="Travel_Frequently"/>
    <n v="599"/>
    <x v="0"/>
    <n v="24"/>
    <n v="1"/>
    <s v="Life Sciences"/>
    <n v="1"/>
    <n v="1273"/>
    <n v="3"/>
    <s v="Male"/>
    <n v="73"/>
    <n v="1"/>
    <n v="1"/>
    <x v="6"/>
    <n v="4"/>
    <s v="Single"/>
    <n v="1118"/>
    <n v="8040"/>
    <n v="1"/>
    <s v="Y"/>
    <s v="Yes"/>
    <n v="14"/>
    <n v="3"/>
    <n v="4"/>
    <n v="80"/>
    <n v="0"/>
    <n v="1"/>
    <n v="4"/>
    <n v="3"/>
    <n v="1"/>
    <n v="0"/>
    <n v="1"/>
    <n v="0"/>
    <s v="OK"/>
    <s v="OK"/>
    <s v="OK"/>
    <s v="OK"/>
    <x v="3"/>
    <n v="0"/>
    <n v="4"/>
    <n v="0"/>
  </r>
  <r>
    <n v="26"/>
    <s v="No"/>
    <s v="Travel_Rarely"/>
    <n v="583"/>
    <x v="1"/>
    <n v="4"/>
    <n v="2"/>
    <s v="Life Sciences"/>
    <n v="1"/>
    <n v="1275"/>
    <n v="3"/>
    <s v="Male"/>
    <n v="53"/>
    <n v="3"/>
    <n v="1"/>
    <x v="1"/>
    <n v="4"/>
    <s v="Single"/>
    <n v="2875"/>
    <n v="9973"/>
    <n v="1"/>
    <s v="Y"/>
    <s v="Yes"/>
    <n v="20"/>
    <n v="4"/>
    <n v="2"/>
    <n v="80"/>
    <n v="0"/>
    <n v="8"/>
    <n v="2"/>
    <n v="2"/>
    <n v="8"/>
    <n v="5"/>
    <n v="2"/>
    <n v="2"/>
    <s v="OK"/>
    <s v="OK"/>
    <s v="OK"/>
    <s v="OK"/>
    <x v="10"/>
    <n v="0.625"/>
    <n v="0.25"/>
    <n v="0.25"/>
  </r>
  <r>
    <n v="45"/>
    <s v="Yes"/>
    <s v="Travel_Rarely"/>
    <n v="1449"/>
    <x v="0"/>
    <n v="2"/>
    <n v="3"/>
    <s v="Marketing"/>
    <n v="1"/>
    <n v="1277"/>
    <n v="1"/>
    <s v="Female"/>
    <n v="94"/>
    <n v="1"/>
    <n v="5"/>
    <x v="5"/>
    <n v="2"/>
    <s v="Single"/>
    <n v="18824"/>
    <n v="2493"/>
    <n v="2"/>
    <s v="Y"/>
    <s v="Yes"/>
    <n v="16"/>
    <n v="3"/>
    <n v="1"/>
    <n v="80"/>
    <n v="0"/>
    <n v="26"/>
    <n v="2"/>
    <n v="3"/>
    <n v="24"/>
    <n v="10"/>
    <n v="1"/>
    <n v="11"/>
    <s v="OK"/>
    <s v="OK"/>
    <s v="OK"/>
    <s v="OK"/>
    <x v="54"/>
    <n v="0.41666666666666669"/>
    <n v="8.3333333333333329E-2"/>
    <n v="0.45833333333333331"/>
  </r>
  <r>
    <n v="55"/>
    <s v="No"/>
    <s v="Non-Travel"/>
    <n v="177"/>
    <x v="1"/>
    <n v="8"/>
    <n v="1"/>
    <s v="Medical"/>
    <n v="1"/>
    <n v="1278"/>
    <n v="4"/>
    <s v="Male"/>
    <n v="37"/>
    <n v="2"/>
    <n v="4"/>
    <x v="4"/>
    <n v="2"/>
    <s v="Divorced"/>
    <n v="13577"/>
    <n v="25592"/>
    <n v="1"/>
    <s v="Y"/>
    <s v="Yes"/>
    <n v="15"/>
    <n v="3"/>
    <n v="4"/>
    <n v="80"/>
    <n v="1"/>
    <n v="34"/>
    <n v="3"/>
    <n v="3"/>
    <n v="33"/>
    <n v="9"/>
    <n v="15"/>
    <n v="0"/>
    <s v="OK"/>
    <s v="OK"/>
    <s v="OK"/>
    <s v="OK"/>
    <x v="31"/>
    <n v="0.27272727272727271"/>
    <n v="9.0909090909090912E-2"/>
    <n v="0"/>
  </r>
  <r>
    <n v="21"/>
    <s v="Yes"/>
    <s v="Travel_Frequently"/>
    <n v="251"/>
    <x v="1"/>
    <n v="10"/>
    <n v="2"/>
    <s v="Life Sciences"/>
    <n v="1"/>
    <n v="1279"/>
    <n v="1"/>
    <s v="Female"/>
    <n v="45"/>
    <n v="2"/>
    <n v="1"/>
    <x v="2"/>
    <n v="3"/>
    <s v="Single"/>
    <n v="2625"/>
    <n v="25308"/>
    <n v="1"/>
    <s v="Y"/>
    <s v="No"/>
    <n v="20"/>
    <n v="4"/>
    <n v="3"/>
    <n v="80"/>
    <n v="0"/>
    <n v="2"/>
    <n v="2"/>
    <n v="1"/>
    <n v="2"/>
    <n v="2"/>
    <n v="2"/>
    <n v="2"/>
    <s v="OK"/>
    <s v="OK"/>
    <s v="OK"/>
    <s v="OK"/>
    <x v="3"/>
    <n v="1"/>
    <n v="1"/>
    <n v="1"/>
  </r>
  <r>
    <n v="46"/>
    <s v="No"/>
    <s v="Travel_Rarely"/>
    <n v="168"/>
    <x v="0"/>
    <n v="4"/>
    <n v="2"/>
    <s v="Marketing"/>
    <n v="1"/>
    <n v="1280"/>
    <n v="4"/>
    <s v="Female"/>
    <n v="33"/>
    <n v="2"/>
    <n v="5"/>
    <x v="5"/>
    <n v="2"/>
    <s v="Married"/>
    <n v="18789"/>
    <n v="9946"/>
    <n v="2"/>
    <s v="Y"/>
    <s v="No"/>
    <n v="14"/>
    <n v="3"/>
    <n v="3"/>
    <n v="80"/>
    <n v="1"/>
    <n v="26"/>
    <n v="2"/>
    <n v="3"/>
    <n v="11"/>
    <n v="4"/>
    <n v="0"/>
    <n v="8"/>
    <s v="OK"/>
    <s v="OK"/>
    <s v="OK"/>
    <s v="OK"/>
    <x v="0"/>
    <n v="0.36363636363636365"/>
    <n v="0.18181818181818182"/>
    <n v="0.72727272727272729"/>
  </r>
  <r>
    <n v="34"/>
    <s v="No"/>
    <s v="Travel_Rarely"/>
    <n v="131"/>
    <x v="0"/>
    <n v="2"/>
    <n v="3"/>
    <s v="Marketing"/>
    <n v="1"/>
    <n v="1281"/>
    <n v="3"/>
    <s v="Female"/>
    <n v="86"/>
    <n v="3"/>
    <n v="2"/>
    <x v="0"/>
    <n v="1"/>
    <s v="Single"/>
    <n v="4538"/>
    <n v="6039"/>
    <n v="0"/>
    <s v="Y"/>
    <s v="Yes"/>
    <n v="12"/>
    <n v="3"/>
    <n v="4"/>
    <n v="80"/>
    <n v="0"/>
    <n v="4"/>
    <n v="3"/>
    <n v="3"/>
    <n v="3"/>
    <n v="2"/>
    <n v="0"/>
    <n v="2"/>
    <s v="OK"/>
    <s v="OK"/>
    <s v="OK"/>
    <s v="OK"/>
    <x v="0"/>
    <n v="0.66666666666666663"/>
    <n v="1"/>
    <n v="0.66666666666666663"/>
  </r>
  <r>
    <n v="51"/>
    <s v="No"/>
    <s v="Travel_Frequently"/>
    <n v="237"/>
    <x v="0"/>
    <n v="9"/>
    <n v="3"/>
    <s v="Life Sciences"/>
    <n v="1"/>
    <n v="1282"/>
    <n v="4"/>
    <s v="Male"/>
    <n v="83"/>
    <n v="3"/>
    <n v="5"/>
    <x v="5"/>
    <n v="2"/>
    <s v="Divorced"/>
    <n v="19847"/>
    <n v="19196"/>
    <n v="4"/>
    <s v="Y"/>
    <s v="Yes"/>
    <n v="24"/>
    <n v="4"/>
    <n v="1"/>
    <n v="80"/>
    <n v="1"/>
    <n v="31"/>
    <n v="5"/>
    <n v="2"/>
    <n v="29"/>
    <n v="10"/>
    <n v="11"/>
    <n v="10"/>
    <s v="OK"/>
    <s v="OK"/>
    <s v="OK"/>
    <s v="OK"/>
    <x v="65"/>
    <n v="0.34482758620689657"/>
    <n v="0.17241379310344829"/>
    <n v="0.34482758620689657"/>
  </r>
  <r>
    <n v="59"/>
    <s v="No"/>
    <s v="Travel_Rarely"/>
    <n v="1429"/>
    <x v="1"/>
    <n v="18"/>
    <n v="4"/>
    <s v="Medical"/>
    <n v="1"/>
    <n v="1283"/>
    <n v="4"/>
    <s v="Male"/>
    <n v="67"/>
    <n v="3"/>
    <n v="3"/>
    <x v="3"/>
    <n v="4"/>
    <s v="Single"/>
    <n v="10512"/>
    <n v="20002"/>
    <n v="6"/>
    <s v="Y"/>
    <s v="No"/>
    <n v="12"/>
    <n v="3"/>
    <n v="4"/>
    <n v="80"/>
    <n v="0"/>
    <n v="25"/>
    <n v="6"/>
    <n v="2"/>
    <n v="9"/>
    <n v="7"/>
    <n v="5"/>
    <n v="4"/>
    <s v="OK"/>
    <s v="OK"/>
    <s v="OK"/>
    <s v="OK"/>
    <x v="52"/>
    <n v="0.77777777777777779"/>
    <n v="0.66666666666666663"/>
    <n v="0.44444444444444442"/>
  </r>
  <r>
    <n v="34"/>
    <s v="No"/>
    <s v="Travel_Frequently"/>
    <n v="135"/>
    <x v="1"/>
    <n v="19"/>
    <n v="3"/>
    <s v="Medical"/>
    <n v="1"/>
    <n v="1285"/>
    <n v="3"/>
    <s v="Female"/>
    <n v="46"/>
    <n v="3"/>
    <n v="2"/>
    <x v="2"/>
    <n v="2"/>
    <s v="Divorced"/>
    <n v="4444"/>
    <n v="22534"/>
    <n v="4"/>
    <s v="Y"/>
    <s v="No"/>
    <n v="13"/>
    <n v="3"/>
    <n v="3"/>
    <n v="80"/>
    <n v="2"/>
    <n v="15"/>
    <n v="2"/>
    <n v="4"/>
    <n v="11"/>
    <n v="8"/>
    <n v="5"/>
    <n v="10"/>
    <s v="OK"/>
    <s v="OK"/>
    <s v="OK"/>
    <s v="OK"/>
    <x v="31"/>
    <n v="0.72727272727272729"/>
    <n v="0.18181818181818182"/>
    <n v="0.90909090909090906"/>
  </r>
  <r>
    <n v="28"/>
    <s v="No"/>
    <s v="Travel_Frequently"/>
    <n v="791"/>
    <x v="1"/>
    <n v="1"/>
    <n v="4"/>
    <s v="Medical"/>
    <n v="1"/>
    <n v="1286"/>
    <n v="4"/>
    <s v="Male"/>
    <n v="44"/>
    <n v="3"/>
    <n v="1"/>
    <x v="2"/>
    <n v="3"/>
    <s v="Single"/>
    <n v="2154"/>
    <n v="6842"/>
    <n v="0"/>
    <s v="Y"/>
    <s v="Yes"/>
    <n v="11"/>
    <n v="3"/>
    <n v="3"/>
    <n v="80"/>
    <n v="0"/>
    <n v="5"/>
    <n v="2"/>
    <n v="2"/>
    <n v="4"/>
    <n v="2"/>
    <n v="0"/>
    <n v="2"/>
    <s v="OK"/>
    <s v="OK"/>
    <s v="OK"/>
    <s v="OK"/>
    <x v="0"/>
    <n v="0.5"/>
    <n v="0.5"/>
    <n v="0.5"/>
  </r>
  <r>
    <n v="44"/>
    <s v="No"/>
    <s v="Travel_Rarely"/>
    <n v="1199"/>
    <x v="1"/>
    <n v="4"/>
    <n v="2"/>
    <s v="Life Sciences"/>
    <n v="1"/>
    <n v="1288"/>
    <n v="3"/>
    <s v="Male"/>
    <n v="92"/>
    <n v="4"/>
    <n v="5"/>
    <x v="5"/>
    <n v="1"/>
    <s v="Divorced"/>
    <n v="19190"/>
    <n v="17477"/>
    <n v="1"/>
    <s v="Y"/>
    <s v="No"/>
    <n v="14"/>
    <n v="3"/>
    <n v="4"/>
    <n v="80"/>
    <n v="2"/>
    <n v="26"/>
    <n v="4"/>
    <n v="2"/>
    <n v="25"/>
    <n v="9"/>
    <n v="14"/>
    <n v="13"/>
    <s v="OK"/>
    <s v="OK"/>
    <s v="OK"/>
    <s v="OK"/>
    <x v="96"/>
    <n v="0.36"/>
    <n v="0.16"/>
    <n v="0.52"/>
  </r>
  <r>
    <n v="34"/>
    <s v="No"/>
    <s v="Travel_Frequently"/>
    <n v="648"/>
    <x v="2"/>
    <n v="11"/>
    <n v="3"/>
    <s v="Life Sciences"/>
    <n v="1"/>
    <n v="1289"/>
    <n v="3"/>
    <s v="Male"/>
    <n v="56"/>
    <n v="2"/>
    <n v="2"/>
    <x v="8"/>
    <n v="2"/>
    <s v="Married"/>
    <n v="4490"/>
    <n v="21833"/>
    <n v="4"/>
    <s v="Y"/>
    <s v="No"/>
    <n v="11"/>
    <n v="3"/>
    <n v="4"/>
    <n v="80"/>
    <n v="2"/>
    <n v="14"/>
    <n v="5"/>
    <n v="4"/>
    <n v="10"/>
    <n v="9"/>
    <n v="1"/>
    <n v="8"/>
    <s v="OK"/>
    <s v="OK"/>
    <s v="OK"/>
    <s v="OK"/>
    <x v="1"/>
    <n v="0.9"/>
    <n v="0.5"/>
    <n v="0.8"/>
  </r>
  <r>
    <n v="35"/>
    <s v="No"/>
    <s v="Travel_Rarely"/>
    <n v="735"/>
    <x v="1"/>
    <n v="6"/>
    <n v="1"/>
    <s v="Life Sciences"/>
    <n v="1"/>
    <n v="1291"/>
    <n v="3"/>
    <s v="Male"/>
    <n v="66"/>
    <n v="3"/>
    <n v="1"/>
    <x v="1"/>
    <n v="3"/>
    <s v="Married"/>
    <n v="3506"/>
    <n v="6020"/>
    <n v="0"/>
    <s v="Y"/>
    <s v="Yes"/>
    <n v="14"/>
    <n v="3"/>
    <n v="4"/>
    <n v="80"/>
    <n v="0"/>
    <n v="4"/>
    <n v="3"/>
    <n v="3"/>
    <n v="3"/>
    <n v="2"/>
    <n v="2"/>
    <n v="2"/>
    <s v="OK"/>
    <s v="OK"/>
    <s v="OK"/>
    <s v="OK"/>
    <x v="34"/>
    <n v="0.66666666666666663"/>
    <n v="1"/>
    <n v="0.66666666666666663"/>
  </r>
  <r>
    <n v="42"/>
    <s v="No"/>
    <s v="Travel_Rarely"/>
    <n v="603"/>
    <x v="1"/>
    <n v="7"/>
    <n v="4"/>
    <s v="Medical"/>
    <n v="1"/>
    <n v="1292"/>
    <n v="2"/>
    <s v="Female"/>
    <n v="78"/>
    <n v="4"/>
    <n v="2"/>
    <x v="1"/>
    <n v="2"/>
    <s v="Married"/>
    <n v="2372"/>
    <n v="5628"/>
    <n v="6"/>
    <s v="Y"/>
    <s v="Yes"/>
    <n v="16"/>
    <n v="3"/>
    <n v="4"/>
    <n v="80"/>
    <n v="0"/>
    <n v="18"/>
    <n v="2"/>
    <n v="3"/>
    <n v="1"/>
    <n v="0"/>
    <n v="0"/>
    <n v="0"/>
    <s v="OK"/>
    <s v="OK"/>
    <s v="OK"/>
    <s v="OK"/>
    <x v="0"/>
    <n v="0"/>
    <n v="2"/>
    <n v="0"/>
  </r>
  <r>
    <n v="43"/>
    <s v="No"/>
    <s v="Travel_Rarely"/>
    <n v="531"/>
    <x v="0"/>
    <n v="4"/>
    <n v="4"/>
    <s v="Marketing"/>
    <n v="1"/>
    <n v="1293"/>
    <n v="4"/>
    <s v="Female"/>
    <n v="56"/>
    <n v="2"/>
    <n v="3"/>
    <x v="0"/>
    <n v="4"/>
    <s v="Single"/>
    <n v="10231"/>
    <n v="20364"/>
    <n v="3"/>
    <s v="Y"/>
    <s v="No"/>
    <n v="14"/>
    <n v="3"/>
    <n v="4"/>
    <n v="80"/>
    <n v="0"/>
    <n v="23"/>
    <n v="3"/>
    <n v="4"/>
    <n v="21"/>
    <n v="7"/>
    <n v="15"/>
    <n v="17"/>
    <s v="OK"/>
    <s v="OK"/>
    <s v="OK"/>
    <s v="OK"/>
    <x v="68"/>
    <n v="0.33333333333333331"/>
    <n v="0.14285714285714285"/>
    <n v="0.80952380952380953"/>
  </r>
  <r>
    <n v="36"/>
    <s v="No"/>
    <s v="Travel_Rarely"/>
    <n v="429"/>
    <x v="1"/>
    <n v="2"/>
    <n v="4"/>
    <s v="Life Sciences"/>
    <n v="1"/>
    <n v="1294"/>
    <n v="3"/>
    <s v="Female"/>
    <n v="53"/>
    <n v="3"/>
    <n v="2"/>
    <x v="3"/>
    <n v="2"/>
    <s v="Single"/>
    <n v="5410"/>
    <n v="2323"/>
    <n v="9"/>
    <s v="Y"/>
    <s v="Yes"/>
    <n v="11"/>
    <n v="3"/>
    <n v="4"/>
    <n v="80"/>
    <n v="0"/>
    <n v="18"/>
    <n v="2"/>
    <n v="3"/>
    <n v="16"/>
    <n v="14"/>
    <n v="5"/>
    <n v="12"/>
    <s v="OK"/>
    <s v="OK"/>
    <s v="OK"/>
    <s v="OK"/>
    <x v="51"/>
    <n v="0.875"/>
    <n v="0.125"/>
    <n v="0.75"/>
  </r>
  <r>
    <n v="44"/>
    <s v="Yes"/>
    <s v="Travel_Rarely"/>
    <n v="621"/>
    <x v="1"/>
    <n v="15"/>
    <n v="3"/>
    <s v="Medical"/>
    <n v="1"/>
    <n v="1295"/>
    <n v="1"/>
    <s v="Female"/>
    <n v="73"/>
    <n v="3"/>
    <n v="3"/>
    <x v="4"/>
    <n v="4"/>
    <s v="Married"/>
    <n v="7978"/>
    <n v="14075"/>
    <n v="1"/>
    <s v="Y"/>
    <s v="No"/>
    <n v="11"/>
    <n v="3"/>
    <n v="4"/>
    <n v="80"/>
    <n v="1"/>
    <n v="10"/>
    <n v="2"/>
    <n v="3"/>
    <n v="10"/>
    <n v="7"/>
    <n v="0"/>
    <n v="5"/>
    <s v="OK"/>
    <s v="OK"/>
    <s v="OK"/>
    <s v="OK"/>
    <x v="0"/>
    <n v="0.7"/>
    <n v="0.2"/>
    <n v="0.5"/>
  </r>
  <r>
    <n v="28"/>
    <s v="No"/>
    <s v="Travel_Frequently"/>
    <n v="193"/>
    <x v="1"/>
    <n v="2"/>
    <n v="3"/>
    <s v="Life Sciences"/>
    <n v="1"/>
    <n v="1296"/>
    <n v="4"/>
    <s v="Male"/>
    <n v="52"/>
    <n v="2"/>
    <n v="1"/>
    <x v="2"/>
    <n v="4"/>
    <s v="Married"/>
    <n v="3867"/>
    <n v="14222"/>
    <n v="1"/>
    <s v="Y"/>
    <s v="Yes"/>
    <n v="12"/>
    <n v="3"/>
    <n v="2"/>
    <n v="80"/>
    <n v="1"/>
    <n v="2"/>
    <n v="2"/>
    <n v="3"/>
    <n v="2"/>
    <n v="2"/>
    <n v="2"/>
    <n v="2"/>
    <s v="OK"/>
    <s v="OK"/>
    <s v="OK"/>
    <s v="OK"/>
    <x v="3"/>
    <n v="1"/>
    <n v="1"/>
    <n v="1"/>
  </r>
  <r>
    <n v="51"/>
    <s v="No"/>
    <s v="Travel_Frequently"/>
    <n v="968"/>
    <x v="1"/>
    <n v="6"/>
    <n v="2"/>
    <s v="Medical"/>
    <n v="1"/>
    <n v="1297"/>
    <n v="2"/>
    <s v="Female"/>
    <n v="40"/>
    <n v="2"/>
    <n v="1"/>
    <x v="2"/>
    <n v="3"/>
    <s v="Single"/>
    <n v="2838"/>
    <n v="4257"/>
    <n v="0"/>
    <s v="Y"/>
    <s v="No"/>
    <n v="14"/>
    <n v="3"/>
    <n v="2"/>
    <n v="80"/>
    <n v="0"/>
    <n v="8"/>
    <n v="6"/>
    <n v="2"/>
    <n v="7"/>
    <n v="0"/>
    <n v="7"/>
    <n v="7"/>
    <s v="OK"/>
    <s v="OK"/>
    <s v="OK"/>
    <s v="OK"/>
    <x v="3"/>
    <n v="0"/>
    <n v="0.8571428571428571"/>
    <n v="1"/>
  </r>
  <r>
    <n v="30"/>
    <s v="No"/>
    <s v="Non-Travel"/>
    <n v="879"/>
    <x v="1"/>
    <n v="9"/>
    <n v="2"/>
    <s v="Medical"/>
    <n v="1"/>
    <n v="1298"/>
    <n v="3"/>
    <s v="Female"/>
    <n v="72"/>
    <n v="3"/>
    <n v="2"/>
    <x v="3"/>
    <n v="3"/>
    <s v="Single"/>
    <n v="4695"/>
    <n v="12858"/>
    <n v="7"/>
    <s v="Y"/>
    <s v="Yes"/>
    <n v="18"/>
    <n v="3"/>
    <n v="3"/>
    <n v="80"/>
    <n v="0"/>
    <n v="10"/>
    <n v="3"/>
    <n v="3"/>
    <n v="8"/>
    <n v="4"/>
    <n v="1"/>
    <n v="7"/>
    <s v="OK"/>
    <s v="OK"/>
    <s v="OK"/>
    <s v="OK"/>
    <x v="33"/>
    <n v="0.5"/>
    <n v="0.375"/>
    <n v="0.875"/>
  </r>
  <r>
    <n v="29"/>
    <s v="Yes"/>
    <s v="Travel_Rarely"/>
    <n v="806"/>
    <x v="1"/>
    <n v="7"/>
    <n v="3"/>
    <s v="Technical Degree"/>
    <n v="1"/>
    <n v="1299"/>
    <n v="2"/>
    <s v="Female"/>
    <n v="39"/>
    <n v="3"/>
    <n v="1"/>
    <x v="2"/>
    <n v="3"/>
    <s v="Divorced"/>
    <n v="3339"/>
    <n v="17285"/>
    <n v="3"/>
    <s v="Y"/>
    <s v="Yes"/>
    <n v="13"/>
    <n v="3"/>
    <n v="1"/>
    <n v="80"/>
    <n v="2"/>
    <n v="10"/>
    <n v="2"/>
    <n v="3"/>
    <n v="7"/>
    <n v="7"/>
    <n v="7"/>
    <n v="7"/>
    <s v="OK"/>
    <s v="OK"/>
    <s v="OK"/>
    <s v="OK"/>
    <x v="3"/>
    <n v="1"/>
    <n v="0.2857142857142857"/>
    <n v="1"/>
  </r>
  <r>
    <n v="28"/>
    <s v="No"/>
    <s v="Travel_Rarely"/>
    <n v="640"/>
    <x v="1"/>
    <n v="1"/>
    <n v="3"/>
    <s v="Technical Degree"/>
    <n v="1"/>
    <n v="1301"/>
    <n v="4"/>
    <s v="Male"/>
    <n v="84"/>
    <n v="3"/>
    <n v="1"/>
    <x v="1"/>
    <n v="1"/>
    <s v="Single"/>
    <n v="2080"/>
    <n v="4732"/>
    <n v="2"/>
    <s v="Y"/>
    <s v="No"/>
    <n v="11"/>
    <n v="3"/>
    <n v="2"/>
    <n v="80"/>
    <n v="0"/>
    <n v="5"/>
    <n v="2"/>
    <n v="2"/>
    <n v="3"/>
    <n v="2"/>
    <n v="1"/>
    <n v="2"/>
    <s v="OK"/>
    <s v="OK"/>
    <s v="OK"/>
    <s v="OK"/>
    <x v="9"/>
    <n v="0.66666666666666663"/>
    <n v="0.66666666666666663"/>
    <n v="0.66666666666666663"/>
  </r>
  <r>
    <n v="25"/>
    <s v="No"/>
    <s v="Travel_Rarely"/>
    <n v="266"/>
    <x v="1"/>
    <n v="1"/>
    <n v="3"/>
    <s v="Medical"/>
    <n v="1"/>
    <n v="1303"/>
    <n v="4"/>
    <s v="Female"/>
    <n v="40"/>
    <n v="3"/>
    <n v="1"/>
    <x v="1"/>
    <n v="2"/>
    <s v="Single"/>
    <n v="2096"/>
    <n v="18830"/>
    <n v="1"/>
    <s v="Y"/>
    <s v="No"/>
    <n v="18"/>
    <n v="3"/>
    <n v="4"/>
    <n v="80"/>
    <n v="0"/>
    <n v="2"/>
    <n v="3"/>
    <n v="2"/>
    <n v="2"/>
    <n v="2"/>
    <n v="2"/>
    <n v="1"/>
    <s v="OK"/>
    <s v="OK"/>
    <s v="OK"/>
    <s v="OK"/>
    <x v="3"/>
    <n v="1"/>
    <n v="1.5"/>
    <n v="0.5"/>
  </r>
  <r>
    <n v="32"/>
    <s v="No"/>
    <s v="Travel_Rarely"/>
    <n v="604"/>
    <x v="0"/>
    <n v="8"/>
    <n v="3"/>
    <s v="Medical"/>
    <n v="1"/>
    <n v="1304"/>
    <n v="3"/>
    <s v="Male"/>
    <n v="56"/>
    <n v="4"/>
    <n v="2"/>
    <x v="0"/>
    <n v="4"/>
    <s v="Married"/>
    <n v="6209"/>
    <n v="11693"/>
    <n v="1"/>
    <s v="Y"/>
    <s v="No"/>
    <n v="15"/>
    <n v="3"/>
    <n v="3"/>
    <n v="80"/>
    <n v="2"/>
    <n v="10"/>
    <n v="4"/>
    <n v="4"/>
    <n v="10"/>
    <n v="7"/>
    <n v="0"/>
    <n v="8"/>
    <s v="OK"/>
    <s v="OK"/>
    <s v="OK"/>
    <s v="OK"/>
    <x v="0"/>
    <n v="0.7"/>
    <n v="0.4"/>
    <n v="0.8"/>
  </r>
  <r>
    <n v="45"/>
    <s v="No"/>
    <s v="Travel_Frequently"/>
    <n v="364"/>
    <x v="1"/>
    <n v="25"/>
    <n v="3"/>
    <s v="Medical"/>
    <n v="1"/>
    <n v="1306"/>
    <n v="2"/>
    <s v="Female"/>
    <n v="83"/>
    <n v="3"/>
    <n v="5"/>
    <x v="5"/>
    <n v="2"/>
    <s v="Single"/>
    <n v="18061"/>
    <n v="13035"/>
    <n v="3"/>
    <s v="Y"/>
    <s v="No"/>
    <n v="22"/>
    <n v="4"/>
    <n v="3"/>
    <n v="80"/>
    <n v="0"/>
    <n v="22"/>
    <n v="4"/>
    <n v="3"/>
    <n v="0"/>
    <n v="0"/>
    <n v="0"/>
    <n v="0"/>
    <s v="OK"/>
    <s v="OK"/>
    <s v="OK"/>
    <s v="OK"/>
    <x v="0"/>
    <n v="0"/>
    <n v="0"/>
    <n v="0"/>
  </r>
  <r>
    <n v="39"/>
    <s v="No"/>
    <s v="Travel_Rarely"/>
    <n v="412"/>
    <x v="1"/>
    <n v="13"/>
    <n v="4"/>
    <s v="Medical"/>
    <n v="1"/>
    <n v="1307"/>
    <n v="3"/>
    <s v="Female"/>
    <n v="94"/>
    <n v="2"/>
    <n v="4"/>
    <x v="5"/>
    <n v="2"/>
    <s v="Divorced"/>
    <n v="17123"/>
    <n v="17334"/>
    <n v="6"/>
    <s v="Y"/>
    <s v="Yes"/>
    <n v="13"/>
    <n v="3"/>
    <n v="4"/>
    <n v="80"/>
    <n v="2"/>
    <n v="21"/>
    <n v="4"/>
    <n v="3"/>
    <n v="19"/>
    <n v="9"/>
    <n v="15"/>
    <n v="2"/>
    <s v="OK"/>
    <s v="OK"/>
    <s v="OK"/>
    <s v="OK"/>
    <x v="97"/>
    <n v="0.47368421052631576"/>
    <n v="0.21052631578947367"/>
    <n v="0.10526315789473684"/>
  </r>
  <r>
    <n v="58"/>
    <s v="No"/>
    <s v="Travel_Rarely"/>
    <n v="848"/>
    <x v="1"/>
    <n v="23"/>
    <n v="4"/>
    <s v="Life Sciences"/>
    <n v="1"/>
    <n v="1308"/>
    <n v="1"/>
    <s v="Male"/>
    <n v="88"/>
    <n v="3"/>
    <n v="1"/>
    <x v="1"/>
    <n v="3"/>
    <s v="Divorced"/>
    <n v="2372"/>
    <n v="26076"/>
    <n v="1"/>
    <s v="Y"/>
    <s v="No"/>
    <n v="12"/>
    <n v="3"/>
    <n v="4"/>
    <n v="80"/>
    <n v="2"/>
    <n v="2"/>
    <n v="3"/>
    <n v="3"/>
    <n v="2"/>
    <n v="2"/>
    <n v="2"/>
    <n v="2"/>
    <s v="OK"/>
    <s v="OK"/>
    <s v="OK"/>
    <s v="OK"/>
    <x v="3"/>
    <n v="1"/>
    <n v="1.5"/>
    <n v="1"/>
  </r>
  <r>
    <n v="32"/>
    <s v="Yes"/>
    <s v="Travel_Rarely"/>
    <n v="1089"/>
    <x v="1"/>
    <n v="7"/>
    <n v="2"/>
    <s v="Life Sciences"/>
    <n v="1"/>
    <n v="1309"/>
    <n v="4"/>
    <s v="Male"/>
    <n v="79"/>
    <n v="3"/>
    <n v="2"/>
    <x v="2"/>
    <n v="3"/>
    <s v="Married"/>
    <n v="4883"/>
    <n v="22845"/>
    <n v="1"/>
    <s v="Y"/>
    <s v="No"/>
    <n v="18"/>
    <n v="3"/>
    <n v="1"/>
    <n v="80"/>
    <n v="1"/>
    <n v="10"/>
    <n v="3"/>
    <n v="3"/>
    <n v="10"/>
    <n v="4"/>
    <n v="1"/>
    <n v="1"/>
    <s v="OK"/>
    <s v="OK"/>
    <s v="OK"/>
    <s v="OK"/>
    <x v="1"/>
    <n v="0.4"/>
    <n v="0.3"/>
    <n v="0.1"/>
  </r>
  <r>
    <n v="39"/>
    <s v="Yes"/>
    <s v="Travel_Rarely"/>
    <n v="360"/>
    <x v="1"/>
    <n v="23"/>
    <n v="3"/>
    <s v="Medical"/>
    <n v="1"/>
    <n v="1310"/>
    <n v="3"/>
    <s v="Male"/>
    <n v="93"/>
    <n v="3"/>
    <n v="1"/>
    <x v="1"/>
    <n v="1"/>
    <s v="Single"/>
    <n v="3904"/>
    <n v="22154"/>
    <n v="0"/>
    <s v="Y"/>
    <s v="No"/>
    <n v="13"/>
    <n v="3"/>
    <n v="1"/>
    <n v="80"/>
    <n v="0"/>
    <n v="6"/>
    <n v="2"/>
    <n v="3"/>
    <n v="5"/>
    <n v="2"/>
    <n v="0"/>
    <n v="3"/>
    <s v="OK"/>
    <s v="OK"/>
    <s v="OK"/>
    <s v="OK"/>
    <x v="0"/>
    <n v="0.4"/>
    <n v="0.4"/>
    <n v="0.6"/>
  </r>
  <r>
    <n v="30"/>
    <s v="No"/>
    <s v="Travel_Rarely"/>
    <n v="1138"/>
    <x v="1"/>
    <n v="6"/>
    <n v="3"/>
    <s v="Technical Degree"/>
    <n v="1"/>
    <n v="1311"/>
    <n v="1"/>
    <s v="Female"/>
    <n v="48"/>
    <n v="2"/>
    <n v="2"/>
    <x v="2"/>
    <n v="4"/>
    <s v="Married"/>
    <n v="4627"/>
    <n v="23631"/>
    <n v="0"/>
    <s v="Y"/>
    <s v="No"/>
    <n v="12"/>
    <n v="3"/>
    <n v="1"/>
    <n v="80"/>
    <n v="1"/>
    <n v="10"/>
    <n v="6"/>
    <n v="3"/>
    <n v="9"/>
    <n v="2"/>
    <n v="6"/>
    <n v="7"/>
    <s v="OK"/>
    <s v="OK"/>
    <s v="OK"/>
    <s v="OK"/>
    <x v="34"/>
    <n v="0.22222222222222221"/>
    <n v="0.66666666666666663"/>
    <n v="0.77777777777777779"/>
  </r>
  <r>
    <n v="36"/>
    <s v="No"/>
    <s v="Travel_Rarely"/>
    <n v="325"/>
    <x v="1"/>
    <n v="10"/>
    <n v="4"/>
    <s v="Technical Degree"/>
    <n v="1"/>
    <n v="1312"/>
    <n v="4"/>
    <s v="Female"/>
    <n v="63"/>
    <n v="3"/>
    <n v="3"/>
    <x v="4"/>
    <n v="3"/>
    <s v="Married"/>
    <n v="7094"/>
    <n v="5747"/>
    <n v="3"/>
    <s v="Y"/>
    <s v="No"/>
    <n v="12"/>
    <n v="3"/>
    <n v="1"/>
    <n v="80"/>
    <n v="0"/>
    <n v="10"/>
    <n v="0"/>
    <n v="3"/>
    <n v="7"/>
    <n v="7"/>
    <n v="1"/>
    <n v="7"/>
    <s v="OK"/>
    <s v="OK"/>
    <s v="OK"/>
    <s v="OK"/>
    <x v="20"/>
    <n v="1"/>
    <n v="0"/>
    <n v="1"/>
  </r>
  <r>
    <n v="46"/>
    <s v="No"/>
    <s v="Travel_Rarely"/>
    <n v="991"/>
    <x v="2"/>
    <n v="1"/>
    <n v="2"/>
    <s v="Life Sciences"/>
    <n v="1"/>
    <n v="1314"/>
    <n v="4"/>
    <s v="Female"/>
    <n v="44"/>
    <n v="3"/>
    <n v="1"/>
    <x v="8"/>
    <n v="1"/>
    <s v="Single"/>
    <n v="3423"/>
    <n v="22957"/>
    <n v="6"/>
    <s v="Y"/>
    <s v="No"/>
    <n v="12"/>
    <n v="3"/>
    <n v="3"/>
    <n v="80"/>
    <n v="0"/>
    <n v="10"/>
    <n v="3"/>
    <n v="4"/>
    <n v="7"/>
    <n v="6"/>
    <n v="5"/>
    <n v="7"/>
    <s v="OK"/>
    <s v="OK"/>
    <s v="OK"/>
    <s v="OK"/>
    <x v="68"/>
    <n v="0.8571428571428571"/>
    <n v="0.42857142857142855"/>
    <n v="1"/>
  </r>
  <r>
    <n v="28"/>
    <s v="No"/>
    <s v="Non-Travel"/>
    <n v="1476"/>
    <x v="1"/>
    <n v="1"/>
    <n v="3"/>
    <s v="Life Sciences"/>
    <n v="1"/>
    <n v="1315"/>
    <n v="3"/>
    <s v="Female"/>
    <n v="55"/>
    <n v="1"/>
    <n v="2"/>
    <x v="2"/>
    <n v="4"/>
    <s v="Married"/>
    <n v="6674"/>
    <n v="16392"/>
    <n v="0"/>
    <s v="Y"/>
    <s v="No"/>
    <n v="11"/>
    <n v="3"/>
    <n v="1"/>
    <n v="80"/>
    <n v="3"/>
    <n v="10"/>
    <n v="6"/>
    <n v="3"/>
    <n v="9"/>
    <n v="8"/>
    <n v="7"/>
    <n v="5"/>
    <s v="OK"/>
    <s v="OK"/>
    <s v="OK"/>
    <s v="OK"/>
    <x v="21"/>
    <n v="0.88888888888888884"/>
    <n v="0.66666666666666663"/>
    <n v="0.55555555555555558"/>
  </r>
  <r>
    <n v="50"/>
    <s v="No"/>
    <s v="Travel_Rarely"/>
    <n v="1322"/>
    <x v="1"/>
    <n v="28"/>
    <n v="3"/>
    <s v="Life Sciences"/>
    <n v="1"/>
    <n v="1317"/>
    <n v="4"/>
    <s v="Female"/>
    <n v="43"/>
    <n v="3"/>
    <n v="4"/>
    <x v="7"/>
    <n v="1"/>
    <s v="Married"/>
    <n v="16880"/>
    <n v="22422"/>
    <n v="4"/>
    <s v="Y"/>
    <s v="Yes"/>
    <n v="11"/>
    <n v="3"/>
    <n v="2"/>
    <n v="80"/>
    <n v="0"/>
    <n v="25"/>
    <n v="2"/>
    <n v="3"/>
    <n v="3"/>
    <n v="2"/>
    <n v="1"/>
    <n v="2"/>
    <s v="OK"/>
    <s v="OK"/>
    <s v="OK"/>
    <s v="OK"/>
    <x v="9"/>
    <n v="0.66666666666666663"/>
    <n v="0.66666666666666663"/>
    <n v="0.66666666666666663"/>
  </r>
  <r>
    <n v="40"/>
    <s v="Yes"/>
    <s v="Travel_Rarely"/>
    <n v="299"/>
    <x v="0"/>
    <n v="25"/>
    <n v="4"/>
    <s v="Marketing"/>
    <n v="1"/>
    <n v="1318"/>
    <n v="4"/>
    <s v="Male"/>
    <n v="57"/>
    <n v="2"/>
    <n v="3"/>
    <x v="0"/>
    <n v="2"/>
    <s v="Single"/>
    <n v="9094"/>
    <n v="17235"/>
    <n v="2"/>
    <s v="Y"/>
    <s v="Yes"/>
    <n v="12"/>
    <n v="3"/>
    <n v="3"/>
    <n v="80"/>
    <n v="0"/>
    <n v="9"/>
    <n v="2"/>
    <n v="3"/>
    <n v="5"/>
    <n v="4"/>
    <n v="1"/>
    <n v="0"/>
    <s v="OK"/>
    <s v="OK"/>
    <s v="OK"/>
    <s v="OK"/>
    <x v="16"/>
    <n v="0.8"/>
    <n v="0.4"/>
    <n v="0"/>
  </r>
  <r>
    <n v="52"/>
    <s v="Yes"/>
    <s v="Travel_Rarely"/>
    <n v="1030"/>
    <x v="0"/>
    <n v="5"/>
    <n v="3"/>
    <s v="Life Sciences"/>
    <n v="1"/>
    <n v="1319"/>
    <n v="2"/>
    <s v="Male"/>
    <n v="64"/>
    <n v="3"/>
    <n v="3"/>
    <x v="0"/>
    <n v="2"/>
    <s v="Single"/>
    <n v="8446"/>
    <n v="21534"/>
    <n v="9"/>
    <s v="Y"/>
    <s v="Yes"/>
    <n v="19"/>
    <n v="3"/>
    <n v="3"/>
    <n v="80"/>
    <n v="0"/>
    <n v="10"/>
    <n v="2"/>
    <n v="2"/>
    <n v="8"/>
    <n v="7"/>
    <n v="7"/>
    <n v="7"/>
    <s v="OK"/>
    <s v="OK"/>
    <s v="OK"/>
    <s v="OK"/>
    <x v="43"/>
    <n v="0.875"/>
    <n v="0.25"/>
    <n v="0.875"/>
  </r>
  <r>
    <n v="30"/>
    <s v="No"/>
    <s v="Travel_Rarely"/>
    <n v="634"/>
    <x v="1"/>
    <n v="17"/>
    <n v="4"/>
    <s v="Medical"/>
    <n v="1"/>
    <n v="1321"/>
    <n v="2"/>
    <s v="Female"/>
    <n v="95"/>
    <n v="3"/>
    <n v="3"/>
    <x v="5"/>
    <n v="1"/>
    <s v="Married"/>
    <n v="11916"/>
    <n v="25927"/>
    <n v="1"/>
    <s v="Y"/>
    <s v="Yes"/>
    <n v="23"/>
    <n v="4"/>
    <n v="4"/>
    <n v="80"/>
    <n v="2"/>
    <n v="9"/>
    <n v="2"/>
    <n v="3"/>
    <n v="9"/>
    <n v="1"/>
    <n v="0"/>
    <n v="8"/>
    <s v="OK"/>
    <s v="OK"/>
    <s v="OK"/>
    <s v="OK"/>
    <x v="0"/>
    <n v="0.1111111111111111"/>
    <n v="0.22222222222222221"/>
    <n v="0.88888888888888884"/>
  </r>
  <r>
    <n v="39"/>
    <s v="No"/>
    <s v="Travel_Rarely"/>
    <n v="524"/>
    <x v="1"/>
    <n v="18"/>
    <n v="2"/>
    <s v="Life Sciences"/>
    <n v="1"/>
    <n v="1322"/>
    <n v="1"/>
    <s v="Male"/>
    <n v="32"/>
    <n v="3"/>
    <n v="2"/>
    <x v="3"/>
    <n v="3"/>
    <s v="Single"/>
    <n v="4534"/>
    <n v="13352"/>
    <n v="0"/>
    <s v="Y"/>
    <s v="No"/>
    <n v="11"/>
    <n v="3"/>
    <n v="1"/>
    <n v="80"/>
    <n v="0"/>
    <n v="9"/>
    <n v="6"/>
    <n v="3"/>
    <n v="8"/>
    <n v="7"/>
    <n v="1"/>
    <n v="7"/>
    <s v="OK"/>
    <s v="OK"/>
    <s v="OK"/>
    <s v="OK"/>
    <x v="33"/>
    <n v="0.875"/>
    <n v="0.75"/>
    <n v="0.875"/>
  </r>
  <r>
    <n v="31"/>
    <s v="No"/>
    <s v="Non-Travel"/>
    <n v="587"/>
    <x v="0"/>
    <n v="2"/>
    <n v="4"/>
    <s v="Life Sciences"/>
    <n v="1"/>
    <n v="1324"/>
    <n v="4"/>
    <s v="Female"/>
    <n v="57"/>
    <n v="3"/>
    <n v="3"/>
    <x v="0"/>
    <n v="3"/>
    <s v="Divorced"/>
    <n v="9852"/>
    <n v="8935"/>
    <n v="1"/>
    <s v="Y"/>
    <s v="Yes"/>
    <n v="19"/>
    <n v="3"/>
    <n v="1"/>
    <n v="80"/>
    <n v="1"/>
    <n v="10"/>
    <n v="5"/>
    <n v="2"/>
    <n v="10"/>
    <n v="8"/>
    <n v="9"/>
    <n v="6"/>
    <s v="OK"/>
    <s v="OK"/>
    <s v="OK"/>
    <s v="OK"/>
    <x v="22"/>
    <n v="0.8"/>
    <n v="0.5"/>
    <n v="0.6"/>
  </r>
  <r>
    <n v="41"/>
    <s v="No"/>
    <s v="Non-Travel"/>
    <n v="256"/>
    <x v="0"/>
    <n v="10"/>
    <n v="2"/>
    <s v="Medical"/>
    <n v="1"/>
    <n v="1329"/>
    <n v="3"/>
    <s v="Male"/>
    <n v="40"/>
    <n v="1"/>
    <n v="2"/>
    <x v="0"/>
    <n v="2"/>
    <s v="Single"/>
    <n v="6151"/>
    <n v="22074"/>
    <n v="1"/>
    <s v="Y"/>
    <s v="No"/>
    <n v="13"/>
    <n v="3"/>
    <n v="1"/>
    <n v="80"/>
    <n v="0"/>
    <n v="19"/>
    <n v="4"/>
    <n v="3"/>
    <n v="19"/>
    <n v="2"/>
    <n v="11"/>
    <n v="9"/>
    <s v="OK"/>
    <s v="OK"/>
    <s v="OK"/>
    <s v="OK"/>
    <x v="55"/>
    <n v="0.10526315789473684"/>
    <n v="0.21052631578947367"/>
    <n v="0.47368421052631576"/>
  </r>
  <r>
    <n v="31"/>
    <s v="Yes"/>
    <s v="Travel_Frequently"/>
    <n v="1060"/>
    <x v="0"/>
    <n v="1"/>
    <n v="3"/>
    <s v="Life Sciences"/>
    <n v="1"/>
    <n v="1331"/>
    <n v="4"/>
    <s v="Female"/>
    <n v="54"/>
    <n v="3"/>
    <n v="1"/>
    <x v="6"/>
    <n v="2"/>
    <s v="Single"/>
    <n v="2302"/>
    <n v="8319"/>
    <n v="1"/>
    <s v="Y"/>
    <s v="Yes"/>
    <n v="11"/>
    <n v="3"/>
    <n v="1"/>
    <n v="80"/>
    <n v="0"/>
    <n v="3"/>
    <n v="2"/>
    <n v="4"/>
    <n v="3"/>
    <n v="2"/>
    <n v="2"/>
    <n v="2"/>
    <s v="OK"/>
    <s v="OK"/>
    <s v="OK"/>
    <s v="OK"/>
    <x v="34"/>
    <n v="0.66666666666666663"/>
    <n v="0.66666666666666663"/>
    <n v="0.66666666666666663"/>
  </r>
  <r>
    <n v="44"/>
    <s v="Yes"/>
    <s v="Travel_Rarely"/>
    <n v="935"/>
    <x v="1"/>
    <n v="3"/>
    <n v="3"/>
    <s v="Life Sciences"/>
    <n v="1"/>
    <n v="1333"/>
    <n v="1"/>
    <s v="Male"/>
    <n v="89"/>
    <n v="3"/>
    <n v="1"/>
    <x v="2"/>
    <n v="1"/>
    <s v="Married"/>
    <n v="2362"/>
    <n v="14669"/>
    <n v="4"/>
    <s v="Y"/>
    <s v="No"/>
    <n v="12"/>
    <n v="3"/>
    <n v="3"/>
    <n v="80"/>
    <n v="0"/>
    <n v="10"/>
    <n v="4"/>
    <n v="4"/>
    <n v="3"/>
    <n v="2"/>
    <n v="1"/>
    <n v="2"/>
    <s v="OK"/>
    <s v="OK"/>
    <s v="OK"/>
    <s v="OK"/>
    <x v="9"/>
    <n v="0.66666666666666663"/>
    <n v="1.3333333333333333"/>
    <n v="0.66666666666666663"/>
  </r>
  <r>
    <n v="42"/>
    <s v="No"/>
    <s v="Non-Travel"/>
    <n v="495"/>
    <x v="1"/>
    <n v="2"/>
    <n v="1"/>
    <s v="Life Sciences"/>
    <n v="1"/>
    <n v="1334"/>
    <n v="3"/>
    <s v="Male"/>
    <n v="37"/>
    <n v="3"/>
    <n v="4"/>
    <x v="5"/>
    <n v="3"/>
    <s v="Married"/>
    <n v="17861"/>
    <n v="26582"/>
    <n v="0"/>
    <s v="Y"/>
    <s v="Yes"/>
    <n v="13"/>
    <n v="3"/>
    <n v="4"/>
    <n v="80"/>
    <n v="0"/>
    <n v="21"/>
    <n v="3"/>
    <n v="2"/>
    <n v="20"/>
    <n v="8"/>
    <n v="2"/>
    <n v="10"/>
    <s v="OK"/>
    <s v="OK"/>
    <s v="OK"/>
    <s v="OK"/>
    <x v="1"/>
    <n v="0.4"/>
    <n v="0.15"/>
    <n v="0.5"/>
  </r>
  <r>
    <n v="55"/>
    <s v="No"/>
    <s v="Travel_Rarely"/>
    <n v="282"/>
    <x v="1"/>
    <n v="2"/>
    <n v="2"/>
    <s v="Medical"/>
    <n v="1"/>
    <n v="1336"/>
    <n v="4"/>
    <s v="Female"/>
    <n v="58"/>
    <n v="1"/>
    <n v="5"/>
    <x v="5"/>
    <n v="3"/>
    <s v="Married"/>
    <n v="19187"/>
    <n v="6992"/>
    <n v="4"/>
    <s v="Y"/>
    <s v="No"/>
    <n v="14"/>
    <n v="3"/>
    <n v="4"/>
    <n v="80"/>
    <n v="1"/>
    <n v="23"/>
    <n v="5"/>
    <n v="3"/>
    <n v="19"/>
    <n v="9"/>
    <n v="9"/>
    <n v="11"/>
    <s v="OK"/>
    <s v="OK"/>
    <s v="OK"/>
    <s v="OK"/>
    <x v="98"/>
    <n v="0.47368421052631576"/>
    <n v="0.26315789473684209"/>
    <n v="0.57894736842105265"/>
  </r>
  <r>
    <n v="56"/>
    <s v="No"/>
    <s v="Travel_Rarely"/>
    <n v="206"/>
    <x v="2"/>
    <n v="8"/>
    <n v="4"/>
    <s v="Life Sciences"/>
    <n v="1"/>
    <n v="1338"/>
    <n v="4"/>
    <s v="Male"/>
    <n v="99"/>
    <n v="3"/>
    <n v="5"/>
    <x v="5"/>
    <n v="2"/>
    <s v="Single"/>
    <n v="19717"/>
    <n v="4022"/>
    <n v="6"/>
    <s v="Y"/>
    <s v="No"/>
    <n v="14"/>
    <n v="3"/>
    <n v="1"/>
    <n v="80"/>
    <n v="0"/>
    <n v="36"/>
    <n v="4"/>
    <n v="3"/>
    <n v="7"/>
    <n v="3"/>
    <n v="7"/>
    <n v="7"/>
    <s v="OK"/>
    <s v="OK"/>
    <s v="OK"/>
    <s v="OK"/>
    <x v="3"/>
    <n v="0.42857142857142855"/>
    <n v="0.5714285714285714"/>
    <n v="1"/>
  </r>
  <r>
    <n v="40"/>
    <s v="No"/>
    <s v="Non-Travel"/>
    <n v="458"/>
    <x v="1"/>
    <n v="16"/>
    <n v="2"/>
    <s v="Life Sciences"/>
    <n v="1"/>
    <n v="1340"/>
    <n v="3"/>
    <s v="Male"/>
    <n v="74"/>
    <n v="3"/>
    <n v="1"/>
    <x v="1"/>
    <n v="3"/>
    <s v="Divorced"/>
    <n v="3544"/>
    <n v="8532"/>
    <n v="9"/>
    <s v="Y"/>
    <s v="No"/>
    <n v="16"/>
    <n v="3"/>
    <n v="2"/>
    <n v="80"/>
    <n v="1"/>
    <n v="6"/>
    <n v="0"/>
    <n v="3"/>
    <n v="4"/>
    <n v="2"/>
    <n v="0"/>
    <n v="0"/>
    <s v="OK"/>
    <s v="OK"/>
    <s v="OK"/>
    <s v="OK"/>
    <x v="0"/>
    <n v="0.5"/>
    <n v="0"/>
    <n v="0"/>
  </r>
  <r>
    <n v="34"/>
    <s v="No"/>
    <s v="Travel_Rarely"/>
    <n v="943"/>
    <x v="1"/>
    <n v="9"/>
    <n v="3"/>
    <s v="Life Sciences"/>
    <n v="1"/>
    <n v="1344"/>
    <n v="4"/>
    <s v="Male"/>
    <n v="86"/>
    <n v="3"/>
    <n v="3"/>
    <x v="4"/>
    <n v="4"/>
    <s v="Divorced"/>
    <n v="8500"/>
    <n v="5494"/>
    <n v="0"/>
    <s v="Y"/>
    <s v="No"/>
    <n v="11"/>
    <n v="3"/>
    <n v="4"/>
    <n v="80"/>
    <n v="1"/>
    <n v="10"/>
    <n v="0"/>
    <n v="2"/>
    <n v="9"/>
    <n v="7"/>
    <n v="1"/>
    <n v="6"/>
    <s v="OK"/>
    <s v="OK"/>
    <s v="OK"/>
    <s v="OK"/>
    <x v="5"/>
    <n v="0.77777777777777779"/>
    <n v="0"/>
    <n v="0.66666666666666663"/>
  </r>
  <r>
    <n v="40"/>
    <s v="No"/>
    <s v="Travel_Rarely"/>
    <n v="523"/>
    <x v="1"/>
    <n v="2"/>
    <n v="3"/>
    <s v="Life Sciences"/>
    <n v="1"/>
    <n v="1346"/>
    <n v="3"/>
    <s v="Male"/>
    <n v="98"/>
    <n v="3"/>
    <n v="2"/>
    <x v="1"/>
    <n v="4"/>
    <s v="Single"/>
    <n v="4661"/>
    <n v="22455"/>
    <n v="1"/>
    <s v="Y"/>
    <s v="No"/>
    <n v="13"/>
    <n v="3"/>
    <n v="3"/>
    <n v="80"/>
    <n v="0"/>
    <n v="9"/>
    <n v="4"/>
    <n v="3"/>
    <n v="9"/>
    <n v="8"/>
    <n v="8"/>
    <n v="8"/>
    <s v="OK"/>
    <s v="OK"/>
    <s v="OK"/>
    <s v="OK"/>
    <x v="18"/>
    <n v="0.88888888888888884"/>
    <n v="0.44444444444444442"/>
    <n v="0.88888888888888884"/>
  </r>
  <r>
    <n v="41"/>
    <s v="No"/>
    <s v="Travel_Frequently"/>
    <n v="1018"/>
    <x v="0"/>
    <n v="1"/>
    <n v="3"/>
    <s v="Marketing"/>
    <n v="1"/>
    <n v="1349"/>
    <n v="3"/>
    <s v="Female"/>
    <n v="66"/>
    <n v="3"/>
    <n v="2"/>
    <x v="0"/>
    <n v="1"/>
    <s v="Divorced"/>
    <n v="4103"/>
    <n v="4297"/>
    <n v="0"/>
    <s v="Y"/>
    <s v="No"/>
    <n v="17"/>
    <n v="3"/>
    <n v="4"/>
    <n v="80"/>
    <n v="1"/>
    <n v="10"/>
    <n v="2"/>
    <n v="3"/>
    <n v="9"/>
    <n v="3"/>
    <n v="1"/>
    <n v="7"/>
    <s v="OK"/>
    <s v="OK"/>
    <s v="OK"/>
    <s v="OK"/>
    <x v="5"/>
    <n v="0.33333333333333331"/>
    <n v="0.22222222222222221"/>
    <n v="0.77777777777777779"/>
  </r>
  <r>
    <n v="35"/>
    <s v="No"/>
    <s v="Travel_Frequently"/>
    <n v="482"/>
    <x v="1"/>
    <n v="4"/>
    <n v="4"/>
    <s v="Life Sciences"/>
    <n v="1"/>
    <n v="1350"/>
    <n v="3"/>
    <s v="Male"/>
    <n v="87"/>
    <n v="3"/>
    <n v="2"/>
    <x v="1"/>
    <n v="3"/>
    <s v="Single"/>
    <n v="4249"/>
    <n v="2690"/>
    <n v="1"/>
    <s v="Y"/>
    <s v="Yes"/>
    <n v="11"/>
    <n v="3"/>
    <n v="2"/>
    <n v="80"/>
    <n v="0"/>
    <n v="9"/>
    <n v="3"/>
    <n v="3"/>
    <n v="9"/>
    <n v="6"/>
    <n v="1"/>
    <n v="1"/>
    <s v="OK"/>
    <s v="OK"/>
    <s v="OK"/>
    <s v="OK"/>
    <x v="5"/>
    <n v="0.66666666666666663"/>
    <n v="0.33333333333333331"/>
    <n v="0.1111111111111111"/>
  </r>
  <r>
    <n v="51"/>
    <s v="No"/>
    <s v="Travel_Rarely"/>
    <n v="770"/>
    <x v="2"/>
    <n v="5"/>
    <n v="3"/>
    <s v="Life Sciences"/>
    <n v="1"/>
    <n v="1352"/>
    <n v="3"/>
    <s v="Male"/>
    <n v="84"/>
    <n v="3"/>
    <n v="4"/>
    <x v="5"/>
    <n v="2"/>
    <s v="Divorced"/>
    <n v="14026"/>
    <n v="17588"/>
    <n v="1"/>
    <s v="Y"/>
    <s v="Yes"/>
    <n v="11"/>
    <n v="3"/>
    <n v="2"/>
    <n v="80"/>
    <n v="1"/>
    <n v="33"/>
    <n v="2"/>
    <n v="3"/>
    <n v="33"/>
    <n v="9"/>
    <n v="0"/>
    <n v="10"/>
    <s v="OK"/>
    <s v="OK"/>
    <s v="OK"/>
    <s v="OK"/>
    <x v="0"/>
    <n v="0.27272727272727271"/>
    <n v="6.0606060606060608E-2"/>
    <n v="0.30303030303030304"/>
  </r>
  <r>
    <n v="38"/>
    <s v="No"/>
    <s v="Travel_Rarely"/>
    <n v="1009"/>
    <x v="0"/>
    <n v="2"/>
    <n v="2"/>
    <s v="Life Sciences"/>
    <n v="1"/>
    <n v="1355"/>
    <n v="2"/>
    <s v="Female"/>
    <n v="31"/>
    <n v="3"/>
    <n v="2"/>
    <x v="0"/>
    <n v="1"/>
    <s v="Divorced"/>
    <n v="6893"/>
    <n v="19461"/>
    <n v="3"/>
    <s v="Y"/>
    <s v="No"/>
    <n v="15"/>
    <n v="3"/>
    <n v="4"/>
    <n v="80"/>
    <n v="1"/>
    <n v="11"/>
    <n v="3"/>
    <n v="3"/>
    <n v="7"/>
    <n v="7"/>
    <n v="1"/>
    <n v="7"/>
    <s v="OK"/>
    <s v="OK"/>
    <s v="OK"/>
    <s v="OK"/>
    <x v="20"/>
    <n v="1"/>
    <n v="0.42857142857142855"/>
    <n v="1"/>
  </r>
  <r>
    <n v="34"/>
    <s v="No"/>
    <s v="Travel_Rarely"/>
    <n v="507"/>
    <x v="0"/>
    <n v="15"/>
    <n v="2"/>
    <s v="Medical"/>
    <n v="1"/>
    <n v="1356"/>
    <n v="3"/>
    <s v="Female"/>
    <n v="66"/>
    <n v="3"/>
    <n v="2"/>
    <x v="0"/>
    <n v="1"/>
    <s v="Single"/>
    <n v="6125"/>
    <n v="23553"/>
    <n v="1"/>
    <s v="Y"/>
    <s v="No"/>
    <n v="12"/>
    <n v="3"/>
    <n v="4"/>
    <n v="80"/>
    <n v="0"/>
    <n v="10"/>
    <n v="6"/>
    <n v="4"/>
    <n v="10"/>
    <n v="8"/>
    <n v="9"/>
    <n v="6"/>
    <s v="OK"/>
    <s v="OK"/>
    <s v="OK"/>
    <s v="OK"/>
    <x v="22"/>
    <n v="0.8"/>
    <n v="0.6"/>
    <n v="0.6"/>
  </r>
  <r>
    <n v="25"/>
    <s v="No"/>
    <s v="Travel_Rarely"/>
    <n v="882"/>
    <x v="1"/>
    <n v="19"/>
    <n v="1"/>
    <s v="Medical"/>
    <n v="1"/>
    <n v="1358"/>
    <n v="4"/>
    <s v="Male"/>
    <n v="67"/>
    <n v="3"/>
    <n v="1"/>
    <x v="2"/>
    <n v="4"/>
    <s v="Married"/>
    <n v="3669"/>
    <n v="9075"/>
    <n v="3"/>
    <s v="Y"/>
    <s v="No"/>
    <n v="11"/>
    <n v="3"/>
    <n v="3"/>
    <n v="80"/>
    <n v="3"/>
    <n v="7"/>
    <n v="6"/>
    <n v="2"/>
    <n v="3"/>
    <n v="2"/>
    <n v="1"/>
    <n v="2"/>
    <s v="OK"/>
    <s v="OK"/>
    <s v="OK"/>
    <s v="OK"/>
    <x v="9"/>
    <n v="0.66666666666666663"/>
    <n v="2"/>
    <n v="0.66666666666666663"/>
  </r>
  <r>
    <n v="58"/>
    <s v="Yes"/>
    <s v="Travel_Rarely"/>
    <n v="601"/>
    <x v="1"/>
    <n v="7"/>
    <n v="4"/>
    <s v="Medical"/>
    <n v="1"/>
    <n v="1360"/>
    <n v="3"/>
    <s v="Female"/>
    <n v="53"/>
    <n v="2"/>
    <n v="3"/>
    <x v="3"/>
    <n v="1"/>
    <s v="Married"/>
    <n v="10008"/>
    <n v="12023"/>
    <n v="7"/>
    <s v="Y"/>
    <s v="Yes"/>
    <n v="14"/>
    <n v="3"/>
    <n v="4"/>
    <n v="80"/>
    <n v="0"/>
    <n v="31"/>
    <n v="0"/>
    <n v="2"/>
    <n v="10"/>
    <n v="9"/>
    <n v="5"/>
    <n v="9"/>
    <s v="OK"/>
    <s v="OK"/>
    <s v="OK"/>
    <s v="OK"/>
    <x v="7"/>
    <n v="0.9"/>
    <n v="0"/>
    <n v="0.9"/>
  </r>
  <r>
    <n v="40"/>
    <s v="No"/>
    <s v="Travel_Rarely"/>
    <n v="329"/>
    <x v="1"/>
    <n v="1"/>
    <n v="4"/>
    <s v="Life Sciences"/>
    <n v="1"/>
    <n v="1361"/>
    <n v="2"/>
    <s v="Male"/>
    <n v="88"/>
    <n v="3"/>
    <n v="1"/>
    <x v="2"/>
    <n v="2"/>
    <s v="Married"/>
    <n v="2387"/>
    <n v="6762"/>
    <n v="3"/>
    <s v="Y"/>
    <s v="No"/>
    <n v="22"/>
    <n v="4"/>
    <n v="3"/>
    <n v="80"/>
    <n v="1"/>
    <n v="7"/>
    <n v="3"/>
    <n v="3"/>
    <n v="4"/>
    <n v="2"/>
    <n v="0"/>
    <n v="3"/>
    <s v="OK"/>
    <s v="OK"/>
    <s v="OK"/>
    <s v="OK"/>
    <x v="0"/>
    <n v="0.5"/>
    <n v="0.75"/>
    <n v="0.75"/>
  </r>
  <r>
    <n v="36"/>
    <s v="No"/>
    <s v="Travel_Frequently"/>
    <n v="607"/>
    <x v="0"/>
    <n v="7"/>
    <n v="3"/>
    <s v="Marketing"/>
    <n v="1"/>
    <n v="1362"/>
    <n v="1"/>
    <s v="Female"/>
    <n v="83"/>
    <n v="4"/>
    <n v="2"/>
    <x v="0"/>
    <n v="1"/>
    <s v="Married"/>
    <n v="4639"/>
    <n v="2261"/>
    <n v="2"/>
    <s v="Y"/>
    <s v="No"/>
    <n v="16"/>
    <n v="3"/>
    <n v="4"/>
    <n v="80"/>
    <n v="1"/>
    <n v="17"/>
    <n v="2"/>
    <n v="2"/>
    <n v="15"/>
    <n v="7"/>
    <n v="6"/>
    <n v="13"/>
    <s v="OK"/>
    <s v="OK"/>
    <s v="OK"/>
    <s v="OK"/>
    <x v="46"/>
    <n v="0.46666666666666667"/>
    <n v="0.13333333333333333"/>
    <n v="0.8666666666666667"/>
  </r>
  <r>
    <n v="48"/>
    <s v="No"/>
    <s v="Travel_Rarely"/>
    <n v="855"/>
    <x v="1"/>
    <n v="4"/>
    <n v="3"/>
    <s v="Life Sciences"/>
    <n v="1"/>
    <n v="1363"/>
    <n v="4"/>
    <s v="Male"/>
    <n v="54"/>
    <n v="3"/>
    <n v="3"/>
    <x v="3"/>
    <n v="4"/>
    <s v="Single"/>
    <n v="7898"/>
    <n v="18706"/>
    <n v="1"/>
    <s v="Y"/>
    <s v="No"/>
    <n v="11"/>
    <n v="3"/>
    <n v="3"/>
    <n v="80"/>
    <n v="0"/>
    <n v="11"/>
    <n v="2"/>
    <n v="3"/>
    <n v="10"/>
    <n v="9"/>
    <n v="0"/>
    <n v="8"/>
    <s v="OK"/>
    <s v="OK"/>
    <s v="OK"/>
    <s v="OK"/>
    <x v="0"/>
    <n v="0.9"/>
    <n v="0.2"/>
    <n v="0.8"/>
  </r>
  <r>
    <n v="27"/>
    <s v="No"/>
    <s v="Travel_Rarely"/>
    <n v="1291"/>
    <x v="0"/>
    <n v="11"/>
    <n v="3"/>
    <s v="Medical"/>
    <n v="1"/>
    <n v="1364"/>
    <n v="3"/>
    <s v="Female"/>
    <n v="98"/>
    <n v="4"/>
    <n v="1"/>
    <x v="6"/>
    <n v="4"/>
    <s v="Married"/>
    <n v="2534"/>
    <n v="6527"/>
    <n v="8"/>
    <s v="Y"/>
    <s v="No"/>
    <n v="14"/>
    <n v="3"/>
    <n v="2"/>
    <n v="80"/>
    <n v="1"/>
    <n v="5"/>
    <n v="4"/>
    <n v="3"/>
    <n v="1"/>
    <n v="0"/>
    <n v="0"/>
    <n v="0"/>
    <s v="OK"/>
    <s v="OK"/>
    <s v="OK"/>
    <s v="OK"/>
    <x v="0"/>
    <n v="0"/>
    <n v="4"/>
    <n v="0"/>
  </r>
  <r>
    <n v="51"/>
    <s v="No"/>
    <s v="Travel_Rarely"/>
    <n v="1405"/>
    <x v="1"/>
    <n v="11"/>
    <n v="2"/>
    <s v="Technical Degree"/>
    <n v="1"/>
    <n v="1367"/>
    <n v="4"/>
    <s v="Female"/>
    <n v="82"/>
    <n v="2"/>
    <n v="4"/>
    <x v="3"/>
    <n v="2"/>
    <s v="Single"/>
    <n v="13142"/>
    <n v="24439"/>
    <n v="3"/>
    <s v="Y"/>
    <s v="No"/>
    <n v="16"/>
    <n v="3"/>
    <n v="2"/>
    <n v="80"/>
    <n v="0"/>
    <n v="29"/>
    <n v="1"/>
    <n v="2"/>
    <n v="5"/>
    <n v="2"/>
    <n v="0"/>
    <n v="3"/>
    <s v="OK"/>
    <s v="OK"/>
    <s v="OK"/>
    <s v="OK"/>
    <x v="0"/>
    <n v="0.4"/>
    <n v="0.2"/>
    <n v="0.6"/>
  </r>
  <r>
    <n v="18"/>
    <s v="No"/>
    <s v="Non-Travel"/>
    <n v="1124"/>
    <x v="1"/>
    <n v="1"/>
    <n v="3"/>
    <s v="Life Sciences"/>
    <n v="1"/>
    <n v="1368"/>
    <n v="4"/>
    <s v="Female"/>
    <n v="97"/>
    <n v="3"/>
    <n v="1"/>
    <x v="2"/>
    <n v="4"/>
    <s v="Single"/>
    <n v="1611"/>
    <n v="19305"/>
    <n v="1"/>
    <s v="Y"/>
    <s v="No"/>
    <n v="15"/>
    <n v="3"/>
    <n v="3"/>
    <n v="80"/>
    <n v="0"/>
    <n v="0"/>
    <n v="5"/>
    <n v="4"/>
    <n v="0"/>
    <n v="0"/>
    <n v="0"/>
    <n v="0"/>
    <s v="OK"/>
    <s v="OK"/>
    <s v="OK"/>
    <s v="OK"/>
    <x v="0"/>
    <n v="0"/>
    <n v="0"/>
    <n v="0"/>
  </r>
  <r>
    <n v="35"/>
    <s v="No"/>
    <s v="Travel_Rarely"/>
    <n v="817"/>
    <x v="1"/>
    <n v="1"/>
    <n v="3"/>
    <s v="Medical"/>
    <n v="1"/>
    <n v="1369"/>
    <n v="4"/>
    <s v="Female"/>
    <n v="60"/>
    <n v="2"/>
    <n v="2"/>
    <x v="2"/>
    <n v="4"/>
    <s v="Married"/>
    <n v="5363"/>
    <n v="10846"/>
    <n v="0"/>
    <s v="Y"/>
    <s v="No"/>
    <n v="12"/>
    <n v="3"/>
    <n v="2"/>
    <n v="80"/>
    <n v="1"/>
    <n v="10"/>
    <n v="0"/>
    <n v="3"/>
    <n v="9"/>
    <n v="7"/>
    <n v="0"/>
    <n v="0"/>
    <s v="OK"/>
    <s v="OK"/>
    <s v="OK"/>
    <s v="OK"/>
    <x v="0"/>
    <n v="0.77777777777777779"/>
    <n v="0"/>
    <n v="0"/>
  </r>
  <r>
    <n v="27"/>
    <s v="No"/>
    <s v="Travel_Frequently"/>
    <n v="793"/>
    <x v="0"/>
    <n v="2"/>
    <n v="1"/>
    <s v="Life Sciences"/>
    <n v="1"/>
    <n v="1371"/>
    <n v="4"/>
    <s v="Male"/>
    <n v="43"/>
    <n v="1"/>
    <n v="2"/>
    <x v="0"/>
    <n v="4"/>
    <s v="Single"/>
    <n v="5071"/>
    <n v="20392"/>
    <n v="3"/>
    <s v="Y"/>
    <s v="No"/>
    <n v="20"/>
    <n v="4"/>
    <n v="2"/>
    <n v="80"/>
    <n v="0"/>
    <n v="8"/>
    <n v="3"/>
    <n v="3"/>
    <n v="6"/>
    <n v="2"/>
    <n v="0"/>
    <n v="0"/>
    <s v="OK"/>
    <s v="OK"/>
    <s v="OK"/>
    <s v="OK"/>
    <x v="0"/>
    <n v="0.33333333333333331"/>
    <n v="0.5"/>
    <n v="0"/>
  </r>
  <r>
    <n v="55"/>
    <s v="Yes"/>
    <s v="Travel_Rarely"/>
    <n v="267"/>
    <x v="0"/>
    <n v="13"/>
    <n v="4"/>
    <s v="Marketing"/>
    <n v="1"/>
    <n v="1372"/>
    <n v="1"/>
    <s v="Male"/>
    <n v="85"/>
    <n v="4"/>
    <n v="4"/>
    <x v="0"/>
    <n v="3"/>
    <s v="Single"/>
    <n v="13695"/>
    <n v="9277"/>
    <n v="6"/>
    <s v="Y"/>
    <s v="Yes"/>
    <n v="17"/>
    <n v="3"/>
    <n v="3"/>
    <n v="80"/>
    <n v="0"/>
    <n v="24"/>
    <n v="2"/>
    <n v="2"/>
    <n v="19"/>
    <n v="7"/>
    <n v="3"/>
    <n v="8"/>
    <s v="OK"/>
    <s v="OK"/>
    <s v="OK"/>
    <s v="OK"/>
    <x v="99"/>
    <n v="0.36842105263157893"/>
    <n v="0.10526315789473684"/>
    <n v="0.42105263157894735"/>
  </r>
  <r>
    <n v="56"/>
    <s v="No"/>
    <s v="Travel_Rarely"/>
    <n v="1369"/>
    <x v="1"/>
    <n v="23"/>
    <n v="3"/>
    <s v="Life Sciences"/>
    <n v="1"/>
    <n v="1373"/>
    <n v="4"/>
    <s v="Male"/>
    <n v="68"/>
    <n v="3"/>
    <n v="4"/>
    <x v="3"/>
    <n v="2"/>
    <s v="Married"/>
    <n v="13402"/>
    <n v="18235"/>
    <n v="4"/>
    <s v="Y"/>
    <s v="Yes"/>
    <n v="12"/>
    <n v="3"/>
    <n v="1"/>
    <n v="80"/>
    <n v="1"/>
    <n v="33"/>
    <n v="0"/>
    <n v="3"/>
    <n v="19"/>
    <n v="16"/>
    <n v="15"/>
    <n v="9"/>
    <s v="OK"/>
    <s v="OK"/>
    <s v="OK"/>
    <s v="OK"/>
    <x v="97"/>
    <n v="0.84210526315789469"/>
    <n v="0"/>
    <n v="0.47368421052631576"/>
  </r>
  <r>
    <n v="34"/>
    <s v="No"/>
    <s v="Non-Travel"/>
    <n v="999"/>
    <x v="1"/>
    <n v="26"/>
    <n v="1"/>
    <s v="Technical Degree"/>
    <n v="1"/>
    <n v="1374"/>
    <n v="1"/>
    <s v="Female"/>
    <n v="92"/>
    <n v="2"/>
    <n v="1"/>
    <x v="1"/>
    <n v="3"/>
    <s v="Divorced"/>
    <n v="2029"/>
    <n v="15891"/>
    <n v="1"/>
    <s v="Y"/>
    <s v="No"/>
    <n v="20"/>
    <n v="4"/>
    <n v="3"/>
    <n v="80"/>
    <n v="3"/>
    <n v="5"/>
    <n v="2"/>
    <n v="3"/>
    <n v="5"/>
    <n v="4"/>
    <n v="0"/>
    <n v="0"/>
    <s v="OK"/>
    <s v="OK"/>
    <s v="OK"/>
    <s v="OK"/>
    <x v="0"/>
    <n v="0.8"/>
    <n v="0.4"/>
    <n v="0"/>
  </r>
  <r>
    <n v="40"/>
    <s v="No"/>
    <s v="Travel_Rarely"/>
    <n v="1202"/>
    <x v="1"/>
    <n v="2"/>
    <n v="1"/>
    <s v="Medical"/>
    <n v="1"/>
    <n v="1375"/>
    <n v="2"/>
    <s v="Female"/>
    <n v="89"/>
    <n v="4"/>
    <n v="2"/>
    <x v="4"/>
    <n v="3"/>
    <s v="Divorced"/>
    <n v="6377"/>
    <n v="13888"/>
    <n v="5"/>
    <s v="Y"/>
    <s v="No"/>
    <n v="20"/>
    <n v="4"/>
    <n v="2"/>
    <n v="80"/>
    <n v="3"/>
    <n v="15"/>
    <n v="0"/>
    <n v="3"/>
    <n v="12"/>
    <n v="11"/>
    <n v="11"/>
    <n v="8"/>
    <s v="OK"/>
    <s v="OK"/>
    <s v="OK"/>
    <s v="OK"/>
    <x v="87"/>
    <n v="0.91666666666666663"/>
    <n v="0"/>
    <n v="0.66666666666666663"/>
  </r>
  <r>
    <n v="34"/>
    <s v="No"/>
    <s v="Travel_Rarely"/>
    <n v="285"/>
    <x v="1"/>
    <n v="29"/>
    <n v="3"/>
    <s v="Medical"/>
    <n v="1"/>
    <n v="1377"/>
    <n v="2"/>
    <s v="Male"/>
    <n v="86"/>
    <n v="3"/>
    <n v="2"/>
    <x v="2"/>
    <n v="3"/>
    <s v="Married"/>
    <n v="5429"/>
    <n v="17491"/>
    <n v="4"/>
    <s v="Y"/>
    <s v="No"/>
    <n v="13"/>
    <n v="3"/>
    <n v="1"/>
    <n v="80"/>
    <n v="2"/>
    <n v="10"/>
    <n v="1"/>
    <n v="3"/>
    <n v="8"/>
    <n v="7"/>
    <n v="7"/>
    <n v="7"/>
    <s v="OK"/>
    <s v="OK"/>
    <s v="OK"/>
    <s v="OK"/>
    <x v="43"/>
    <n v="0.875"/>
    <n v="0.125"/>
    <n v="0.875"/>
  </r>
  <r>
    <n v="31"/>
    <s v="Yes"/>
    <s v="Travel_Frequently"/>
    <n v="703"/>
    <x v="0"/>
    <n v="2"/>
    <n v="3"/>
    <s v="Life Sciences"/>
    <n v="1"/>
    <n v="1379"/>
    <n v="3"/>
    <s v="Female"/>
    <n v="90"/>
    <n v="2"/>
    <n v="1"/>
    <x v="6"/>
    <n v="4"/>
    <s v="Single"/>
    <n v="2785"/>
    <n v="11882"/>
    <n v="7"/>
    <s v="Y"/>
    <s v="No"/>
    <n v="14"/>
    <n v="3"/>
    <n v="3"/>
    <n v="80"/>
    <n v="0"/>
    <n v="3"/>
    <n v="3"/>
    <n v="4"/>
    <n v="1"/>
    <n v="0"/>
    <n v="0"/>
    <n v="0"/>
    <s v="OK"/>
    <s v="OK"/>
    <s v="OK"/>
    <s v="OK"/>
    <x v="0"/>
    <n v="0"/>
    <n v="3"/>
    <n v="0"/>
  </r>
  <r>
    <n v="35"/>
    <s v="Yes"/>
    <s v="Travel_Frequently"/>
    <n v="662"/>
    <x v="0"/>
    <n v="18"/>
    <n v="4"/>
    <s v="Marketing"/>
    <n v="1"/>
    <n v="1380"/>
    <n v="4"/>
    <s v="Female"/>
    <n v="67"/>
    <n v="3"/>
    <n v="2"/>
    <x v="0"/>
    <n v="3"/>
    <s v="Married"/>
    <n v="4614"/>
    <n v="23288"/>
    <n v="0"/>
    <s v="Y"/>
    <s v="Yes"/>
    <n v="18"/>
    <n v="3"/>
    <n v="3"/>
    <n v="80"/>
    <n v="1"/>
    <n v="5"/>
    <n v="0"/>
    <n v="2"/>
    <n v="4"/>
    <n v="2"/>
    <n v="3"/>
    <n v="2"/>
    <s v="OK"/>
    <s v="OK"/>
    <s v="OK"/>
    <s v="OK"/>
    <x v="38"/>
    <n v="0.5"/>
    <n v="0"/>
    <n v="0.5"/>
  </r>
  <r>
    <n v="38"/>
    <s v="No"/>
    <s v="Travel_Frequently"/>
    <n v="693"/>
    <x v="1"/>
    <n v="7"/>
    <n v="3"/>
    <s v="Life Sciences"/>
    <n v="1"/>
    <n v="1382"/>
    <n v="4"/>
    <s v="Male"/>
    <n v="57"/>
    <n v="4"/>
    <n v="1"/>
    <x v="1"/>
    <n v="3"/>
    <s v="Divorced"/>
    <n v="2610"/>
    <n v="15748"/>
    <n v="1"/>
    <s v="Y"/>
    <s v="No"/>
    <n v="11"/>
    <n v="3"/>
    <n v="4"/>
    <n v="80"/>
    <n v="3"/>
    <n v="4"/>
    <n v="2"/>
    <n v="3"/>
    <n v="4"/>
    <n v="2"/>
    <n v="0"/>
    <n v="3"/>
    <s v="OK"/>
    <s v="OK"/>
    <s v="OK"/>
    <s v="OK"/>
    <x v="0"/>
    <n v="0.5"/>
    <n v="0.5"/>
    <n v="0.75"/>
  </r>
  <r>
    <n v="34"/>
    <s v="No"/>
    <s v="Travel_Rarely"/>
    <n v="404"/>
    <x v="1"/>
    <n v="2"/>
    <n v="4"/>
    <s v="Technical Degree"/>
    <n v="1"/>
    <n v="1383"/>
    <n v="3"/>
    <s v="Female"/>
    <n v="98"/>
    <n v="3"/>
    <n v="2"/>
    <x v="4"/>
    <n v="4"/>
    <s v="Single"/>
    <n v="6687"/>
    <n v="6163"/>
    <n v="1"/>
    <s v="Y"/>
    <s v="No"/>
    <n v="11"/>
    <n v="3"/>
    <n v="4"/>
    <n v="80"/>
    <n v="0"/>
    <n v="14"/>
    <n v="2"/>
    <n v="4"/>
    <n v="14"/>
    <n v="11"/>
    <n v="4"/>
    <n v="11"/>
    <s v="OK"/>
    <s v="OK"/>
    <s v="OK"/>
    <s v="OK"/>
    <x v="12"/>
    <n v="0.7857142857142857"/>
    <n v="0.14285714285714285"/>
    <n v="0.7857142857142857"/>
  </r>
  <r>
    <n v="28"/>
    <s v="No"/>
    <s v="Travel_Rarely"/>
    <n v="736"/>
    <x v="0"/>
    <n v="26"/>
    <n v="3"/>
    <s v="Life Sciences"/>
    <n v="1"/>
    <n v="1387"/>
    <n v="3"/>
    <s v="Male"/>
    <n v="48"/>
    <n v="2"/>
    <n v="2"/>
    <x v="0"/>
    <n v="1"/>
    <s v="Married"/>
    <n v="4724"/>
    <n v="24232"/>
    <n v="1"/>
    <s v="Y"/>
    <s v="No"/>
    <n v="11"/>
    <n v="3"/>
    <n v="3"/>
    <n v="80"/>
    <n v="1"/>
    <n v="5"/>
    <n v="0"/>
    <n v="3"/>
    <n v="5"/>
    <n v="3"/>
    <n v="0"/>
    <n v="4"/>
    <s v="OK"/>
    <s v="OK"/>
    <s v="OK"/>
    <s v="OK"/>
    <x v="0"/>
    <n v="0.6"/>
    <n v="0"/>
    <n v="0.8"/>
  </r>
  <r>
    <n v="31"/>
    <s v="Yes"/>
    <s v="Travel_Rarely"/>
    <n v="330"/>
    <x v="1"/>
    <n v="22"/>
    <n v="4"/>
    <s v="Medical"/>
    <n v="1"/>
    <n v="1389"/>
    <n v="4"/>
    <s v="Male"/>
    <n v="98"/>
    <n v="3"/>
    <n v="2"/>
    <x v="3"/>
    <n v="3"/>
    <s v="Married"/>
    <n v="6179"/>
    <n v="21057"/>
    <n v="1"/>
    <s v="Y"/>
    <s v="Yes"/>
    <n v="15"/>
    <n v="3"/>
    <n v="4"/>
    <n v="80"/>
    <n v="2"/>
    <n v="10"/>
    <n v="3"/>
    <n v="2"/>
    <n v="10"/>
    <n v="2"/>
    <n v="6"/>
    <n v="7"/>
    <s v="OK"/>
    <s v="OK"/>
    <s v="OK"/>
    <s v="OK"/>
    <x v="13"/>
    <n v="0.2"/>
    <n v="0.3"/>
    <n v="0.7"/>
  </r>
  <r>
    <n v="39"/>
    <s v="No"/>
    <s v="Travel_Rarely"/>
    <n v="1498"/>
    <x v="0"/>
    <n v="21"/>
    <n v="4"/>
    <s v="Life Sciences"/>
    <n v="1"/>
    <n v="1390"/>
    <n v="1"/>
    <s v="Male"/>
    <n v="44"/>
    <n v="2"/>
    <n v="2"/>
    <x v="0"/>
    <n v="4"/>
    <s v="Married"/>
    <n v="6120"/>
    <n v="3567"/>
    <n v="3"/>
    <s v="Y"/>
    <s v="Yes"/>
    <n v="12"/>
    <n v="3"/>
    <n v="4"/>
    <n v="80"/>
    <n v="2"/>
    <n v="8"/>
    <n v="2"/>
    <n v="4"/>
    <n v="5"/>
    <n v="4"/>
    <n v="1"/>
    <n v="4"/>
    <s v="OK"/>
    <s v="OK"/>
    <s v="OK"/>
    <s v="OK"/>
    <x v="16"/>
    <n v="0.8"/>
    <n v="0.4"/>
    <n v="0.8"/>
  </r>
  <r>
    <n v="51"/>
    <s v="No"/>
    <s v="Travel_Frequently"/>
    <n v="541"/>
    <x v="0"/>
    <n v="2"/>
    <n v="3"/>
    <s v="Marketing"/>
    <n v="1"/>
    <n v="1391"/>
    <n v="2"/>
    <s v="Male"/>
    <n v="52"/>
    <n v="3"/>
    <n v="3"/>
    <x v="0"/>
    <n v="2"/>
    <s v="Married"/>
    <n v="10596"/>
    <n v="15395"/>
    <n v="2"/>
    <s v="Y"/>
    <s v="No"/>
    <n v="11"/>
    <n v="3"/>
    <n v="2"/>
    <n v="80"/>
    <n v="0"/>
    <n v="14"/>
    <n v="5"/>
    <n v="3"/>
    <n v="4"/>
    <n v="2"/>
    <n v="3"/>
    <n v="2"/>
    <s v="OK"/>
    <s v="OK"/>
    <s v="OK"/>
    <s v="OK"/>
    <x v="38"/>
    <n v="0.5"/>
    <n v="1.25"/>
    <n v="0.5"/>
  </r>
  <r>
    <n v="41"/>
    <s v="No"/>
    <s v="Travel_Frequently"/>
    <n v="1200"/>
    <x v="1"/>
    <n v="22"/>
    <n v="3"/>
    <s v="Life Sciences"/>
    <n v="1"/>
    <n v="1392"/>
    <n v="4"/>
    <s v="Female"/>
    <n v="75"/>
    <n v="3"/>
    <n v="2"/>
    <x v="1"/>
    <n v="4"/>
    <s v="Divorced"/>
    <n v="5467"/>
    <n v="13953"/>
    <n v="3"/>
    <s v="Y"/>
    <s v="Yes"/>
    <n v="14"/>
    <n v="3"/>
    <n v="1"/>
    <n v="80"/>
    <n v="2"/>
    <n v="12"/>
    <n v="4"/>
    <n v="2"/>
    <n v="6"/>
    <n v="2"/>
    <n v="3"/>
    <n v="3"/>
    <s v="OK"/>
    <s v="OK"/>
    <s v="OK"/>
    <s v="OK"/>
    <x v="7"/>
    <n v="0.33333333333333331"/>
    <n v="0.66666666666666663"/>
    <n v="0.5"/>
  </r>
  <r>
    <n v="37"/>
    <s v="No"/>
    <s v="Travel_Rarely"/>
    <n v="1439"/>
    <x v="1"/>
    <n v="4"/>
    <n v="1"/>
    <s v="Life Sciences"/>
    <n v="1"/>
    <n v="1394"/>
    <n v="3"/>
    <s v="Male"/>
    <n v="54"/>
    <n v="3"/>
    <n v="1"/>
    <x v="1"/>
    <n v="3"/>
    <s v="Married"/>
    <n v="2996"/>
    <n v="5182"/>
    <n v="7"/>
    <s v="Y"/>
    <s v="Yes"/>
    <n v="15"/>
    <n v="3"/>
    <n v="4"/>
    <n v="80"/>
    <n v="0"/>
    <n v="8"/>
    <n v="2"/>
    <n v="3"/>
    <n v="6"/>
    <n v="4"/>
    <n v="1"/>
    <n v="3"/>
    <s v="OK"/>
    <s v="OK"/>
    <s v="OK"/>
    <s v="OK"/>
    <x v="11"/>
    <n v="0.66666666666666663"/>
    <n v="0.33333333333333331"/>
    <n v="0.5"/>
  </r>
  <r>
    <n v="33"/>
    <s v="No"/>
    <s v="Travel_Frequently"/>
    <n v="1111"/>
    <x v="0"/>
    <n v="5"/>
    <n v="1"/>
    <s v="Life Sciences"/>
    <n v="1"/>
    <n v="1395"/>
    <n v="2"/>
    <s v="Male"/>
    <n v="61"/>
    <n v="3"/>
    <n v="2"/>
    <x v="0"/>
    <n v="4"/>
    <s v="Married"/>
    <n v="9998"/>
    <n v="19293"/>
    <n v="6"/>
    <s v="Y"/>
    <s v="No"/>
    <n v="13"/>
    <n v="3"/>
    <n v="1"/>
    <n v="80"/>
    <n v="0"/>
    <n v="8"/>
    <n v="2"/>
    <n v="4"/>
    <n v="5"/>
    <n v="4"/>
    <n v="1"/>
    <n v="2"/>
    <s v="OK"/>
    <s v="OK"/>
    <s v="OK"/>
    <s v="OK"/>
    <x v="16"/>
    <n v="0.8"/>
    <n v="0.4"/>
    <n v="0.4"/>
  </r>
  <r>
    <n v="32"/>
    <s v="No"/>
    <s v="Travel_Rarely"/>
    <n v="499"/>
    <x v="0"/>
    <n v="2"/>
    <n v="1"/>
    <s v="Marketing"/>
    <n v="1"/>
    <n v="1396"/>
    <n v="3"/>
    <s v="Male"/>
    <n v="36"/>
    <n v="3"/>
    <n v="2"/>
    <x v="0"/>
    <n v="2"/>
    <s v="Married"/>
    <n v="4078"/>
    <n v="20497"/>
    <n v="0"/>
    <s v="Y"/>
    <s v="Yes"/>
    <n v="13"/>
    <n v="3"/>
    <n v="1"/>
    <n v="80"/>
    <n v="3"/>
    <n v="4"/>
    <n v="3"/>
    <n v="2"/>
    <n v="3"/>
    <n v="2"/>
    <n v="1"/>
    <n v="2"/>
    <s v="OK"/>
    <s v="OK"/>
    <s v="OK"/>
    <s v="OK"/>
    <x v="9"/>
    <n v="0.66666666666666663"/>
    <n v="1"/>
    <n v="0.66666666666666663"/>
  </r>
  <r>
    <n v="39"/>
    <s v="No"/>
    <s v="Non-Travel"/>
    <n v="1485"/>
    <x v="1"/>
    <n v="25"/>
    <n v="2"/>
    <s v="Life Sciences"/>
    <n v="1"/>
    <n v="1397"/>
    <n v="3"/>
    <s v="Male"/>
    <n v="71"/>
    <n v="3"/>
    <n v="3"/>
    <x v="4"/>
    <n v="3"/>
    <s v="Married"/>
    <n v="10920"/>
    <n v="3449"/>
    <n v="3"/>
    <s v="Y"/>
    <s v="No"/>
    <n v="21"/>
    <n v="4"/>
    <n v="2"/>
    <n v="80"/>
    <n v="1"/>
    <n v="13"/>
    <n v="2"/>
    <n v="3"/>
    <n v="6"/>
    <n v="4"/>
    <n v="0"/>
    <n v="5"/>
    <s v="OK"/>
    <s v="OK"/>
    <s v="OK"/>
    <s v="OK"/>
    <x v="0"/>
    <n v="0.66666666666666663"/>
    <n v="0.33333333333333331"/>
    <n v="0.83333333333333337"/>
  </r>
  <r>
    <n v="25"/>
    <s v="No"/>
    <s v="Travel_Rarely"/>
    <n v="1372"/>
    <x v="0"/>
    <n v="18"/>
    <n v="1"/>
    <s v="Life Sciences"/>
    <n v="1"/>
    <n v="1399"/>
    <n v="1"/>
    <s v="Male"/>
    <n v="93"/>
    <n v="4"/>
    <n v="2"/>
    <x v="0"/>
    <n v="3"/>
    <s v="Married"/>
    <n v="6232"/>
    <n v="12477"/>
    <n v="2"/>
    <s v="Y"/>
    <s v="No"/>
    <n v="11"/>
    <n v="3"/>
    <n v="2"/>
    <n v="80"/>
    <n v="0"/>
    <n v="6"/>
    <n v="3"/>
    <n v="2"/>
    <n v="3"/>
    <n v="2"/>
    <n v="1"/>
    <n v="2"/>
    <s v="OK"/>
    <s v="OK"/>
    <s v="OK"/>
    <s v="OK"/>
    <x v="9"/>
    <n v="0.66666666666666663"/>
    <n v="1"/>
    <n v="0.66666666666666663"/>
  </r>
  <r>
    <n v="52"/>
    <s v="No"/>
    <s v="Travel_Frequently"/>
    <n v="322"/>
    <x v="1"/>
    <n v="28"/>
    <n v="2"/>
    <s v="Medical"/>
    <n v="1"/>
    <n v="1401"/>
    <n v="4"/>
    <s v="Female"/>
    <n v="59"/>
    <n v="4"/>
    <n v="4"/>
    <x v="3"/>
    <n v="3"/>
    <s v="Married"/>
    <n v="13247"/>
    <n v="9731"/>
    <n v="2"/>
    <s v="Y"/>
    <s v="Yes"/>
    <n v="11"/>
    <n v="3"/>
    <n v="2"/>
    <n v="80"/>
    <n v="1"/>
    <n v="24"/>
    <n v="3"/>
    <n v="2"/>
    <n v="5"/>
    <n v="3"/>
    <n v="0"/>
    <n v="2"/>
    <s v="OK"/>
    <s v="OK"/>
    <s v="OK"/>
    <s v="OK"/>
    <x v="0"/>
    <n v="0.6"/>
    <n v="0.6"/>
    <n v="0.4"/>
  </r>
  <r>
    <n v="43"/>
    <s v="No"/>
    <s v="Travel_Rarely"/>
    <n v="930"/>
    <x v="1"/>
    <n v="6"/>
    <n v="3"/>
    <s v="Medical"/>
    <n v="1"/>
    <n v="1402"/>
    <n v="1"/>
    <s v="Female"/>
    <n v="73"/>
    <n v="2"/>
    <n v="2"/>
    <x v="1"/>
    <n v="3"/>
    <s v="Single"/>
    <n v="4081"/>
    <n v="20003"/>
    <n v="1"/>
    <s v="Y"/>
    <s v="Yes"/>
    <n v="14"/>
    <n v="3"/>
    <n v="1"/>
    <n v="80"/>
    <n v="0"/>
    <n v="20"/>
    <n v="3"/>
    <n v="1"/>
    <n v="20"/>
    <n v="7"/>
    <n v="1"/>
    <n v="8"/>
    <s v="OK"/>
    <s v="OK"/>
    <s v="OK"/>
    <s v="OK"/>
    <x v="66"/>
    <n v="0.35"/>
    <n v="0.15"/>
    <n v="0.4"/>
  </r>
  <r>
    <n v="27"/>
    <s v="No"/>
    <s v="Travel_Rarely"/>
    <n v="205"/>
    <x v="0"/>
    <n v="10"/>
    <n v="3"/>
    <s v="Marketing"/>
    <n v="1"/>
    <n v="1403"/>
    <n v="4"/>
    <s v="Female"/>
    <n v="98"/>
    <n v="2"/>
    <n v="2"/>
    <x v="0"/>
    <n v="4"/>
    <s v="Married"/>
    <n v="5769"/>
    <n v="7100"/>
    <n v="1"/>
    <s v="Y"/>
    <s v="Yes"/>
    <n v="11"/>
    <n v="3"/>
    <n v="4"/>
    <n v="80"/>
    <n v="0"/>
    <n v="6"/>
    <n v="3"/>
    <n v="3"/>
    <n v="6"/>
    <n v="2"/>
    <n v="4"/>
    <n v="4"/>
    <s v="OK"/>
    <s v="OK"/>
    <s v="OK"/>
    <s v="OK"/>
    <x v="34"/>
    <n v="0.33333333333333331"/>
    <n v="0.5"/>
    <n v="0.66666666666666663"/>
  </r>
  <r>
    <n v="27"/>
    <s v="Yes"/>
    <s v="Travel_Rarely"/>
    <n v="135"/>
    <x v="1"/>
    <n v="17"/>
    <n v="4"/>
    <s v="Life Sciences"/>
    <n v="1"/>
    <n v="1405"/>
    <n v="4"/>
    <s v="Female"/>
    <n v="51"/>
    <n v="3"/>
    <n v="1"/>
    <x v="1"/>
    <n v="3"/>
    <s v="Single"/>
    <n v="2394"/>
    <n v="25681"/>
    <n v="1"/>
    <s v="Y"/>
    <s v="Yes"/>
    <n v="13"/>
    <n v="3"/>
    <n v="4"/>
    <n v="80"/>
    <n v="0"/>
    <n v="8"/>
    <n v="2"/>
    <n v="3"/>
    <n v="8"/>
    <n v="2"/>
    <n v="7"/>
    <n v="7"/>
    <s v="OK"/>
    <s v="OK"/>
    <s v="OK"/>
    <s v="OK"/>
    <x v="43"/>
    <n v="0.25"/>
    <n v="0.25"/>
    <n v="0.875"/>
  </r>
  <r>
    <n v="26"/>
    <s v="No"/>
    <s v="Travel_Rarely"/>
    <n v="683"/>
    <x v="1"/>
    <n v="2"/>
    <n v="1"/>
    <s v="Medical"/>
    <n v="1"/>
    <n v="1407"/>
    <n v="1"/>
    <s v="Male"/>
    <n v="36"/>
    <n v="2"/>
    <n v="1"/>
    <x v="1"/>
    <n v="4"/>
    <s v="Single"/>
    <n v="3904"/>
    <n v="4050"/>
    <n v="0"/>
    <s v="Y"/>
    <s v="No"/>
    <n v="12"/>
    <n v="3"/>
    <n v="4"/>
    <n v="80"/>
    <n v="0"/>
    <n v="5"/>
    <n v="2"/>
    <n v="3"/>
    <n v="4"/>
    <n v="3"/>
    <n v="1"/>
    <n v="1"/>
    <s v="OK"/>
    <s v="OK"/>
    <s v="OK"/>
    <s v="OK"/>
    <x v="10"/>
    <n v="0.75"/>
    <n v="0.5"/>
    <n v="0.25"/>
  </r>
  <r>
    <n v="42"/>
    <s v="No"/>
    <s v="Travel_Rarely"/>
    <n v="1147"/>
    <x v="2"/>
    <n v="10"/>
    <n v="3"/>
    <s v="Human Resources"/>
    <n v="1"/>
    <n v="1408"/>
    <n v="3"/>
    <s v="Female"/>
    <n v="31"/>
    <n v="3"/>
    <n v="4"/>
    <x v="5"/>
    <n v="1"/>
    <s v="Married"/>
    <n v="16799"/>
    <n v="16616"/>
    <n v="0"/>
    <s v="Y"/>
    <s v="No"/>
    <n v="14"/>
    <n v="3"/>
    <n v="3"/>
    <n v="80"/>
    <n v="1"/>
    <n v="21"/>
    <n v="5"/>
    <n v="3"/>
    <n v="20"/>
    <n v="7"/>
    <n v="0"/>
    <n v="9"/>
    <s v="OK"/>
    <s v="OK"/>
    <s v="OK"/>
    <s v="OK"/>
    <x v="0"/>
    <n v="0.35"/>
    <n v="0.25"/>
    <n v="0.45"/>
  </r>
  <r>
    <n v="52"/>
    <s v="No"/>
    <s v="Travel_Rarely"/>
    <n v="258"/>
    <x v="1"/>
    <n v="8"/>
    <n v="4"/>
    <s v="Other"/>
    <n v="1"/>
    <n v="1409"/>
    <n v="3"/>
    <s v="Female"/>
    <n v="54"/>
    <n v="3"/>
    <n v="1"/>
    <x v="2"/>
    <n v="1"/>
    <s v="Married"/>
    <n v="2950"/>
    <n v="17363"/>
    <n v="9"/>
    <s v="Y"/>
    <s v="No"/>
    <n v="13"/>
    <n v="3"/>
    <n v="3"/>
    <n v="80"/>
    <n v="0"/>
    <n v="12"/>
    <n v="2"/>
    <n v="1"/>
    <n v="5"/>
    <n v="4"/>
    <n v="0"/>
    <n v="4"/>
    <s v="OK"/>
    <s v="OK"/>
    <s v="OK"/>
    <s v="OK"/>
    <x v="0"/>
    <n v="0.8"/>
    <n v="0.4"/>
    <n v="0.8"/>
  </r>
  <r>
    <n v="37"/>
    <s v="No"/>
    <s v="Travel_Rarely"/>
    <n v="1462"/>
    <x v="1"/>
    <n v="11"/>
    <n v="3"/>
    <s v="Medical"/>
    <n v="1"/>
    <n v="1411"/>
    <n v="1"/>
    <s v="Female"/>
    <n v="94"/>
    <n v="3"/>
    <n v="1"/>
    <x v="2"/>
    <n v="3"/>
    <s v="Single"/>
    <n v="3629"/>
    <n v="19106"/>
    <n v="4"/>
    <s v="Y"/>
    <s v="No"/>
    <n v="18"/>
    <n v="3"/>
    <n v="1"/>
    <n v="80"/>
    <n v="0"/>
    <n v="8"/>
    <n v="6"/>
    <n v="3"/>
    <n v="3"/>
    <n v="2"/>
    <n v="0"/>
    <n v="2"/>
    <s v="OK"/>
    <s v="OK"/>
    <s v="OK"/>
    <s v="OK"/>
    <x v="0"/>
    <n v="0.66666666666666663"/>
    <n v="2"/>
    <n v="0.66666666666666663"/>
  </r>
  <r>
    <n v="35"/>
    <s v="No"/>
    <s v="Travel_Frequently"/>
    <n v="200"/>
    <x v="1"/>
    <n v="18"/>
    <n v="2"/>
    <s v="Life Sciences"/>
    <n v="1"/>
    <n v="1412"/>
    <n v="3"/>
    <s v="Male"/>
    <n v="60"/>
    <n v="3"/>
    <n v="3"/>
    <x v="3"/>
    <n v="4"/>
    <s v="Single"/>
    <n v="9362"/>
    <n v="19944"/>
    <n v="2"/>
    <s v="Y"/>
    <s v="No"/>
    <n v="11"/>
    <n v="3"/>
    <n v="3"/>
    <n v="80"/>
    <n v="0"/>
    <n v="10"/>
    <n v="2"/>
    <n v="3"/>
    <n v="2"/>
    <n v="2"/>
    <n v="2"/>
    <n v="2"/>
    <s v="OK"/>
    <s v="OK"/>
    <s v="OK"/>
    <s v="OK"/>
    <x v="3"/>
    <n v="1"/>
    <n v="1"/>
    <n v="1"/>
  </r>
  <r>
    <n v="25"/>
    <s v="No"/>
    <s v="Travel_Rarely"/>
    <n v="949"/>
    <x v="1"/>
    <n v="1"/>
    <n v="3"/>
    <s v="Technical Degree"/>
    <n v="1"/>
    <n v="1415"/>
    <n v="1"/>
    <s v="Male"/>
    <n v="81"/>
    <n v="3"/>
    <n v="1"/>
    <x v="2"/>
    <n v="4"/>
    <s v="Married"/>
    <n v="3229"/>
    <n v="4910"/>
    <n v="4"/>
    <s v="Y"/>
    <s v="No"/>
    <n v="11"/>
    <n v="3"/>
    <n v="2"/>
    <n v="80"/>
    <n v="1"/>
    <n v="7"/>
    <n v="2"/>
    <n v="2"/>
    <n v="3"/>
    <n v="2"/>
    <n v="0"/>
    <n v="2"/>
    <s v="OK"/>
    <s v="OK"/>
    <s v="OK"/>
    <s v="OK"/>
    <x v="0"/>
    <n v="0.66666666666666663"/>
    <n v="0.66666666666666663"/>
    <n v="0.66666666666666663"/>
  </r>
  <r>
    <n v="26"/>
    <s v="No"/>
    <s v="Travel_Rarely"/>
    <n v="652"/>
    <x v="1"/>
    <n v="7"/>
    <n v="3"/>
    <s v="Other"/>
    <n v="1"/>
    <n v="1417"/>
    <n v="3"/>
    <s v="Male"/>
    <n v="100"/>
    <n v="4"/>
    <n v="1"/>
    <x v="2"/>
    <n v="1"/>
    <s v="Single"/>
    <n v="3578"/>
    <n v="23577"/>
    <n v="0"/>
    <s v="Y"/>
    <s v="No"/>
    <n v="12"/>
    <n v="3"/>
    <n v="4"/>
    <n v="80"/>
    <n v="0"/>
    <n v="8"/>
    <n v="2"/>
    <n v="3"/>
    <n v="7"/>
    <n v="7"/>
    <n v="0"/>
    <n v="7"/>
    <s v="OK"/>
    <s v="OK"/>
    <s v="OK"/>
    <s v="OK"/>
    <x v="0"/>
    <n v="1"/>
    <n v="0.2857142857142857"/>
    <n v="1"/>
  </r>
  <r>
    <n v="29"/>
    <s v="No"/>
    <s v="Travel_Rarely"/>
    <n v="332"/>
    <x v="2"/>
    <n v="17"/>
    <n v="3"/>
    <s v="Other"/>
    <n v="1"/>
    <n v="1419"/>
    <n v="2"/>
    <s v="Male"/>
    <n v="51"/>
    <n v="2"/>
    <n v="3"/>
    <x v="8"/>
    <n v="1"/>
    <s v="Single"/>
    <n v="7988"/>
    <n v="9769"/>
    <n v="1"/>
    <s v="Y"/>
    <s v="No"/>
    <n v="13"/>
    <n v="3"/>
    <n v="1"/>
    <n v="80"/>
    <n v="0"/>
    <n v="10"/>
    <n v="3"/>
    <n v="2"/>
    <n v="10"/>
    <n v="9"/>
    <n v="0"/>
    <n v="9"/>
    <s v="OK"/>
    <s v="OK"/>
    <s v="OK"/>
    <s v="OK"/>
    <x v="0"/>
    <n v="0.9"/>
    <n v="0.3"/>
    <n v="0.9"/>
  </r>
  <r>
    <n v="49"/>
    <s v="Yes"/>
    <s v="Travel_Frequently"/>
    <n v="1475"/>
    <x v="1"/>
    <n v="28"/>
    <n v="2"/>
    <s v="Life Sciences"/>
    <n v="1"/>
    <n v="1420"/>
    <n v="1"/>
    <s v="Male"/>
    <n v="97"/>
    <n v="2"/>
    <n v="2"/>
    <x v="2"/>
    <n v="1"/>
    <s v="Single"/>
    <n v="4284"/>
    <n v="22710"/>
    <n v="3"/>
    <s v="Y"/>
    <s v="No"/>
    <n v="20"/>
    <n v="4"/>
    <n v="1"/>
    <n v="80"/>
    <n v="0"/>
    <n v="20"/>
    <n v="2"/>
    <n v="3"/>
    <n v="4"/>
    <n v="3"/>
    <n v="1"/>
    <n v="3"/>
    <s v="OK"/>
    <s v="OK"/>
    <s v="OK"/>
    <s v="OK"/>
    <x v="10"/>
    <n v="0.75"/>
    <n v="0.5"/>
    <n v="0.75"/>
  </r>
  <r>
    <n v="29"/>
    <s v="Yes"/>
    <s v="Travel_Frequently"/>
    <n v="337"/>
    <x v="1"/>
    <n v="14"/>
    <n v="1"/>
    <s v="Other"/>
    <n v="1"/>
    <n v="1421"/>
    <n v="3"/>
    <s v="Female"/>
    <n v="84"/>
    <n v="3"/>
    <n v="3"/>
    <x v="4"/>
    <n v="4"/>
    <s v="Single"/>
    <n v="7553"/>
    <n v="22930"/>
    <n v="0"/>
    <s v="Y"/>
    <s v="Yes"/>
    <n v="12"/>
    <n v="3"/>
    <n v="1"/>
    <n v="80"/>
    <n v="0"/>
    <n v="9"/>
    <n v="1"/>
    <n v="3"/>
    <n v="8"/>
    <n v="7"/>
    <n v="7"/>
    <n v="7"/>
    <s v="OK"/>
    <s v="OK"/>
    <s v="OK"/>
    <s v="OK"/>
    <x v="43"/>
    <n v="0.875"/>
    <n v="0.125"/>
    <n v="0.875"/>
  </r>
  <r>
    <n v="54"/>
    <s v="No"/>
    <s v="Travel_Rarely"/>
    <n v="971"/>
    <x v="1"/>
    <n v="1"/>
    <n v="3"/>
    <s v="Medical"/>
    <n v="1"/>
    <n v="1422"/>
    <n v="4"/>
    <s v="Female"/>
    <n v="54"/>
    <n v="3"/>
    <n v="4"/>
    <x v="7"/>
    <n v="4"/>
    <s v="Single"/>
    <n v="17328"/>
    <n v="5652"/>
    <n v="6"/>
    <s v="Y"/>
    <s v="No"/>
    <n v="19"/>
    <n v="3"/>
    <n v="4"/>
    <n v="80"/>
    <n v="0"/>
    <n v="29"/>
    <n v="3"/>
    <n v="2"/>
    <n v="20"/>
    <n v="7"/>
    <n v="12"/>
    <n v="7"/>
    <s v="OK"/>
    <s v="OK"/>
    <s v="OK"/>
    <s v="OK"/>
    <x v="13"/>
    <n v="0.35"/>
    <n v="0.15"/>
    <n v="0.35"/>
  </r>
  <r>
    <n v="58"/>
    <s v="No"/>
    <s v="Travel_Rarely"/>
    <n v="1055"/>
    <x v="1"/>
    <n v="1"/>
    <n v="3"/>
    <s v="Medical"/>
    <n v="1"/>
    <n v="1423"/>
    <n v="4"/>
    <s v="Female"/>
    <n v="76"/>
    <n v="3"/>
    <n v="5"/>
    <x v="7"/>
    <n v="1"/>
    <s v="Married"/>
    <n v="19701"/>
    <n v="22456"/>
    <n v="3"/>
    <s v="Y"/>
    <s v="Yes"/>
    <n v="21"/>
    <n v="4"/>
    <n v="3"/>
    <n v="80"/>
    <n v="1"/>
    <n v="32"/>
    <n v="3"/>
    <n v="3"/>
    <n v="9"/>
    <n v="8"/>
    <n v="1"/>
    <n v="5"/>
    <s v="OK"/>
    <s v="OK"/>
    <s v="OK"/>
    <s v="OK"/>
    <x v="5"/>
    <n v="0.88888888888888884"/>
    <n v="0.33333333333333331"/>
    <n v="0.55555555555555558"/>
  </r>
  <r>
    <n v="55"/>
    <s v="No"/>
    <s v="Travel_Rarely"/>
    <n v="1136"/>
    <x v="1"/>
    <n v="1"/>
    <n v="4"/>
    <s v="Medical"/>
    <n v="1"/>
    <n v="1424"/>
    <n v="2"/>
    <s v="Male"/>
    <n v="81"/>
    <n v="4"/>
    <n v="4"/>
    <x v="7"/>
    <n v="4"/>
    <s v="Divorced"/>
    <n v="14732"/>
    <n v="12414"/>
    <n v="2"/>
    <s v="Y"/>
    <s v="No"/>
    <n v="13"/>
    <n v="3"/>
    <n v="4"/>
    <n v="80"/>
    <n v="2"/>
    <n v="31"/>
    <n v="4"/>
    <n v="4"/>
    <n v="7"/>
    <n v="7"/>
    <n v="0"/>
    <n v="0"/>
    <s v="OK"/>
    <s v="OK"/>
    <s v="OK"/>
    <s v="OK"/>
    <x v="0"/>
    <n v="1"/>
    <n v="0.5714285714285714"/>
    <n v="0"/>
  </r>
  <r>
    <n v="36"/>
    <s v="No"/>
    <s v="Travel_Rarely"/>
    <n v="1174"/>
    <x v="0"/>
    <n v="3"/>
    <n v="4"/>
    <s v="Marketing"/>
    <n v="1"/>
    <n v="1425"/>
    <n v="1"/>
    <s v="Female"/>
    <n v="99"/>
    <n v="3"/>
    <n v="2"/>
    <x v="0"/>
    <n v="2"/>
    <s v="Single"/>
    <n v="9278"/>
    <n v="20763"/>
    <n v="3"/>
    <s v="Y"/>
    <s v="Yes"/>
    <n v="16"/>
    <n v="3"/>
    <n v="4"/>
    <n v="80"/>
    <n v="0"/>
    <n v="15"/>
    <n v="3"/>
    <n v="3"/>
    <n v="5"/>
    <n v="4"/>
    <n v="0"/>
    <n v="1"/>
    <s v="OK"/>
    <s v="OK"/>
    <s v="OK"/>
    <s v="OK"/>
    <x v="0"/>
    <n v="0.8"/>
    <n v="0.6"/>
    <n v="0.2"/>
  </r>
  <r>
    <n v="31"/>
    <s v="Yes"/>
    <s v="Travel_Frequently"/>
    <n v="667"/>
    <x v="0"/>
    <n v="1"/>
    <n v="4"/>
    <s v="Life Sciences"/>
    <n v="1"/>
    <n v="1427"/>
    <n v="2"/>
    <s v="Female"/>
    <n v="50"/>
    <n v="1"/>
    <n v="1"/>
    <x v="6"/>
    <n v="3"/>
    <s v="Single"/>
    <n v="1359"/>
    <n v="16154"/>
    <n v="1"/>
    <s v="Y"/>
    <s v="No"/>
    <n v="12"/>
    <n v="3"/>
    <n v="2"/>
    <n v="80"/>
    <n v="0"/>
    <n v="1"/>
    <n v="3"/>
    <n v="3"/>
    <n v="1"/>
    <n v="0"/>
    <n v="0"/>
    <n v="0"/>
    <s v="OK"/>
    <s v="OK"/>
    <s v="OK"/>
    <s v="OK"/>
    <x v="0"/>
    <n v="0"/>
    <n v="3"/>
    <n v="0"/>
  </r>
  <r>
    <n v="30"/>
    <s v="No"/>
    <s v="Travel_Rarely"/>
    <n v="855"/>
    <x v="0"/>
    <n v="7"/>
    <n v="4"/>
    <s v="Marketing"/>
    <n v="1"/>
    <n v="1428"/>
    <n v="4"/>
    <s v="Female"/>
    <n v="73"/>
    <n v="3"/>
    <n v="2"/>
    <x v="0"/>
    <n v="1"/>
    <s v="Divorced"/>
    <n v="4779"/>
    <n v="12761"/>
    <n v="7"/>
    <s v="Y"/>
    <s v="No"/>
    <n v="14"/>
    <n v="3"/>
    <n v="2"/>
    <n v="80"/>
    <n v="2"/>
    <n v="8"/>
    <n v="3"/>
    <n v="3"/>
    <n v="3"/>
    <n v="2"/>
    <n v="0"/>
    <n v="2"/>
    <s v="OK"/>
    <s v="OK"/>
    <s v="OK"/>
    <s v="OK"/>
    <x v="0"/>
    <n v="0.66666666666666663"/>
    <n v="1"/>
    <n v="0.66666666666666663"/>
  </r>
  <r>
    <n v="31"/>
    <s v="No"/>
    <s v="Travel_Rarely"/>
    <n v="182"/>
    <x v="1"/>
    <n v="8"/>
    <n v="5"/>
    <s v="Life Sciences"/>
    <n v="1"/>
    <n v="1430"/>
    <n v="1"/>
    <s v="Female"/>
    <n v="93"/>
    <n v="3"/>
    <n v="4"/>
    <x v="7"/>
    <n v="2"/>
    <s v="Single"/>
    <n v="16422"/>
    <n v="8847"/>
    <n v="3"/>
    <s v="Y"/>
    <s v="No"/>
    <n v="11"/>
    <n v="3"/>
    <n v="3"/>
    <n v="80"/>
    <n v="0"/>
    <n v="9"/>
    <n v="3"/>
    <n v="4"/>
    <n v="3"/>
    <n v="2"/>
    <n v="1"/>
    <n v="0"/>
    <s v="OK"/>
    <s v="OK"/>
    <s v="OK"/>
    <s v="OK"/>
    <x v="9"/>
    <n v="0.66666666666666663"/>
    <n v="1"/>
    <n v="0"/>
  </r>
  <r>
    <n v="34"/>
    <s v="No"/>
    <s v="Travel_Frequently"/>
    <n v="560"/>
    <x v="1"/>
    <n v="1"/>
    <n v="4"/>
    <s v="Other"/>
    <n v="1"/>
    <n v="1431"/>
    <n v="4"/>
    <s v="Male"/>
    <n v="91"/>
    <n v="3"/>
    <n v="1"/>
    <x v="1"/>
    <n v="1"/>
    <s v="Divorced"/>
    <n v="2996"/>
    <n v="20284"/>
    <n v="5"/>
    <s v="Y"/>
    <s v="No"/>
    <n v="14"/>
    <n v="3"/>
    <n v="3"/>
    <n v="80"/>
    <n v="2"/>
    <n v="10"/>
    <n v="2"/>
    <n v="3"/>
    <n v="4"/>
    <n v="3"/>
    <n v="1"/>
    <n v="3"/>
    <s v="OK"/>
    <s v="OK"/>
    <s v="OK"/>
    <s v="OK"/>
    <x v="10"/>
    <n v="0.75"/>
    <n v="0.5"/>
    <n v="0.75"/>
  </r>
  <r>
    <n v="31"/>
    <s v="Yes"/>
    <s v="Travel_Rarely"/>
    <n v="202"/>
    <x v="1"/>
    <n v="8"/>
    <n v="3"/>
    <s v="Life Sciences"/>
    <n v="1"/>
    <n v="1433"/>
    <n v="1"/>
    <s v="Female"/>
    <n v="34"/>
    <n v="2"/>
    <n v="1"/>
    <x v="1"/>
    <n v="2"/>
    <s v="Single"/>
    <n v="1261"/>
    <n v="22262"/>
    <n v="1"/>
    <s v="Y"/>
    <s v="No"/>
    <n v="12"/>
    <n v="3"/>
    <n v="3"/>
    <n v="80"/>
    <n v="0"/>
    <n v="1"/>
    <n v="3"/>
    <n v="4"/>
    <n v="1"/>
    <n v="0"/>
    <n v="0"/>
    <n v="0"/>
    <s v="OK"/>
    <s v="OK"/>
    <s v="OK"/>
    <s v="OK"/>
    <x v="0"/>
    <n v="0"/>
    <n v="3"/>
    <n v="0"/>
  </r>
  <r>
    <n v="27"/>
    <s v="No"/>
    <s v="Travel_Rarely"/>
    <n v="1377"/>
    <x v="1"/>
    <n v="11"/>
    <n v="1"/>
    <s v="Life Sciences"/>
    <n v="1"/>
    <n v="1434"/>
    <n v="2"/>
    <s v="Male"/>
    <n v="91"/>
    <n v="3"/>
    <n v="1"/>
    <x v="2"/>
    <n v="1"/>
    <s v="Married"/>
    <n v="2099"/>
    <n v="7679"/>
    <n v="0"/>
    <s v="Y"/>
    <s v="No"/>
    <n v="14"/>
    <n v="3"/>
    <n v="2"/>
    <n v="80"/>
    <n v="0"/>
    <n v="6"/>
    <n v="3"/>
    <n v="4"/>
    <n v="5"/>
    <n v="0"/>
    <n v="1"/>
    <n v="4"/>
    <s v="OK"/>
    <s v="OK"/>
    <s v="OK"/>
    <s v="OK"/>
    <x v="16"/>
    <n v="0"/>
    <n v="0.6"/>
    <n v="0.8"/>
  </r>
  <r>
    <n v="36"/>
    <s v="No"/>
    <s v="Travel_Rarely"/>
    <n v="172"/>
    <x v="1"/>
    <n v="4"/>
    <n v="4"/>
    <s v="Life Sciences"/>
    <n v="1"/>
    <n v="1435"/>
    <n v="1"/>
    <s v="Male"/>
    <n v="37"/>
    <n v="2"/>
    <n v="2"/>
    <x v="2"/>
    <n v="4"/>
    <s v="Single"/>
    <n v="5810"/>
    <n v="22604"/>
    <n v="1"/>
    <s v="Y"/>
    <s v="No"/>
    <n v="16"/>
    <n v="3"/>
    <n v="3"/>
    <n v="80"/>
    <n v="0"/>
    <n v="10"/>
    <n v="2"/>
    <n v="2"/>
    <n v="10"/>
    <n v="4"/>
    <n v="1"/>
    <n v="8"/>
    <s v="OK"/>
    <s v="OK"/>
    <s v="OK"/>
    <s v="OK"/>
    <x v="1"/>
    <n v="0.4"/>
    <n v="0.2"/>
    <n v="0.8"/>
  </r>
  <r>
    <n v="36"/>
    <s v="No"/>
    <s v="Travel_Rarely"/>
    <n v="329"/>
    <x v="0"/>
    <n v="16"/>
    <n v="4"/>
    <s v="Marketing"/>
    <n v="1"/>
    <n v="1436"/>
    <n v="3"/>
    <s v="Female"/>
    <n v="98"/>
    <n v="2"/>
    <n v="2"/>
    <x v="0"/>
    <n v="1"/>
    <s v="Married"/>
    <n v="5647"/>
    <n v="13494"/>
    <n v="4"/>
    <s v="Y"/>
    <s v="No"/>
    <n v="13"/>
    <n v="3"/>
    <n v="1"/>
    <n v="80"/>
    <n v="2"/>
    <n v="11"/>
    <n v="3"/>
    <n v="2"/>
    <n v="3"/>
    <n v="2"/>
    <n v="0"/>
    <n v="2"/>
    <s v="OK"/>
    <s v="OK"/>
    <s v="OK"/>
    <s v="OK"/>
    <x v="0"/>
    <n v="0.66666666666666663"/>
    <n v="1"/>
    <n v="0.66666666666666663"/>
  </r>
  <r>
    <n v="47"/>
    <s v="No"/>
    <s v="Travel_Rarely"/>
    <n v="465"/>
    <x v="1"/>
    <n v="1"/>
    <n v="3"/>
    <s v="Technical Degree"/>
    <n v="1"/>
    <n v="1438"/>
    <n v="1"/>
    <s v="Male"/>
    <n v="74"/>
    <n v="3"/>
    <n v="1"/>
    <x v="1"/>
    <n v="4"/>
    <s v="Married"/>
    <n v="3420"/>
    <n v="10205"/>
    <n v="7"/>
    <s v="Y"/>
    <s v="No"/>
    <n v="12"/>
    <n v="3"/>
    <n v="3"/>
    <n v="80"/>
    <n v="1"/>
    <n v="17"/>
    <n v="2"/>
    <n v="2"/>
    <n v="6"/>
    <n v="5"/>
    <n v="1"/>
    <n v="2"/>
    <s v="OK"/>
    <s v="OK"/>
    <s v="OK"/>
    <s v="OK"/>
    <x v="11"/>
    <n v="0.83333333333333337"/>
    <n v="0.33333333333333331"/>
    <n v="0.33333333333333331"/>
  </r>
  <r>
    <n v="25"/>
    <s v="Yes"/>
    <s v="Travel_Rarely"/>
    <n v="383"/>
    <x v="0"/>
    <n v="9"/>
    <n v="2"/>
    <s v="Life Sciences"/>
    <n v="1"/>
    <n v="1439"/>
    <n v="1"/>
    <s v="Male"/>
    <n v="68"/>
    <n v="2"/>
    <n v="1"/>
    <x v="6"/>
    <n v="1"/>
    <s v="Married"/>
    <n v="4400"/>
    <n v="15182"/>
    <n v="3"/>
    <s v="Y"/>
    <s v="No"/>
    <n v="12"/>
    <n v="3"/>
    <n v="1"/>
    <n v="80"/>
    <n v="0"/>
    <n v="6"/>
    <n v="2"/>
    <n v="3"/>
    <n v="3"/>
    <n v="2"/>
    <n v="2"/>
    <n v="2"/>
    <s v="OK"/>
    <s v="OK"/>
    <s v="OK"/>
    <s v="OK"/>
    <x v="34"/>
    <n v="0.66666666666666663"/>
    <n v="0.66666666666666663"/>
    <n v="0.66666666666666663"/>
  </r>
  <r>
    <n v="37"/>
    <s v="No"/>
    <s v="Non-Travel"/>
    <n v="1413"/>
    <x v="1"/>
    <n v="5"/>
    <n v="2"/>
    <s v="Technical Degree"/>
    <n v="1"/>
    <n v="1440"/>
    <n v="3"/>
    <s v="Male"/>
    <n v="84"/>
    <n v="4"/>
    <n v="1"/>
    <x v="2"/>
    <n v="3"/>
    <s v="Single"/>
    <n v="3500"/>
    <n v="25470"/>
    <n v="0"/>
    <s v="Y"/>
    <s v="No"/>
    <n v="14"/>
    <n v="3"/>
    <n v="1"/>
    <n v="80"/>
    <n v="0"/>
    <n v="7"/>
    <n v="2"/>
    <n v="1"/>
    <n v="6"/>
    <n v="5"/>
    <n v="1"/>
    <n v="3"/>
    <s v="OK"/>
    <s v="OK"/>
    <s v="OK"/>
    <s v="OK"/>
    <x v="11"/>
    <n v="0.83333333333333337"/>
    <n v="0.33333333333333331"/>
    <n v="0.5"/>
  </r>
  <r>
    <n v="56"/>
    <s v="No"/>
    <s v="Travel_Rarely"/>
    <n v="1255"/>
    <x v="1"/>
    <n v="1"/>
    <n v="2"/>
    <s v="Life Sciences"/>
    <n v="1"/>
    <n v="1441"/>
    <n v="1"/>
    <s v="Female"/>
    <n v="90"/>
    <n v="3"/>
    <n v="1"/>
    <x v="1"/>
    <n v="1"/>
    <s v="Married"/>
    <n v="2066"/>
    <n v="10494"/>
    <n v="2"/>
    <s v="Y"/>
    <s v="No"/>
    <n v="22"/>
    <n v="4"/>
    <n v="4"/>
    <n v="80"/>
    <n v="1"/>
    <n v="5"/>
    <n v="3"/>
    <n v="4"/>
    <n v="3"/>
    <n v="2"/>
    <n v="1"/>
    <n v="0"/>
    <s v="OK"/>
    <s v="OK"/>
    <s v="OK"/>
    <s v="OK"/>
    <x v="9"/>
    <n v="0.66666666666666663"/>
    <n v="1"/>
    <n v="0"/>
  </r>
  <r>
    <n v="47"/>
    <s v="No"/>
    <s v="Travel_Rarely"/>
    <n v="359"/>
    <x v="1"/>
    <n v="2"/>
    <n v="4"/>
    <s v="Medical"/>
    <n v="1"/>
    <n v="1443"/>
    <n v="1"/>
    <s v="Female"/>
    <n v="82"/>
    <n v="3"/>
    <n v="4"/>
    <x v="7"/>
    <n v="3"/>
    <s v="Married"/>
    <n v="17169"/>
    <n v="26703"/>
    <n v="3"/>
    <s v="Y"/>
    <s v="No"/>
    <n v="19"/>
    <n v="3"/>
    <n v="2"/>
    <n v="80"/>
    <n v="2"/>
    <n v="26"/>
    <n v="2"/>
    <n v="4"/>
    <n v="20"/>
    <n v="17"/>
    <n v="5"/>
    <n v="6"/>
    <s v="OK"/>
    <s v="OK"/>
    <s v="OK"/>
    <s v="OK"/>
    <x v="10"/>
    <n v="0.85"/>
    <n v="0.1"/>
    <n v="0.3"/>
  </r>
  <r>
    <n v="24"/>
    <s v="No"/>
    <s v="Travel_Rarely"/>
    <n v="1476"/>
    <x v="0"/>
    <n v="4"/>
    <n v="1"/>
    <s v="Medical"/>
    <n v="1"/>
    <n v="1445"/>
    <n v="4"/>
    <s v="Female"/>
    <n v="42"/>
    <n v="3"/>
    <n v="2"/>
    <x v="0"/>
    <n v="3"/>
    <s v="Married"/>
    <n v="4162"/>
    <n v="15211"/>
    <n v="1"/>
    <s v="Y"/>
    <s v="Yes"/>
    <n v="12"/>
    <n v="3"/>
    <n v="3"/>
    <n v="80"/>
    <n v="2"/>
    <n v="5"/>
    <n v="3"/>
    <n v="3"/>
    <n v="5"/>
    <n v="4"/>
    <n v="0"/>
    <n v="3"/>
    <s v="OK"/>
    <s v="OK"/>
    <s v="OK"/>
    <s v="OK"/>
    <x v="0"/>
    <n v="0.8"/>
    <n v="0.6"/>
    <n v="0.6"/>
  </r>
  <r>
    <n v="32"/>
    <s v="No"/>
    <s v="Travel_Rarely"/>
    <n v="601"/>
    <x v="0"/>
    <n v="7"/>
    <n v="5"/>
    <s v="Marketing"/>
    <n v="1"/>
    <n v="1446"/>
    <n v="4"/>
    <s v="Male"/>
    <n v="97"/>
    <n v="3"/>
    <n v="2"/>
    <x v="0"/>
    <n v="4"/>
    <s v="Married"/>
    <n v="9204"/>
    <n v="23343"/>
    <n v="4"/>
    <s v="Y"/>
    <s v="No"/>
    <n v="12"/>
    <n v="3"/>
    <n v="3"/>
    <n v="80"/>
    <n v="1"/>
    <n v="7"/>
    <n v="3"/>
    <n v="2"/>
    <n v="4"/>
    <n v="3"/>
    <n v="0"/>
    <n v="3"/>
    <s v="OK"/>
    <s v="OK"/>
    <s v="OK"/>
    <s v="OK"/>
    <x v="0"/>
    <n v="0.75"/>
    <n v="0.75"/>
    <n v="0.75"/>
  </r>
  <r>
    <n v="34"/>
    <s v="No"/>
    <s v="Travel_Rarely"/>
    <n v="401"/>
    <x v="1"/>
    <n v="1"/>
    <n v="3"/>
    <s v="Life Sciences"/>
    <n v="1"/>
    <n v="1447"/>
    <n v="4"/>
    <s v="Female"/>
    <n v="86"/>
    <n v="2"/>
    <n v="1"/>
    <x v="2"/>
    <n v="2"/>
    <s v="Married"/>
    <n v="3294"/>
    <n v="3708"/>
    <n v="5"/>
    <s v="Y"/>
    <s v="No"/>
    <n v="17"/>
    <n v="3"/>
    <n v="1"/>
    <n v="80"/>
    <n v="1"/>
    <n v="7"/>
    <n v="2"/>
    <n v="2"/>
    <n v="5"/>
    <n v="4"/>
    <n v="0"/>
    <n v="2"/>
    <s v="OK"/>
    <s v="OK"/>
    <s v="OK"/>
    <s v="OK"/>
    <x v="0"/>
    <n v="0.8"/>
    <n v="0.4"/>
    <n v="0.4"/>
  </r>
  <r>
    <n v="41"/>
    <s v="No"/>
    <s v="Travel_Rarely"/>
    <n v="1283"/>
    <x v="1"/>
    <n v="5"/>
    <n v="5"/>
    <s v="Medical"/>
    <n v="1"/>
    <n v="1448"/>
    <n v="2"/>
    <s v="Male"/>
    <n v="90"/>
    <n v="4"/>
    <n v="1"/>
    <x v="1"/>
    <n v="3"/>
    <s v="Married"/>
    <n v="2127"/>
    <n v="5561"/>
    <n v="2"/>
    <s v="Y"/>
    <s v="Yes"/>
    <n v="12"/>
    <n v="3"/>
    <n v="1"/>
    <n v="80"/>
    <n v="0"/>
    <n v="7"/>
    <n v="5"/>
    <n v="2"/>
    <n v="4"/>
    <n v="2"/>
    <n v="0"/>
    <n v="3"/>
    <s v="OK"/>
    <s v="OK"/>
    <s v="OK"/>
    <s v="OK"/>
    <x v="0"/>
    <n v="0.5"/>
    <n v="1.25"/>
    <n v="0.75"/>
  </r>
  <r>
    <n v="40"/>
    <s v="No"/>
    <s v="Non-Travel"/>
    <n v="663"/>
    <x v="1"/>
    <n v="9"/>
    <n v="4"/>
    <s v="Other"/>
    <n v="1"/>
    <n v="1449"/>
    <n v="3"/>
    <s v="Male"/>
    <n v="81"/>
    <n v="3"/>
    <n v="2"/>
    <x v="2"/>
    <n v="3"/>
    <s v="Divorced"/>
    <n v="3975"/>
    <n v="23099"/>
    <n v="3"/>
    <s v="Y"/>
    <s v="No"/>
    <n v="11"/>
    <n v="3"/>
    <n v="3"/>
    <n v="80"/>
    <n v="2"/>
    <n v="11"/>
    <n v="2"/>
    <n v="4"/>
    <n v="8"/>
    <n v="7"/>
    <n v="0"/>
    <n v="7"/>
    <s v="OK"/>
    <s v="OK"/>
    <s v="OK"/>
    <s v="OK"/>
    <x v="0"/>
    <n v="0.875"/>
    <n v="0.25"/>
    <n v="0.875"/>
  </r>
  <r>
    <n v="31"/>
    <s v="No"/>
    <s v="Travel_Rarely"/>
    <n v="326"/>
    <x v="0"/>
    <n v="8"/>
    <n v="2"/>
    <s v="Life Sciences"/>
    <n v="1"/>
    <n v="1453"/>
    <n v="1"/>
    <s v="Male"/>
    <n v="31"/>
    <n v="3"/>
    <n v="3"/>
    <x v="0"/>
    <n v="4"/>
    <s v="Divorced"/>
    <n v="10793"/>
    <n v="8386"/>
    <n v="1"/>
    <s v="Y"/>
    <s v="No"/>
    <n v="18"/>
    <n v="3"/>
    <n v="1"/>
    <n v="80"/>
    <n v="1"/>
    <n v="13"/>
    <n v="5"/>
    <n v="3"/>
    <n v="13"/>
    <n v="7"/>
    <n v="9"/>
    <n v="9"/>
    <s v="OK"/>
    <s v="OK"/>
    <s v="OK"/>
    <s v="OK"/>
    <x v="100"/>
    <n v="0.53846153846153844"/>
    <n v="0.38461538461538464"/>
    <n v="0.69230769230769229"/>
  </r>
  <r>
    <n v="46"/>
    <s v="Yes"/>
    <s v="Travel_Rarely"/>
    <n v="377"/>
    <x v="0"/>
    <n v="9"/>
    <n v="3"/>
    <s v="Marketing"/>
    <n v="1"/>
    <n v="1457"/>
    <n v="1"/>
    <s v="Male"/>
    <n v="52"/>
    <n v="3"/>
    <n v="3"/>
    <x v="0"/>
    <n v="4"/>
    <s v="Divorced"/>
    <n v="10096"/>
    <n v="15986"/>
    <n v="4"/>
    <s v="Y"/>
    <s v="No"/>
    <n v="11"/>
    <n v="3"/>
    <n v="1"/>
    <n v="80"/>
    <n v="1"/>
    <n v="28"/>
    <n v="1"/>
    <n v="4"/>
    <n v="7"/>
    <n v="7"/>
    <n v="4"/>
    <n v="3"/>
    <s v="OK"/>
    <s v="OK"/>
    <s v="OK"/>
    <s v="OK"/>
    <x v="41"/>
    <n v="1"/>
    <n v="0.14285714285714285"/>
    <n v="0.42857142857142855"/>
  </r>
  <r>
    <n v="39"/>
    <s v="Yes"/>
    <s v="Non-Travel"/>
    <n v="592"/>
    <x v="1"/>
    <n v="2"/>
    <n v="3"/>
    <s v="Life Sciences"/>
    <n v="1"/>
    <n v="1458"/>
    <n v="1"/>
    <s v="Female"/>
    <n v="54"/>
    <n v="2"/>
    <n v="1"/>
    <x v="2"/>
    <n v="1"/>
    <s v="Single"/>
    <n v="3646"/>
    <n v="17181"/>
    <n v="2"/>
    <s v="Y"/>
    <s v="Yes"/>
    <n v="23"/>
    <n v="4"/>
    <n v="2"/>
    <n v="80"/>
    <n v="0"/>
    <n v="11"/>
    <n v="2"/>
    <n v="4"/>
    <n v="1"/>
    <n v="0"/>
    <n v="0"/>
    <n v="0"/>
    <s v="OK"/>
    <s v="OK"/>
    <s v="OK"/>
    <s v="OK"/>
    <x v="0"/>
    <n v="0"/>
    <n v="2"/>
    <n v="0"/>
  </r>
  <r>
    <n v="31"/>
    <s v="Yes"/>
    <s v="Travel_Frequently"/>
    <n v="1445"/>
    <x v="1"/>
    <n v="1"/>
    <n v="5"/>
    <s v="Life Sciences"/>
    <n v="1"/>
    <n v="1459"/>
    <n v="3"/>
    <s v="Female"/>
    <n v="100"/>
    <n v="4"/>
    <n v="3"/>
    <x v="3"/>
    <n v="2"/>
    <s v="Single"/>
    <n v="7446"/>
    <n v="8931"/>
    <n v="1"/>
    <s v="Y"/>
    <s v="No"/>
    <n v="11"/>
    <n v="3"/>
    <n v="1"/>
    <n v="80"/>
    <n v="0"/>
    <n v="10"/>
    <n v="2"/>
    <n v="3"/>
    <n v="10"/>
    <n v="8"/>
    <n v="4"/>
    <n v="7"/>
    <s v="OK"/>
    <s v="OK"/>
    <s v="OK"/>
    <s v="OK"/>
    <x v="46"/>
    <n v="0.8"/>
    <n v="0.2"/>
    <n v="0.7"/>
  </r>
  <r>
    <n v="45"/>
    <s v="No"/>
    <s v="Travel_Rarely"/>
    <n v="1038"/>
    <x v="1"/>
    <n v="20"/>
    <n v="3"/>
    <s v="Medical"/>
    <n v="1"/>
    <n v="1460"/>
    <n v="2"/>
    <s v="Male"/>
    <n v="95"/>
    <n v="1"/>
    <n v="3"/>
    <x v="4"/>
    <n v="1"/>
    <s v="Divorced"/>
    <n v="10851"/>
    <n v="19863"/>
    <n v="2"/>
    <s v="Y"/>
    <s v="Yes"/>
    <n v="18"/>
    <n v="3"/>
    <n v="2"/>
    <n v="80"/>
    <n v="1"/>
    <n v="24"/>
    <n v="2"/>
    <n v="3"/>
    <n v="7"/>
    <n v="7"/>
    <n v="0"/>
    <n v="7"/>
    <s v="OK"/>
    <s v="OK"/>
    <s v="OK"/>
    <s v="OK"/>
    <x v="0"/>
    <n v="1"/>
    <n v="0.2857142857142857"/>
    <n v="1"/>
  </r>
  <r>
    <n v="31"/>
    <s v="No"/>
    <s v="Travel_Rarely"/>
    <n v="1398"/>
    <x v="2"/>
    <n v="8"/>
    <n v="2"/>
    <s v="Medical"/>
    <n v="1"/>
    <n v="1461"/>
    <n v="4"/>
    <s v="Female"/>
    <n v="96"/>
    <n v="4"/>
    <n v="1"/>
    <x v="8"/>
    <n v="2"/>
    <s v="Single"/>
    <n v="2109"/>
    <n v="24609"/>
    <n v="9"/>
    <s v="Y"/>
    <s v="No"/>
    <n v="18"/>
    <n v="3"/>
    <n v="4"/>
    <n v="80"/>
    <n v="0"/>
    <n v="8"/>
    <n v="3"/>
    <n v="3"/>
    <n v="3"/>
    <n v="2"/>
    <n v="0"/>
    <n v="2"/>
    <s v="OK"/>
    <s v="OK"/>
    <s v="OK"/>
    <s v="OK"/>
    <x v="0"/>
    <n v="0.66666666666666663"/>
    <n v="1"/>
    <n v="0.66666666666666663"/>
  </r>
  <r>
    <n v="31"/>
    <s v="Yes"/>
    <s v="Travel_Frequently"/>
    <n v="523"/>
    <x v="1"/>
    <n v="2"/>
    <n v="3"/>
    <s v="Life Sciences"/>
    <n v="1"/>
    <n v="1464"/>
    <n v="2"/>
    <s v="Male"/>
    <n v="94"/>
    <n v="3"/>
    <n v="1"/>
    <x v="2"/>
    <n v="4"/>
    <s v="Married"/>
    <n v="3722"/>
    <n v="21081"/>
    <n v="6"/>
    <s v="Y"/>
    <s v="Yes"/>
    <n v="13"/>
    <n v="3"/>
    <n v="3"/>
    <n v="80"/>
    <n v="1"/>
    <n v="7"/>
    <n v="2"/>
    <n v="1"/>
    <n v="2"/>
    <n v="2"/>
    <n v="2"/>
    <n v="2"/>
    <s v="OK"/>
    <s v="OK"/>
    <s v="OK"/>
    <s v="OK"/>
    <x v="3"/>
    <n v="1"/>
    <n v="1"/>
    <n v="1"/>
  </r>
  <r>
    <n v="45"/>
    <s v="No"/>
    <s v="Travel_Rarely"/>
    <n v="1448"/>
    <x v="1"/>
    <n v="29"/>
    <n v="3"/>
    <s v="Technical Degree"/>
    <n v="1"/>
    <n v="1465"/>
    <n v="2"/>
    <s v="Male"/>
    <n v="55"/>
    <n v="3"/>
    <n v="3"/>
    <x v="3"/>
    <n v="4"/>
    <s v="Married"/>
    <n v="9380"/>
    <n v="14720"/>
    <n v="4"/>
    <s v="Y"/>
    <s v="Yes"/>
    <n v="18"/>
    <n v="3"/>
    <n v="4"/>
    <n v="80"/>
    <n v="2"/>
    <n v="10"/>
    <n v="4"/>
    <n v="4"/>
    <n v="3"/>
    <n v="1"/>
    <n v="1"/>
    <n v="2"/>
    <s v="OK"/>
    <s v="OK"/>
    <s v="OK"/>
    <s v="OK"/>
    <x v="9"/>
    <n v="0.33333333333333331"/>
    <n v="1.3333333333333333"/>
    <n v="0.66666666666666663"/>
  </r>
  <r>
    <n v="48"/>
    <s v="No"/>
    <s v="Travel_Rarely"/>
    <n v="1221"/>
    <x v="0"/>
    <n v="7"/>
    <n v="3"/>
    <s v="Marketing"/>
    <n v="1"/>
    <n v="1466"/>
    <n v="3"/>
    <s v="Male"/>
    <n v="96"/>
    <n v="3"/>
    <n v="2"/>
    <x v="0"/>
    <n v="1"/>
    <s v="Divorced"/>
    <n v="5486"/>
    <n v="24795"/>
    <n v="4"/>
    <s v="Y"/>
    <s v="No"/>
    <n v="11"/>
    <n v="3"/>
    <n v="1"/>
    <n v="80"/>
    <n v="3"/>
    <n v="15"/>
    <n v="3"/>
    <n v="3"/>
    <n v="2"/>
    <n v="2"/>
    <n v="2"/>
    <n v="2"/>
    <s v="OK"/>
    <s v="OK"/>
    <s v="OK"/>
    <s v="OK"/>
    <x v="3"/>
    <n v="1"/>
    <n v="1.5"/>
    <n v="1"/>
  </r>
  <r>
    <n v="34"/>
    <s v="Yes"/>
    <s v="Travel_Rarely"/>
    <n v="1107"/>
    <x v="2"/>
    <n v="9"/>
    <n v="4"/>
    <s v="Technical Degree"/>
    <n v="1"/>
    <n v="1467"/>
    <n v="1"/>
    <s v="Female"/>
    <n v="52"/>
    <n v="3"/>
    <n v="1"/>
    <x v="8"/>
    <n v="3"/>
    <s v="Married"/>
    <n v="2742"/>
    <n v="3072"/>
    <n v="1"/>
    <s v="Y"/>
    <s v="No"/>
    <n v="15"/>
    <n v="3"/>
    <n v="4"/>
    <n v="80"/>
    <n v="0"/>
    <n v="2"/>
    <n v="0"/>
    <n v="3"/>
    <n v="2"/>
    <n v="2"/>
    <n v="2"/>
    <n v="2"/>
    <s v="OK"/>
    <s v="OK"/>
    <s v="OK"/>
    <s v="OK"/>
    <x v="3"/>
    <n v="1"/>
    <n v="0"/>
    <n v="1"/>
  </r>
  <r>
    <n v="40"/>
    <s v="No"/>
    <s v="Non-Travel"/>
    <n v="218"/>
    <x v="1"/>
    <n v="8"/>
    <n v="1"/>
    <s v="Medical"/>
    <n v="1"/>
    <n v="1468"/>
    <n v="4"/>
    <s v="Male"/>
    <n v="55"/>
    <n v="2"/>
    <n v="3"/>
    <x v="7"/>
    <n v="2"/>
    <s v="Divorced"/>
    <n v="13757"/>
    <n v="25178"/>
    <n v="2"/>
    <s v="Y"/>
    <s v="No"/>
    <n v="11"/>
    <n v="3"/>
    <n v="3"/>
    <n v="80"/>
    <n v="1"/>
    <n v="16"/>
    <n v="5"/>
    <n v="3"/>
    <n v="9"/>
    <n v="8"/>
    <n v="4"/>
    <n v="8"/>
    <s v="OK"/>
    <s v="OK"/>
    <s v="OK"/>
    <s v="OK"/>
    <x v="14"/>
    <n v="0.88888888888888884"/>
    <n v="0.55555555555555558"/>
    <n v="0.88888888888888884"/>
  </r>
  <r>
    <n v="28"/>
    <s v="No"/>
    <s v="Travel_Rarely"/>
    <n v="866"/>
    <x v="0"/>
    <n v="5"/>
    <n v="3"/>
    <s v="Medical"/>
    <n v="1"/>
    <n v="1469"/>
    <n v="4"/>
    <s v="Male"/>
    <n v="84"/>
    <n v="3"/>
    <n v="2"/>
    <x v="0"/>
    <n v="1"/>
    <s v="Single"/>
    <n v="8463"/>
    <n v="23490"/>
    <n v="0"/>
    <s v="Y"/>
    <s v="No"/>
    <n v="18"/>
    <n v="3"/>
    <n v="4"/>
    <n v="80"/>
    <n v="0"/>
    <n v="6"/>
    <n v="4"/>
    <n v="3"/>
    <n v="5"/>
    <n v="4"/>
    <n v="1"/>
    <n v="3"/>
    <s v="OK"/>
    <s v="OK"/>
    <s v="OK"/>
    <s v="OK"/>
    <x v="16"/>
    <n v="0.8"/>
    <n v="0.8"/>
    <n v="0.6"/>
  </r>
  <r>
    <n v="44"/>
    <s v="No"/>
    <s v="Non-Travel"/>
    <n v="981"/>
    <x v="1"/>
    <n v="5"/>
    <n v="3"/>
    <s v="Life Sciences"/>
    <n v="1"/>
    <n v="1471"/>
    <n v="3"/>
    <s v="Male"/>
    <n v="90"/>
    <n v="2"/>
    <n v="1"/>
    <x v="2"/>
    <n v="3"/>
    <s v="Single"/>
    <n v="3162"/>
    <n v="7973"/>
    <n v="3"/>
    <s v="Y"/>
    <s v="No"/>
    <n v="14"/>
    <n v="3"/>
    <n v="4"/>
    <n v="80"/>
    <n v="0"/>
    <n v="7"/>
    <n v="5"/>
    <n v="3"/>
    <n v="5"/>
    <n v="2"/>
    <n v="0"/>
    <n v="3"/>
    <s v="OK"/>
    <s v="OK"/>
    <s v="OK"/>
    <s v="OK"/>
    <x v="0"/>
    <n v="0.4"/>
    <n v="1"/>
    <n v="0.6"/>
  </r>
  <r>
    <n v="53"/>
    <s v="No"/>
    <s v="Travel_Rarely"/>
    <n v="447"/>
    <x v="1"/>
    <n v="2"/>
    <n v="3"/>
    <s v="Medical"/>
    <n v="1"/>
    <n v="1472"/>
    <n v="4"/>
    <s v="Male"/>
    <n v="39"/>
    <n v="4"/>
    <n v="4"/>
    <x v="7"/>
    <n v="2"/>
    <s v="Single"/>
    <n v="16598"/>
    <n v="19764"/>
    <n v="4"/>
    <s v="Y"/>
    <s v="No"/>
    <n v="12"/>
    <n v="3"/>
    <n v="2"/>
    <n v="80"/>
    <n v="0"/>
    <n v="35"/>
    <n v="2"/>
    <n v="2"/>
    <n v="9"/>
    <n v="8"/>
    <n v="8"/>
    <n v="8"/>
    <s v="OK"/>
    <s v="OK"/>
    <s v="OK"/>
    <s v="OK"/>
    <x v="18"/>
    <n v="0.88888888888888884"/>
    <n v="0.22222222222222221"/>
    <n v="0.88888888888888884"/>
  </r>
  <r>
    <n v="49"/>
    <s v="No"/>
    <s v="Travel_Rarely"/>
    <n v="1495"/>
    <x v="1"/>
    <n v="5"/>
    <n v="4"/>
    <s v="Technical Degree"/>
    <n v="1"/>
    <n v="1473"/>
    <n v="1"/>
    <s v="Male"/>
    <n v="96"/>
    <n v="3"/>
    <n v="2"/>
    <x v="4"/>
    <n v="3"/>
    <s v="Married"/>
    <n v="6651"/>
    <n v="21534"/>
    <n v="2"/>
    <s v="Y"/>
    <s v="No"/>
    <n v="14"/>
    <n v="3"/>
    <n v="2"/>
    <n v="80"/>
    <n v="1"/>
    <n v="20"/>
    <n v="0"/>
    <n v="2"/>
    <n v="3"/>
    <n v="2"/>
    <n v="1"/>
    <n v="2"/>
    <s v="OK"/>
    <s v="OK"/>
    <s v="OK"/>
    <s v="OK"/>
    <x v="9"/>
    <n v="0.66666666666666663"/>
    <n v="0"/>
    <n v="0.66666666666666663"/>
  </r>
  <r>
    <n v="40"/>
    <s v="No"/>
    <s v="Travel_Rarely"/>
    <n v="896"/>
    <x v="1"/>
    <n v="2"/>
    <n v="3"/>
    <s v="Medical"/>
    <n v="1"/>
    <n v="1474"/>
    <n v="3"/>
    <s v="Male"/>
    <n v="68"/>
    <n v="3"/>
    <n v="1"/>
    <x v="1"/>
    <n v="3"/>
    <s v="Divorced"/>
    <n v="2345"/>
    <n v="8045"/>
    <n v="2"/>
    <s v="Y"/>
    <s v="No"/>
    <n v="14"/>
    <n v="3"/>
    <n v="3"/>
    <n v="80"/>
    <n v="1"/>
    <n v="8"/>
    <n v="3"/>
    <n v="4"/>
    <n v="3"/>
    <n v="1"/>
    <n v="1"/>
    <n v="2"/>
    <s v="OK"/>
    <s v="OK"/>
    <s v="OK"/>
    <s v="OK"/>
    <x v="9"/>
    <n v="0.33333333333333331"/>
    <n v="1"/>
    <n v="0.66666666666666663"/>
  </r>
  <r>
    <n v="44"/>
    <s v="No"/>
    <s v="Travel_Rarely"/>
    <n v="1467"/>
    <x v="1"/>
    <n v="20"/>
    <n v="3"/>
    <s v="Life Sciences"/>
    <n v="1"/>
    <n v="1475"/>
    <n v="4"/>
    <s v="Male"/>
    <n v="49"/>
    <n v="3"/>
    <n v="1"/>
    <x v="1"/>
    <n v="2"/>
    <s v="Single"/>
    <n v="3420"/>
    <n v="21158"/>
    <n v="1"/>
    <s v="Y"/>
    <s v="No"/>
    <n v="13"/>
    <n v="3"/>
    <n v="3"/>
    <n v="80"/>
    <n v="0"/>
    <n v="6"/>
    <n v="3"/>
    <n v="2"/>
    <n v="5"/>
    <n v="2"/>
    <n v="1"/>
    <n v="3"/>
    <s v="OK"/>
    <s v="OK"/>
    <s v="OK"/>
    <s v="OK"/>
    <x v="16"/>
    <n v="0.4"/>
    <n v="0.6"/>
    <n v="0.6"/>
  </r>
  <r>
    <n v="33"/>
    <s v="No"/>
    <s v="Travel_Frequently"/>
    <n v="430"/>
    <x v="0"/>
    <n v="7"/>
    <n v="3"/>
    <s v="Medical"/>
    <n v="1"/>
    <n v="1477"/>
    <n v="4"/>
    <s v="Male"/>
    <n v="54"/>
    <n v="3"/>
    <n v="2"/>
    <x v="0"/>
    <n v="1"/>
    <s v="Married"/>
    <n v="4373"/>
    <n v="17456"/>
    <n v="0"/>
    <s v="Y"/>
    <s v="No"/>
    <n v="14"/>
    <n v="3"/>
    <n v="1"/>
    <n v="80"/>
    <n v="2"/>
    <n v="5"/>
    <n v="2"/>
    <n v="3"/>
    <n v="4"/>
    <n v="3"/>
    <n v="0"/>
    <n v="3"/>
    <s v="OK"/>
    <s v="OK"/>
    <s v="OK"/>
    <s v="OK"/>
    <x v="0"/>
    <n v="0.75"/>
    <n v="0.5"/>
    <n v="0.75"/>
  </r>
  <r>
    <n v="34"/>
    <s v="No"/>
    <s v="Travel_Rarely"/>
    <n v="1326"/>
    <x v="0"/>
    <n v="3"/>
    <n v="3"/>
    <s v="Other"/>
    <n v="1"/>
    <n v="1478"/>
    <n v="4"/>
    <s v="Male"/>
    <n v="81"/>
    <n v="1"/>
    <n v="2"/>
    <x v="0"/>
    <n v="1"/>
    <s v="Single"/>
    <n v="4759"/>
    <n v="15891"/>
    <n v="3"/>
    <s v="Y"/>
    <s v="No"/>
    <n v="18"/>
    <n v="3"/>
    <n v="4"/>
    <n v="80"/>
    <n v="0"/>
    <n v="15"/>
    <n v="2"/>
    <n v="3"/>
    <n v="13"/>
    <n v="9"/>
    <n v="3"/>
    <n v="12"/>
    <s v="OK"/>
    <s v="OK"/>
    <s v="OK"/>
    <s v="OK"/>
    <x v="50"/>
    <n v="0.69230769230769229"/>
    <n v="0.15384615384615385"/>
    <n v="0.92307692307692313"/>
  </r>
  <r>
    <n v="30"/>
    <s v="No"/>
    <s v="Travel_Rarely"/>
    <n v="1358"/>
    <x v="0"/>
    <n v="16"/>
    <n v="1"/>
    <s v="Life Sciences"/>
    <n v="1"/>
    <n v="1479"/>
    <n v="4"/>
    <s v="Male"/>
    <n v="96"/>
    <n v="3"/>
    <n v="2"/>
    <x v="0"/>
    <n v="3"/>
    <s v="Married"/>
    <n v="5301"/>
    <n v="2939"/>
    <n v="8"/>
    <s v="Y"/>
    <s v="No"/>
    <n v="15"/>
    <n v="3"/>
    <n v="3"/>
    <n v="80"/>
    <n v="2"/>
    <n v="4"/>
    <n v="2"/>
    <n v="2"/>
    <n v="2"/>
    <n v="1"/>
    <n v="2"/>
    <n v="2"/>
    <s v="OK"/>
    <s v="OK"/>
    <s v="OK"/>
    <s v="OK"/>
    <x v="3"/>
    <n v="0.5"/>
    <n v="1"/>
    <n v="1"/>
  </r>
  <r>
    <n v="42"/>
    <s v="No"/>
    <s v="Travel_Frequently"/>
    <n v="748"/>
    <x v="1"/>
    <n v="9"/>
    <n v="2"/>
    <s v="Medical"/>
    <n v="1"/>
    <n v="1480"/>
    <n v="1"/>
    <s v="Female"/>
    <n v="74"/>
    <n v="3"/>
    <n v="1"/>
    <x v="2"/>
    <n v="4"/>
    <s v="Single"/>
    <n v="3673"/>
    <n v="16458"/>
    <n v="1"/>
    <s v="Y"/>
    <s v="No"/>
    <n v="13"/>
    <n v="3"/>
    <n v="3"/>
    <n v="80"/>
    <n v="0"/>
    <n v="12"/>
    <n v="3"/>
    <n v="3"/>
    <n v="12"/>
    <n v="9"/>
    <n v="5"/>
    <n v="8"/>
    <s v="OK"/>
    <s v="OK"/>
    <s v="OK"/>
    <s v="OK"/>
    <x v="101"/>
    <n v="0.75"/>
    <n v="0.25"/>
    <n v="0.66666666666666663"/>
  </r>
  <r>
    <n v="44"/>
    <s v="No"/>
    <s v="Travel_Frequently"/>
    <n v="383"/>
    <x v="0"/>
    <n v="1"/>
    <n v="5"/>
    <s v="Marketing"/>
    <n v="1"/>
    <n v="1481"/>
    <n v="1"/>
    <s v="Female"/>
    <n v="79"/>
    <n v="3"/>
    <n v="2"/>
    <x v="0"/>
    <n v="3"/>
    <s v="Married"/>
    <n v="4768"/>
    <n v="9282"/>
    <n v="7"/>
    <s v="Y"/>
    <s v="No"/>
    <n v="12"/>
    <n v="3"/>
    <n v="3"/>
    <n v="80"/>
    <n v="1"/>
    <n v="11"/>
    <n v="4"/>
    <n v="2"/>
    <n v="1"/>
    <n v="0"/>
    <n v="0"/>
    <n v="0"/>
    <s v="OK"/>
    <s v="OK"/>
    <s v="OK"/>
    <s v="OK"/>
    <x v="0"/>
    <n v="0"/>
    <n v="4"/>
    <n v="0"/>
  </r>
  <r>
    <n v="30"/>
    <s v="No"/>
    <s v="Non-Travel"/>
    <n v="990"/>
    <x v="1"/>
    <n v="7"/>
    <n v="3"/>
    <s v="Technical Degree"/>
    <n v="1"/>
    <n v="1482"/>
    <n v="3"/>
    <s v="Male"/>
    <n v="64"/>
    <n v="3"/>
    <n v="1"/>
    <x v="1"/>
    <n v="3"/>
    <s v="Divorced"/>
    <n v="1274"/>
    <n v="7152"/>
    <n v="1"/>
    <s v="Y"/>
    <s v="No"/>
    <n v="13"/>
    <n v="3"/>
    <n v="2"/>
    <n v="80"/>
    <n v="2"/>
    <n v="1"/>
    <n v="2"/>
    <n v="2"/>
    <n v="1"/>
    <n v="0"/>
    <n v="0"/>
    <n v="0"/>
    <s v="OK"/>
    <s v="OK"/>
    <s v="OK"/>
    <s v="OK"/>
    <x v="0"/>
    <n v="0"/>
    <n v="2"/>
    <n v="0"/>
  </r>
  <r>
    <n v="57"/>
    <s v="No"/>
    <s v="Travel_Rarely"/>
    <n v="405"/>
    <x v="1"/>
    <n v="1"/>
    <n v="2"/>
    <s v="Life Sciences"/>
    <n v="1"/>
    <n v="1483"/>
    <n v="2"/>
    <s v="Male"/>
    <n v="93"/>
    <n v="4"/>
    <n v="2"/>
    <x v="1"/>
    <n v="3"/>
    <s v="Married"/>
    <n v="4900"/>
    <n v="2721"/>
    <n v="0"/>
    <s v="Y"/>
    <s v="No"/>
    <n v="24"/>
    <n v="4"/>
    <n v="1"/>
    <n v="80"/>
    <n v="1"/>
    <n v="13"/>
    <n v="2"/>
    <n v="2"/>
    <n v="12"/>
    <n v="9"/>
    <n v="2"/>
    <n v="8"/>
    <s v="OK"/>
    <s v="OK"/>
    <s v="OK"/>
    <s v="OK"/>
    <x v="11"/>
    <n v="0.75"/>
    <n v="0.16666666666666666"/>
    <n v="0.66666666666666663"/>
  </r>
  <r>
    <n v="49"/>
    <s v="No"/>
    <s v="Travel_Rarely"/>
    <n v="1490"/>
    <x v="1"/>
    <n v="7"/>
    <n v="4"/>
    <s v="Life Sciences"/>
    <n v="1"/>
    <n v="1484"/>
    <n v="3"/>
    <s v="Male"/>
    <n v="35"/>
    <n v="3"/>
    <n v="3"/>
    <x v="4"/>
    <n v="2"/>
    <s v="Divorced"/>
    <n v="10466"/>
    <n v="20948"/>
    <n v="3"/>
    <s v="Y"/>
    <s v="No"/>
    <n v="14"/>
    <n v="3"/>
    <n v="2"/>
    <n v="80"/>
    <n v="2"/>
    <n v="29"/>
    <n v="3"/>
    <n v="3"/>
    <n v="8"/>
    <n v="7"/>
    <n v="0"/>
    <n v="7"/>
    <s v="OK"/>
    <s v="OK"/>
    <s v="OK"/>
    <s v="OK"/>
    <x v="0"/>
    <n v="0.875"/>
    <n v="0.375"/>
    <n v="0.875"/>
  </r>
  <r>
    <n v="34"/>
    <s v="No"/>
    <s v="Travel_Frequently"/>
    <n v="829"/>
    <x v="1"/>
    <n v="15"/>
    <n v="3"/>
    <s v="Medical"/>
    <n v="1"/>
    <n v="1485"/>
    <n v="2"/>
    <s v="Male"/>
    <n v="71"/>
    <n v="3"/>
    <n v="4"/>
    <x v="7"/>
    <n v="1"/>
    <s v="Divorced"/>
    <n v="17007"/>
    <n v="11929"/>
    <n v="7"/>
    <s v="Y"/>
    <s v="No"/>
    <n v="14"/>
    <n v="3"/>
    <n v="4"/>
    <n v="80"/>
    <n v="2"/>
    <n v="16"/>
    <n v="3"/>
    <n v="2"/>
    <n v="14"/>
    <n v="8"/>
    <n v="6"/>
    <n v="9"/>
    <s v="OK"/>
    <s v="OK"/>
    <s v="OK"/>
    <s v="OK"/>
    <x v="4"/>
    <n v="0.5714285714285714"/>
    <n v="0.21428571428571427"/>
    <n v="0.6428571428571429"/>
  </r>
  <r>
    <n v="28"/>
    <s v="Yes"/>
    <s v="Travel_Frequently"/>
    <n v="1496"/>
    <x v="0"/>
    <n v="1"/>
    <n v="3"/>
    <s v="Technical Degree"/>
    <n v="1"/>
    <n v="1486"/>
    <n v="1"/>
    <s v="Male"/>
    <n v="92"/>
    <n v="3"/>
    <n v="1"/>
    <x v="6"/>
    <n v="3"/>
    <s v="Married"/>
    <n v="2909"/>
    <n v="15747"/>
    <n v="3"/>
    <s v="Y"/>
    <s v="No"/>
    <n v="15"/>
    <n v="3"/>
    <n v="4"/>
    <n v="80"/>
    <n v="1"/>
    <n v="5"/>
    <n v="3"/>
    <n v="4"/>
    <n v="3"/>
    <n v="2"/>
    <n v="1"/>
    <n v="2"/>
    <s v="OK"/>
    <s v="OK"/>
    <s v="OK"/>
    <s v="OK"/>
    <x v="9"/>
    <n v="0.66666666666666663"/>
    <n v="1"/>
    <n v="0.66666666666666663"/>
  </r>
  <r>
    <n v="29"/>
    <s v="Yes"/>
    <s v="Travel_Frequently"/>
    <n v="115"/>
    <x v="0"/>
    <n v="13"/>
    <n v="3"/>
    <s v="Technical Degree"/>
    <n v="1"/>
    <n v="1487"/>
    <n v="1"/>
    <s v="Female"/>
    <n v="51"/>
    <n v="3"/>
    <n v="2"/>
    <x v="0"/>
    <n v="2"/>
    <s v="Single"/>
    <n v="5765"/>
    <n v="17485"/>
    <n v="5"/>
    <s v="Y"/>
    <s v="No"/>
    <n v="11"/>
    <n v="3"/>
    <n v="1"/>
    <n v="80"/>
    <n v="0"/>
    <n v="7"/>
    <n v="4"/>
    <n v="1"/>
    <n v="5"/>
    <n v="3"/>
    <n v="0"/>
    <n v="0"/>
    <s v="OK"/>
    <s v="OK"/>
    <s v="OK"/>
    <s v="OK"/>
    <x v="0"/>
    <n v="0.6"/>
    <n v="0.8"/>
    <n v="0"/>
  </r>
  <r>
    <n v="34"/>
    <s v="Yes"/>
    <s v="Travel_Rarely"/>
    <n v="790"/>
    <x v="0"/>
    <n v="24"/>
    <n v="4"/>
    <s v="Medical"/>
    <n v="1"/>
    <n v="1489"/>
    <n v="1"/>
    <s v="Female"/>
    <n v="40"/>
    <n v="2"/>
    <n v="2"/>
    <x v="0"/>
    <n v="2"/>
    <s v="Single"/>
    <n v="4599"/>
    <n v="7815"/>
    <n v="0"/>
    <s v="Y"/>
    <s v="Yes"/>
    <n v="23"/>
    <n v="4"/>
    <n v="3"/>
    <n v="80"/>
    <n v="0"/>
    <n v="16"/>
    <n v="2"/>
    <n v="4"/>
    <n v="15"/>
    <n v="9"/>
    <n v="10"/>
    <n v="10"/>
    <s v="OK"/>
    <s v="OK"/>
    <s v="OK"/>
    <s v="OK"/>
    <x v="34"/>
    <n v="0.6"/>
    <n v="0.13333333333333333"/>
    <n v="0.66666666666666663"/>
  </r>
  <r>
    <n v="35"/>
    <s v="No"/>
    <s v="Travel_Rarely"/>
    <n v="660"/>
    <x v="0"/>
    <n v="7"/>
    <n v="1"/>
    <s v="Life Sciences"/>
    <n v="1"/>
    <n v="1492"/>
    <n v="4"/>
    <s v="Male"/>
    <n v="76"/>
    <n v="3"/>
    <n v="1"/>
    <x v="6"/>
    <n v="3"/>
    <s v="Married"/>
    <n v="2404"/>
    <n v="16192"/>
    <n v="1"/>
    <s v="Y"/>
    <s v="No"/>
    <n v="13"/>
    <n v="3"/>
    <n v="1"/>
    <n v="80"/>
    <n v="1"/>
    <n v="1"/>
    <n v="3"/>
    <n v="3"/>
    <n v="1"/>
    <n v="0"/>
    <n v="0"/>
    <n v="0"/>
    <s v="OK"/>
    <s v="OK"/>
    <s v="OK"/>
    <s v="OK"/>
    <x v="0"/>
    <n v="0"/>
    <n v="3"/>
    <n v="0"/>
  </r>
  <r>
    <n v="24"/>
    <s v="Yes"/>
    <s v="Travel_Frequently"/>
    <n v="381"/>
    <x v="1"/>
    <n v="9"/>
    <n v="3"/>
    <s v="Medical"/>
    <n v="1"/>
    <n v="1494"/>
    <n v="2"/>
    <s v="Male"/>
    <n v="89"/>
    <n v="3"/>
    <n v="1"/>
    <x v="2"/>
    <n v="1"/>
    <s v="Single"/>
    <n v="3172"/>
    <n v="16998"/>
    <n v="2"/>
    <s v="Y"/>
    <s v="Yes"/>
    <n v="11"/>
    <n v="3"/>
    <n v="3"/>
    <n v="80"/>
    <n v="0"/>
    <n v="4"/>
    <n v="2"/>
    <n v="2"/>
    <n v="0"/>
    <n v="0"/>
    <n v="0"/>
    <n v="0"/>
    <s v="OK"/>
    <s v="OK"/>
    <s v="OK"/>
    <s v="OK"/>
    <x v="0"/>
    <n v="0"/>
    <n v="0"/>
    <n v="0"/>
  </r>
  <r>
    <n v="24"/>
    <s v="No"/>
    <s v="Non-Travel"/>
    <n v="830"/>
    <x v="0"/>
    <n v="13"/>
    <n v="2"/>
    <s v="Life Sciences"/>
    <n v="1"/>
    <n v="1495"/>
    <n v="4"/>
    <s v="Female"/>
    <n v="78"/>
    <n v="3"/>
    <n v="1"/>
    <x v="6"/>
    <n v="2"/>
    <s v="Married"/>
    <n v="2033"/>
    <n v="7103"/>
    <n v="1"/>
    <s v="Y"/>
    <s v="No"/>
    <n v="13"/>
    <n v="3"/>
    <n v="3"/>
    <n v="80"/>
    <n v="1"/>
    <n v="1"/>
    <n v="2"/>
    <n v="3"/>
    <n v="1"/>
    <n v="0"/>
    <n v="0"/>
    <n v="0"/>
    <s v="OK"/>
    <s v="OK"/>
    <s v="OK"/>
    <s v="OK"/>
    <x v="0"/>
    <n v="0"/>
    <n v="2"/>
    <n v="0"/>
  </r>
  <r>
    <n v="44"/>
    <s v="No"/>
    <s v="Travel_Frequently"/>
    <n v="1193"/>
    <x v="1"/>
    <n v="2"/>
    <n v="1"/>
    <s v="Medical"/>
    <n v="1"/>
    <n v="1496"/>
    <n v="2"/>
    <s v="Male"/>
    <n v="86"/>
    <n v="3"/>
    <n v="3"/>
    <x v="3"/>
    <n v="3"/>
    <s v="Single"/>
    <n v="10209"/>
    <n v="19719"/>
    <n v="5"/>
    <s v="Y"/>
    <s v="Yes"/>
    <n v="18"/>
    <n v="3"/>
    <n v="2"/>
    <n v="80"/>
    <n v="0"/>
    <n v="16"/>
    <n v="2"/>
    <n v="2"/>
    <n v="2"/>
    <n v="2"/>
    <n v="2"/>
    <n v="2"/>
    <s v="OK"/>
    <s v="OK"/>
    <s v="OK"/>
    <s v="OK"/>
    <x v="3"/>
    <n v="1"/>
    <n v="1"/>
    <n v="1"/>
  </r>
  <r>
    <n v="29"/>
    <s v="No"/>
    <s v="Travel_Rarely"/>
    <n v="1246"/>
    <x v="0"/>
    <n v="19"/>
    <n v="3"/>
    <s v="Life Sciences"/>
    <n v="1"/>
    <n v="1497"/>
    <n v="3"/>
    <s v="Male"/>
    <n v="77"/>
    <n v="2"/>
    <n v="2"/>
    <x v="0"/>
    <n v="3"/>
    <s v="Divorced"/>
    <n v="8620"/>
    <n v="23757"/>
    <n v="1"/>
    <s v="Y"/>
    <s v="No"/>
    <n v="14"/>
    <n v="3"/>
    <n v="3"/>
    <n v="80"/>
    <n v="2"/>
    <n v="10"/>
    <n v="3"/>
    <n v="3"/>
    <n v="10"/>
    <n v="7"/>
    <n v="0"/>
    <n v="4"/>
    <s v="OK"/>
    <s v="OK"/>
    <s v="OK"/>
    <s v="OK"/>
    <x v="0"/>
    <n v="0.7"/>
    <n v="0.3"/>
    <n v="0.4"/>
  </r>
  <r>
    <n v="30"/>
    <s v="No"/>
    <s v="Travel_Rarely"/>
    <n v="330"/>
    <x v="2"/>
    <n v="1"/>
    <n v="3"/>
    <s v="Life Sciences"/>
    <n v="1"/>
    <n v="1499"/>
    <n v="3"/>
    <s v="Male"/>
    <n v="46"/>
    <n v="3"/>
    <n v="1"/>
    <x v="8"/>
    <n v="3"/>
    <s v="Divorced"/>
    <n v="2064"/>
    <n v="15428"/>
    <n v="0"/>
    <s v="Y"/>
    <s v="No"/>
    <n v="21"/>
    <n v="4"/>
    <n v="1"/>
    <n v="80"/>
    <n v="1"/>
    <n v="6"/>
    <n v="3"/>
    <n v="4"/>
    <n v="5"/>
    <n v="3"/>
    <n v="1"/>
    <n v="3"/>
    <s v="OK"/>
    <s v="OK"/>
    <s v="OK"/>
    <s v="OK"/>
    <x v="16"/>
    <n v="0.6"/>
    <n v="0.6"/>
    <n v="0.6"/>
  </r>
  <r>
    <n v="55"/>
    <s v="No"/>
    <s v="Travel_Rarely"/>
    <n v="1229"/>
    <x v="1"/>
    <n v="4"/>
    <n v="4"/>
    <s v="Life Sciences"/>
    <n v="1"/>
    <n v="1501"/>
    <n v="4"/>
    <s v="Male"/>
    <n v="30"/>
    <n v="3"/>
    <n v="2"/>
    <x v="4"/>
    <n v="3"/>
    <s v="Married"/>
    <n v="4035"/>
    <n v="16143"/>
    <n v="0"/>
    <s v="Y"/>
    <s v="Yes"/>
    <n v="16"/>
    <n v="3"/>
    <n v="2"/>
    <n v="80"/>
    <n v="0"/>
    <n v="4"/>
    <n v="2"/>
    <n v="3"/>
    <n v="3"/>
    <n v="2"/>
    <n v="1"/>
    <n v="2"/>
    <s v="OK"/>
    <s v="OK"/>
    <s v="OK"/>
    <s v="OK"/>
    <x v="9"/>
    <n v="0.66666666666666663"/>
    <n v="0.66666666666666663"/>
    <n v="0.66666666666666663"/>
  </r>
  <r>
    <n v="33"/>
    <s v="No"/>
    <s v="Travel_Rarely"/>
    <n v="1099"/>
    <x v="1"/>
    <n v="4"/>
    <n v="4"/>
    <s v="Medical"/>
    <n v="1"/>
    <n v="1502"/>
    <n v="1"/>
    <s v="Female"/>
    <n v="82"/>
    <n v="2"/>
    <n v="1"/>
    <x v="2"/>
    <n v="2"/>
    <s v="Married"/>
    <n v="3838"/>
    <n v="8192"/>
    <n v="8"/>
    <s v="Y"/>
    <s v="No"/>
    <n v="11"/>
    <n v="3"/>
    <n v="4"/>
    <n v="80"/>
    <n v="0"/>
    <n v="8"/>
    <n v="5"/>
    <n v="3"/>
    <n v="5"/>
    <n v="4"/>
    <n v="0"/>
    <n v="2"/>
    <s v="OK"/>
    <s v="OK"/>
    <s v="OK"/>
    <s v="OK"/>
    <x v="0"/>
    <n v="0.8"/>
    <n v="1"/>
    <n v="0.4"/>
  </r>
  <r>
    <n v="47"/>
    <s v="No"/>
    <s v="Travel_Rarely"/>
    <n v="571"/>
    <x v="0"/>
    <n v="14"/>
    <n v="3"/>
    <s v="Medical"/>
    <n v="1"/>
    <n v="1503"/>
    <n v="3"/>
    <s v="Female"/>
    <n v="78"/>
    <n v="3"/>
    <n v="2"/>
    <x v="0"/>
    <n v="3"/>
    <s v="Married"/>
    <n v="4591"/>
    <n v="24200"/>
    <n v="3"/>
    <s v="Y"/>
    <s v="Yes"/>
    <n v="17"/>
    <n v="3"/>
    <n v="3"/>
    <n v="80"/>
    <n v="1"/>
    <n v="11"/>
    <n v="4"/>
    <n v="2"/>
    <n v="5"/>
    <n v="4"/>
    <n v="1"/>
    <n v="2"/>
    <s v="OK"/>
    <s v="OK"/>
    <s v="OK"/>
    <s v="OK"/>
    <x v="16"/>
    <n v="0.8"/>
    <n v="0.8"/>
    <n v="0.4"/>
  </r>
  <r>
    <n v="28"/>
    <s v="Yes"/>
    <s v="Travel_Frequently"/>
    <n v="289"/>
    <x v="1"/>
    <n v="2"/>
    <n v="2"/>
    <s v="Medical"/>
    <n v="1"/>
    <n v="1504"/>
    <n v="3"/>
    <s v="Male"/>
    <n v="38"/>
    <n v="2"/>
    <n v="1"/>
    <x v="2"/>
    <n v="1"/>
    <s v="Single"/>
    <n v="2561"/>
    <n v="5355"/>
    <n v="7"/>
    <s v="Y"/>
    <s v="No"/>
    <n v="11"/>
    <n v="3"/>
    <n v="3"/>
    <n v="80"/>
    <n v="0"/>
    <n v="8"/>
    <n v="2"/>
    <n v="2"/>
    <n v="0"/>
    <n v="0"/>
    <n v="0"/>
    <n v="0"/>
    <s v="OK"/>
    <s v="OK"/>
    <s v="OK"/>
    <s v="OK"/>
    <x v="0"/>
    <n v="0"/>
    <n v="0"/>
    <n v="0"/>
  </r>
  <r>
    <n v="28"/>
    <s v="No"/>
    <s v="Travel_Rarely"/>
    <n v="1423"/>
    <x v="1"/>
    <n v="1"/>
    <n v="3"/>
    <s v="Life Sciences"/>
    <n v="1"/>
    <n v="1506"/>
    <n v="1"/>
    <s v="Male"/>
    <n v="72"/>
    <n v="2"/>
    <n v="1"/>
    <x v="1"/>
    <n v="3"/>
    <s v="Divorced"/>
    <n v="1563"/>
    <n v="12530"/>
    <n v="1"/>
    <s v="Y"/>
    <s v="No"/>
    <n v="14"/>
    <n v="3"/>
    <n v="4"/>
    <n v="80"/>
    <n v="1"/>
    <n v="1"/>
    <n v="2"/>
    <n v="1"/>
    <n v="1"/>
    <n v="0"/>
    <n v="0"/>
    <n v="0"/>
    <s v="OK"/>
    <s v="OK"/>
    <s v="OK"/>
    <s v="OK"/>
    <x v="0"/>
    <n v="0"/>
    <n v="2"/>
    <n v="0"/>
  </r>
  <r>
    <n v="28"/>
    <s v="No"/>
    <s v="Travel_Frequently"/>
    <n v="467"/>
    <x v="0"/>
    <n v="7"/>
    <n v="3"/>
    <s v="Life Sciences"/>
    <n v="1"/>
    <n v="1507"/>
    <n v="3"/>
    <s v="Male"/>
    <n v="55"/>
    <n v="3"/>
    <n v="2"/>
    <x v="0"/>
    <n v="1"/>
    <s v="Single"/>
    <n v="4898"/>
    <n v="11827"/>
    <n v="0"/>
    <s v="Y"/>
    <s v="No"/>
    <n v="14"/>
    <n v="3"/>
    <n v="4"/>
    <n v="80"/>
    <n v="0"/>
    <n v="5"/>
    <n v="5"/>
    <n v="3"/>
    <n v="4"/>
    <n v="2"/>
    <n v="1"/>
    <n v="3"/>
    <s v="OK"/>
    <s v="OK"/>
    <s v="OK"/>
    <s v="OK"/>
    <x v="10"/>
    <n v="0.5"/>
    <n v="1.25"/>
    <n v="0.75"/>
  </r>
  <r>
    <n v="49"/>
    <s v="No"/>
    <s v="Travel_Rarely"/>
    <n v="271"/>
    <x v="1"/>
    <n v="3"/>
    <n v="2"/>
    <s v="Medical"/>
    <n v="1"/>
    <n v="1509"/>
    <n v="3"/>
    <s v="Female"/>
    <n v="43"/>
    <n v="2"/>
    <n v="2"/>
    <x v="2"/>
    <n v="1"/>
    <s v="Married"/>
    <n v="4789"/>
    <n v="23070"/>
    <n v="4"/>
    <s v="Y"/>
    <s v="No"/>
    <n v="25"/>
    <n v="4"/>
    <n v="1"/>
    <n v="80"/>
    <n v="1"/>
    <n v="10"/>
    <n v="3"/>
    <n v="3"/>
    <n v="3"/>
    <n v="2"/>
    <n v="1"/>
    <n v="2"/>
    <s v="OK"/>
    <s v="OK"/>
    <s v="OK"/>
    <s v="OK"/>
    <x v="9"/>
    <n v="0.66666666666666663"/>
    <n v="1"/>
    <n v="0.66666666666666663"/>
  </r>
  <r>
    <n v="29"/>
    <s v="No"/>
    <s v="Travel_Frequently"/>
    <n v="410"/>
    <x v="1"/>
    <n v="2"/>
    <n v="1"/>
    <s v="Life Sciences"/>
    <n v="1"/>
    <n v="1513"/>
    <n v="4"/>
    <s v="Female"/>
    <n v="97"/>
    <n v="3"/>
    <n v="1"/>
    <x v="2"/>
    <n v="2"/>
    <s v="Married"/>
    <n v="3180"/>
    <n v="4668"/>
    <n v="0"/>
    <s v="Y"/>
    <s v="No"/>
    <n v="13"/>
    <n v="3"/>
    <n v="3"/>
    <n v="80"/>
    <n v="3"/>
    <n v="4"/>
    <n v="3"/>
    <n v="3"/>
    <n v="3"/>
    <n v="2"/>
    <n v="0"/>
    <n v="2"/>
    <s v="OK"/>
    <s v="OK"/>
    <s v="OK"/>
    <s v="OK"/>
    <x v="0"/>
    <n v="0.66666666666666663"/>
    <n v="1"/>
    <n v="0.66666666666666663"/>
  </r>
  <r>
    <n v="28"/>
    <s v="No"/>
    <s v="Travel_Rarely"/>
    <n v="1083"/>
    <x v="1"/>
    <n v="29"/>
    <n v="1"/>
    <s v="Life Sciences"/>
    <n v="1"/>
    <n v="1514"/>
    <n v="3"/>
    <s v="Male"/>
    <n v="96"/>
    <n v="1"/>
    <n v="2"/>
    <x v="3"/>
    <n v="2"/>
    <s v="Married"/>
    <n v="6549"/>
    <n v="3173"/>
    <n v="1"/>
    <s v="Y"/>
    <s v="No"/>
    <n v="14"/>
    <n v="3"/>
    <n v="2"/>
    <n v="80"/>
    <n v="2"/>
    <n v="8"/>
    <n v="2"/>
    <n v="2"/>
    <n v="8"/>
    <n v="6"/>
    <n v="1"/>
    <n v="7"/>
    <s v="OK"/>
    <s v="OK"/>
    <s v="OK"/>
    <s v="OK"/>
    <x v="33"/>
    <n v="0.75"/>
    <n v="0.25"/>
    <n v="0.875"/>
  </r>
  <r>
    <n v="33"/>
    <s v="No"/>
    <s v="Travel_Rarely"/>
    <n v="516"/>
    <x v="1"/>
    <n v="8"/>
    <n v="5"/>
    <s v="Life Sciences"/>
    <n v="1"/>
    <n v="1515"/>
    <n v="4"/>
    <s v="Male"/>
    <n v="69"/>
    <n v="3"/>
    <n v="2"/>
    <x v="4"/>
    <n v="3"/>
    <s v="Single"/>
    <n v="6388"/>
    <n v="22049"/>
    <n v="2"/>
    <s v="Y"/>
    <s v="Yes"/>
    <n v="17"/>
    <n v="3"/>
    <n v="1"/>
    <n v="80"/>
    <n v="0"/>
    <n v="14"/>
    <n v="6"/>
    <n v="3"/>
    <n v="0"/>
    <n v="0"/>
    <n v="0"/>
    <n v="0"/>
    <s v="OK"/>
    <s v="OK"/>
    <s v="OK"/>
    <s v="OK"/>
    <x v="0"/>
    <n v="0"/>
    <n v="0"/>
    <n v="0"/>
  </r>
  <r>
    <n v="32"/>
    <s v="No"/>
    <s v="Travel_Rarely"/>
    <n v="495"/>
    <x v="1"/>
    <n v="10"/>
    <n v="3"/>
    <s v="Medical"/>
    <n v="1"/>
    <n v="1516"/>
    <n v="3"/>
    <s v="Male"/>
    <n v="64"/>
    <n v="3"/>
    <n v="3"/>
    <x v="5"/>
    <n v="4"/>
    <s v="Single"/>
    <n v="11244"/>
    <n v="21072"/>
    <n v="2"/>
    <s v="Y"/>
    <s v="No"/>
    <n v="25"/>
    <n v="4"/>
    <n v="2"/>
    <n v="80"/>
    <n v="0"/>
    <n v="10"/>
    <n v="5"/>
    <n v="4"/>
    <n v="5"/>
    <n v="2"/>
    <n v="0"/>
    <n v="0"/>
    <s v="OK"/>
    <s v="OK"/>
    <s v="OK"/>
    <s v="OK"/>
    <x v="0"/>
    <n v="0.4"/>
    <n v="1"/>
    <n v="0"/>
  </r>
  <r>
    <n v="54"/>
    <s v="No"/>
    <s v="Travel_Frequently"/>
    <n v="1050"/>
    <x v="1"/>
    <n v="11"/>
    <n v="4"/>
    <s v="Medical"/>
    <n v="1"/>
    <n v="1520"/>
    <n v="2"/>
    <s v="Female"/>
    <n v="87"/>
    <n v="3"/>
    <n v="4"/>
    <x v="5"/>
    <n v="4"/>
    <s v="Divorced"/>
    <n v="16032"/>
    <n v="24456"/>
    <n v="3"/>
    <s v="Y"/>
    <s v="No"/>
    <n v="20"/>
    <n v="4"/>
    <n v="1"/>
    <n v="80"/>
    <n v="1"/>
    <n v="26"/>
    <n v="2"/>
    <n v="3"/>
    <n v="14"/>
    <n v="9"/>
    <n v="1"/>
    <n v="12"/>
    <s v="OK"/>
    <s v="OK"/>
    <s v="OK"/>
    <s v="OK"/>
    <x v="69"/>
    <n v="0.6428571428571429"/>
    <n v="0.14285714285714285"/>
    <n v="0.8571428571428571"/>
  </r>
  <r>
    <n v="29"/>
    <s v="Yes"/>
    <s v="Travel_Rarely"/>
    <n v="224"/>
    <x v="1"/>
    <n v="1"/>
    <n v="4"/>
    <s v="Technical Degree"/>
    <n v="1"/>
    <n v="1522"/>
    <n v="1"/>
    <s v="Male"/>
    <n v="100"/>
    <n v="2"/>
    <n v="1"/>
    <x v="1"/>
    <n v="1"/>
    <s v="Single"/>
    <n v="2362"/>
    <n v="7568"/>
    <n v="6"/>
    <s v="Y"/>
    <s v="No"/>
    <n v="13"/>
    <n v="3"/>
    <n v="3"/>
    <n v="80"/>
    <n v="0"/>
    <n v="11"/>
    <n v="2"/>
    <n v="1"/>
    <n v="9"/>
    <n v="7"/>
    <n v="0"/>
    <n v="7"/>
    <s v="OK"/>
    <s v="OK"/>
    <s v="OK"/>
    <s v="OK"/>
    <x v="0"/>
    <n v="0.77777777777777779"/>
    <n v="0.22222222222222221"/>
    <n v="0.77777777777777779"/>
  </r>
  <r>
    <n v="44"/>
    <s v="No"/>
    <s v="Travel_Rarely"/>
    <n v="136"/>
    <x v="1"/>
    <n v="28"/>
    <n v="3"/>
    <s v="Life Sciences"/>
    <n v="1"/>
    <n v="1523"/>
    <n v="4"/>
    <s v="Male"/>
    <n v="32"/>
    <n v="3"/>
    <n v="4"/>
    <x v="7"/>
    <n v="1"/>
    <s v="Married"/>
    <n v="16328"/>
    <n v="22074"/>
    <n v="3"/>
    <s v="Y"/>
    <s v="No"/>
    <n v="13"/>
    <n v="3"/>
    <n v="3"/>
    <n v="80"/>
    <n v="1"/>
    <n v="24"/>
    <n v="1"/>
    <n v="4"/>
    <n v="20"/>
    <n v="6"/>
    <n v="14"/>
    <n v="17"/>
    <s v="OK"/>
    <s v="OK"/>
    <s v="OK"/>
    <s v="OK"/>
    <x v="42"/>
    <n v="0.3"/>
    <n v="0.05"/>
    <n v="0.85"/>
  </r>
  <r>
    <n v="39"/>
    <s v="No"/>
    <s v="Travel_Rarely"/>
    <n v="1089"/>
    <x v="1"/>
    <n v="6"/>
    <n v="3"/>
    <s v="Life Sciences"/>
    <n v="1"/>
    <n v="1525"/>
    <n v="2"/>
    <s v="Female"/>
    <n v="32"/>
    <n v="3"/>
    <n v="3"/>
    <x v="3"/>
    <n v="2"/>
    <s v="Single"/>
    <n v="8376"/>
    <n v="9150"/>
    <n v="4"/>
    <s v="Y"/>
    <s v="No"/>
    <n v="18"/>
    <n v="3"/>
    <n v="4"/>
    <n v="80"/>
    <n v="0"/>
    <n v="9"/>
    <n v="3"/>
    <n v="3"/>
    <n v="2"/>
    <n v="0"/>
    <n v="2"/>
    <n v="2"/>
    <s v="OK"/>
    <s v="OK"/>
    <s v="OK"/>
    <s v="OK"/>
    <x v="3"/>
    <n v="0"/>
    <n v="1.5"/>
    <n v="1"/>
  </r>
  <r>
    <n v="46"/>
    <s v="No"/>
    <s v="Travel_Rarely"/>
    <n v="228"/>
    <x v="0"/>
    <n v="3"/>
    <n v="3"/>
    <s v="Life Sciences"/>
    <n v="1"/>
    <n v="1527"/>
    <n v="3"/>
    <s v="Female"/>
    <n v="51"/>
    <n v="3"/>
    <n v="4"/>
    <x v="5"/>
    <n v="2"/>
    <s v="Married"/>
    <n v="16606"/>
    <n v="11380"/>
    <n v="8"/>
    <s v="Y"/>
    <s v="No"/>
    <n v="12"/>
    <n v="3"/>
    <n v="4"/>
    <n v="80"/>
    <n v="1"/>
    <n v="23"/>
    <n v="2"/>
    <n v="4"/>
    <n v="13"/>
    <n v="12"/>
    <n v="5"/>
    <n v="1"/>
    <s v="OK"/>
    <s v="OK"/>
    <s v="OK"/>
    <s v="OK"/>
    <x v="102"/>
    <n v="0.92307692307692313"/>
    <n v="0.15384615384615385"/>
    <n v="7.6923076923076927E-2"/>
  </r>
  <r>
    <n v="35"/>
    <s v="No"/>
    <s v="Travel_Rarely"/>
    <n v="1029"/>
    <x v="1"/>
    <n v="16"/>
    <n v="3"/>
    <s v="Life Sciences"/>
    <n v="1"/>
    <n v="1529"/>
    <n v="4"/>
    <s v="Female"/>
    <n v="91"/>
    <n v="2"/>
    <n v="3"/>
    <x v="4"/>
    <n v="2"/>
    <s v="Single"/>
    <n v="8606"/>
    <n v="21195"/>
    <n v="1"/>
    <s v="Y"/>
    <s v="No"/>
    <n v="19"/>
    <n v="3"/>
    <n v="4"/>
    <n v="80"/>
    <n v="0"/>
    <n v="11"/>
    <n v="3"/>
    <n v="1"/>
    <n v="11"/>
    <n v="8"/>
    <n v="3"/>
    <n v="3"/>
    <s v="OK"/>
    <s v="OK"/>
    <s v="OK"/>
    <s v="OK"/>
    <x v="81"/>
    <n v="0.72727272727272729"/>
    <n v="0.27272727272727271"/>
    <n v="0.27272727272727271"/>
  </r>
  <r>
    <n v="23"/>
    <s v="No"/>
    <s v="Travel_Rarely"/>
    <n v="507"/>
    <x v="1"/>
    <n v="20"/>
    <n v="1"/>
    <s v="Life Sciences"/>
    <n v="1"/>
    <n v="1533"/>
    <n v="1"/>
    <s v="Male"/>
    <n v="97"/>
    <n v="3"/>
    <n v="2"/>
    <x v="2"/>
    <n v="3"/>
    <s v="Single"/>
    <n v="2272"/>
    <n v="24812"/>
    <n v="0"/>
    <s v="Y"/>
    <s v="No"/>
    <n v="14"/>
    <n v="3"/>
    <n v="2"/>
    <n v="80"/>
    <n v="0"/>
    <n v="5"/>
    <n v="2"/>
    <n v="3"/>
    <n v="4"/>
    <n v="3"/>
    <n v="1"/>
    <n v="2"/>
    <s v="OK"/>
    <s v="OK"/>
    <s v="OK"/>
    <s v="OK"/>
    <x v="10"/>
    <n v="0.75"/>
    <n v="0.5"/>
    <n v="0.5"/>
  </r>
  <r>
    <n v="40"/>
    <s v="Yes"/>
    <s v="Travel_Rarely"/>
    <n v="676"/>
    <x v="1"/>
    <n v="9"/>
    <n v="4"/>
    <s v="Life Sciences"/>
    <n v="1"/>
    <n v="1534"/>
    <n v="4"/>
    <s v="Male"/>
    <n v="86"/>
    <n v="3"/>
    <n v="1"/>
    <x v="2"/>
    <n v="1"/>
    <s v="Single"/>
    <n v="2018"/>
    <n v="21831"/>
    <n v="3"/>
    <s v="Y"/>
    <s v="No"/>
    <n v="14"/>
    <n v="3"/>
    <n v="2"/>
    <n v="80"/>
    <n v="0"/>
    <n v="15"/>
    <n v="3"/>
    <n v="1"/>
    <n v="5"/>
    <n v="4"/>
    <n v="1"/>
    <n v="0"/>
    <s v="OK"/>
    <s v="OK"/>
    <s v="OK"/>
    <s v="OK"/>
    <x v="16"/>
    <n v="0.8"/>
    <n v="0.6"/>
    <n v="0"/>
  </r>
  <r>
    <n v="34"/>
    <s v="No"/>
    <s v="Travel_Rarely"/>
    <n v="971"/>
    <x v="0"/>
    <n v="1"/>
    <n v="3"/>
    <s v="Technical Degree"/>
    <n v="1"/>
    <n v="1535"/>
    <n v="4"/>
    <s v="Male"/>
    <n v="64"/>
    <n v="2"/>
    <n v="3"/>
    <x v="0"/>
    <n v="3"/>
    <s v="Married"/>
    <n v="7083"/>
    <n v="12288"/>
    <n v="1"/>
    <s v="Y"/>
    <s v="Yes"/>
    <n v="14"/>
    <n v="3"/>
    <n v="4"/>
    <n v="80"/>
    <n v="0"/>
    <n v="10"/>
    <n v="3"/>
    <n v="3"/>
    <n v="10"/>
    <n v="9"/>
    <n v="8"/>
    <n v="6"/>
    <s v="OK"/>
    <s v="OK"/>
    <s v="OK"/>
    <s v="OK"/>
    <x v="6"/>
    <n v="0.9"/>
    <n v="0.3"/>
    <n v="0.6"/>
  </r>
  <r>
    <n v="31"/>
    <s v="Yes"/>
    <s v="Travel_Frequently"/>
    <n v="561"/>
    <x v="1"/>
    <n v="3"/>
    <n v="3"/>
    <s v="Life Sciences"/>
    <n v="1"/>
    <n v="1537"/>
    <n v="4"/>
    <s v="Female"/>
    <n v="33"/>
    <n v="3"/>
    <n v="1"/>
    <x v="1"/>
    <n v="3"/>
    <s v="Single"/>
    <n v="4084"/>
    <n v="4156"/>
    <n v="1"/>
    <s v="Y"/>
    <s v="No"/>
    <n v="12"/>
    <n v="3"/>
    <n v="1"/>
    <n v="80"/>
    <n v="0"/>
    <n v="7"/>
    <n v="2"/>
    <n v="1"/>
    <n v="7"/>
    <n v="2"/>
    <n v="7"/>
    <n v="7"/>
    <s v="OK"/>
    <s v="OK"/>
    <s v="OK"/>
    <s v="OK"/>
    <x v="3"/>
    <n v="0.2857142857142857"/>
    <n v="0.2857142857142857"/>
    <n v="1"/>
  </r>
  <r>
    <n v="50"/>
    <s v="No"/>
    <s v="Travel_Frequently"/>
    <n v="333"/>
    <x v="1"/>
    <n v="22"/>
    <n v="5"/>
    <s v="Medical"/>
    <n v="1"/>
    <n v="1539"/>
    <n v="3"/>
    <s v="Male"/>
    <n v="88"/>
    <n v="1"/>
    <n v="4"/>
    <x v="7"/>
    <n v="4"/>
    <s v="Single"/>
    <n v="14411"/>
    <n v="24450"/>
    <n v="1"/>
    <s v="Y"/>
    <s v="Yes"/>
    <n v="13"/>
    <n v="3"/>
    <n v="4"/>
    <n v="80"/>
    <n v="0"/>
    <n v="32"/>
    <n v="2"/>
    <n v="3"/>
    <n v="32"/>
    <n v="6"/>
    <n v="13"/>
    <n v="9"/>
    <s v="OK"/>
    <s v="OK"/>
    <s v="OK"/>
    <s v="OK"/>
    <x v="103"/>
    <n v="0.1875"/>
    <n v="6.25E-2"/>
    <n v="0.28125"/>
  </r>
  <r>
    <n v="34"/>
    <s v="No"/>
    <s v="Travel_Rarely"/>
    <n v="1440"/>
    <x v="0"/>
    <n v="7"/>
    <n v="2"/>
    <s v="Technical Degree"/>
    <n v="1"/>
    <n v="1541"/>
    <n v="2"/>
    <s v="Male"/>
    <n v="55"/>
    <n v="3"/>
    <n v="1"/>
    <x v="6"/>
    <n v="3"/>
    <s v="Married"/>
    <n v="2308"/>
    <n v="4944"/>
    <n v="0"/>
    <s v="Y"/>
    <s v="Yes"/>
    <n v="25"/>
    <n v="4"/>
    <n v="2"/>
    <n v="80"/>
    <n v="1"/>
    <n v="12"/>
    <n v="4"/>
    <n v="3"/>
    <n v="11"/>
    <n v="10"/>
    <n v="5"/>
    <n v="7"/>
    <s v="OK"/>
    <s v="OK"/>
    <s v="OK"/>
    <s v="OK"/>
    <x v="31"/>
    <n v="0.90909090909090906"/>
    <n v="0.36363636363636365"/>
    <n v="0.63636363636363635"/>
  </r>
  <r>
    <n v="42"/>
    <s v="No"/>
    <s v="Travel_Rarely"/>
    <n v="1210"/>
    <x v="1"/>
    <n v="2"/>
    <n v="3"/>
    <s v="Medical"/>
    <n v="1"/>
    <n v="1542"/>
    <n v="3"/>
    <s v="Male"/>
    <n v="68"/>
    <n v="2"/>
    <n v="1"/>
    <x v="2"/>
    <n v="2"/>
    <s v="Married"/>
    <n v="4841"/>
    <n v="24052"/>
    <n v="4"/>
    <s v="Y"/>
    <s v="No"/>
    <n v="14"/>
    <n v="3"/>
    <n v="2"/>
    <n v="80"/>
    <n v="1"/>
    <n v="4"/>
    <n v="3"/>
    <n v="3"/>
    <n v="1"/>
    <n v="0"/>
    <n v="0"/>
    <n v="0"/>
    <s v="OK"/>
    <s v="OK"/>
    <s v="OK"/>
    <s v="OK"/>
    <x v="0"/>
    <n v="0"/>
    <n v="3"/>
    <n v="0"/>
  </r>
  <r>
    <n v="37"/>
    <s v="No"/>
    <s v="Travel_Rarely"/>
    <n v="674"/>
    <x v="1"/>
    <n v="13"/>
    <n v="3"/>
    <s v="Medical"/>
    <n v="1"/>
    <n v="1543"/>
    <n v="1"/>
    <s v="Male"/>
    <n v="47"/>
    <n v="3"/>
    <n v="2"/>
    <x v="1"/>
    <n v="4"/>
    <s v="Married"/>
    <n v="4285"/>
    <n v="3031"/>
    <n v="1"/>
    <s v="Y"/>
    <s v="No"/>
    <n v="17"/>
    <n v="3"/>
    <n v="1"/>
    <n v="80"/>
    <n v="0"/>
    <n v="10"/>
    <n v="2"/>
    <n v="3"/>
    <n v="10"/>
    <n v="8"/>
    <n v="3"/>
    <n v="7"/>
    <s v="OK"/>
    <s v="OK"/>
    <s v="OK"/>
    <s v="OK"/>
    <x v="27"/>
    <n v="0.8"/>
    <n v="0.2"/>
    <n v="0.7"/>
  </r>
  <r>
    <n v="29"/>
    <s v="No"/>
    <s v="Travel_Rarely"/>
    <n v="441"/>
    <x v="1"/>
    <n v="8"/>
    <n v="1"/>
    <s v="Other"/>
    <n v="1"/>
    <n v="1544"/>
    <n v="3"/>
    <s v="Female"/>
    <n v="39"/>
    <n v="1"/>
    <n v="2"/>
    <x v="4"/>
    <n v="1"/>
    <s v="Married"/>
    <n v="9715"/>
    <n v="7288"/>
    <n v="3"/>
    <s v="Y"/>
    <s v="No"/>
    <n v="13"/>
    <n v="3"/>
    <n v="3"/>
    <n v="80"/>
    <n v="1"/>
    <n v="9"/>
    <n v="3"/>
    <n v="3"/>
    <n v="7"/>
    <n v="7"/>
    <n v="0"/>
    <n v="7"/>
    <s v="OK"/>
    <s v="OK"/>
    <s v="OK"/>
    <s v="OK"/>
    <x v="0"/>
    <n v="1"/>
    <n v="0.42857142857142855"/>
    <n v="1"/>
  </r>
  <r>
    <n v="33"/>
    <s v="No"/>
    <s v="Travel_Rarely"/>
    <n v="575"/>
    <x v="1"/>
    <n v="25"/>
    <n v="3"/>
    <s v="Life Sciences"/>
    <n v="1"/>
    <n v="1545"/>
    <n v="4"/>
    <s v="Male"/>
    <n v="44"/>
    <n v="2"/>
    <n v="2"/>
    <x v="3"/>
    <n v="2"/>
    <s v="Single"/>
    <n v="4320"/>
    <n v="24152"/>
    <n v="1"/>
    <s v="Y"/>
    <s v="No"/>
    <n v="13"/>
    <n v="3"/>
    <n v="4"/>
    <n v="80"/>
    <n v="0"/>
    <n v="5"/>
    <n v="2"/>
    <n v="3"/>
    <n v="5"/>
    <n v="3"/>
    <n v="0"/>
    <n v="2"/>
    <s v="OK"/>
    <s v="OK"/>
    <s v="OK"/>
    <s v="OK"/>
    <x v="0"/>
    <n v="0.6"/>
    <n v="0.4"/>
    <n v="0.4"/>
  </r>
  <r>
    <n v="45"/>
    <s v="No"/>
    <s v="Travel_Rarely"/>
    <n v="950"/>
    <x v="1"/>
    <n v="28"/>
    <n v="3"/>
    <s v="Technical Degree"/>
    <n v="1"/>
    <n v="1546"/>
    <n v="4"/>
    <s v="Male"/>
    <n v="97"/>
    <n v="3"/>
    <n v="1"/>
    <x v="1"/>
    <n v="4"/>
    <s v="Married"/>
    <n v="2132"/>
    <n v="4585"/>
    <n v="4"/>
    <s v="Y"/>
    <s v="No"/>
    <n v="20"/>
    <n v="4"/>
    <n v="4"/>
    <n v="80"/>
    <n v="1"/>
    <n v="8"/>
    <n v="3"/>
    <n v="3"/>
    <n v="5"/>
    <n v="4"/>
    <n v="0"/>
    <n v="3"/>
    <s v="OK"/>
    <s v="OK"/>
    <s v="OK"/>
    <s v="OK"/>
    <x v="0"/>
    <n v="0.8"/>
    <n v="0.6"/>
    <n v="0.6"/>
  </r>
  <r>
    <n v="42"/>
    <s v="No"/>
    <s v="Travel_Frequently"/>
    <n v="288"/>
    <x v="1"/>
    <n v="2"/>
    <n v="3"/>
    <s v="Life Sciences"/>
    <n v="1"/>
    <n v="1547"/>
    <n v="4"/>
    <s v="Male"/>
    <n v="40"/>
    <n v="3"/>
    <n v="3"/>
    <x v="4"/>
    <n v="4"/>
    <s v="Married"/>
    <n v="10124"/>
    <n v="18611"/>
    <n v="2"/>
    <s v="Y"/>
    <s v="Yes"/>
    <n v="14"/>
    <n v="3"/>
    <n v="3"/>
    <n v="80"/>
    <n v="1"/>
    <n v="24"/>
    <n v="3"/>
    <n v="1"/>
    <n v="20"/>
    <n v="8"/>
    <n v="13"/>
    <n v="9"/>
    <s v="OK"/>
    <s v="OK"/>
    <s v="OK"/>
    <s v="OK"/>
    <x v="94"/>
    <n v="0.4"/>
    <n v="0.15"/>
    <n v="0.45"/>
  </r>
  <r>
    <n v="40"/>
    <s v="No"/>
    <s v="Travel_Rarely"/>
    <n v="1342"/>
    <x v="0"/>
    <n v="9"/>
    <n v="2"/>
    <s v="Medical"/>
    <n v="1"/>
    <n v="1548"/>
    <n v="1"/>
    <s v="Male"/>
    <n v="47"/>
    <n v="3"/>
    <n v="2"/>
    <x v="0"/>
    <n v="1"/>
    <s v="Married"/>
    <n v="5473"/>
    <n v="19345"/>
    <n v="0"/>
    <s v="Y"/>
    <s v="No"/>
    <n v="12"/>
    <n v="3"/>
    <n v="4"/>
    <n v="80"/>
    <n v="0"/>
    <n v="9"/>
    <n v="5"/>
    <n v="4"/>
    <n v="8"/>
    <n v="4"/>
    <n v="7"/>
    <n v="1"/>
    <s v="OK"/>
    <s v="OK"/>
    <s v="OK"/>
    <s v="OK"/>
    <x v="43"/>
    <n v="0.5"/>
    <n v="0.625"/>
    <n v="0.125"/>
  </r>
  <r>
    <n v="33"/>
    <s v="No"/>
    <s v="Travel_Rarely"/>
    <n v="589"/>
    <x v="1"/>
    <n v="28"/>
    <n v="4"/>
    <s v="Life Sciences"/>
    <n v="1"/>
    <n v="1549"/>
    <n v="2"/>
    <s v="Male"/>
    <n v="79"/>
    <n v="3"/>
    <n v="2"/>
    <x v="2"/>
    <n v="3"/>
    <s v="Married"/>
    <n v="5207"/>
    <n v="22949"/>
    <n v="1"/>
    <s v="Y"/>
    <s v="Yes"/>
    <n v="12"/>
    <n v="3"/>
    <n v="2"/>
    <n v="80"/>
    <n v="1"/>
    <n v="15"/>
    <n v="3"/>
    <n v="3"/>
    <n v="15"/>
    <n v="14"/>
    <n v="5"/>
    <n v="7"/>
    <s v="OK"/>
    <s v="OK"/>
    <s v="OK"/>
    <s v="OK"/>
    <x v="9"/>
    <n v="0.93333333333333335"/>
    <n v="0.2"/>
    <n v="0.46666666666666667"/>
  </r>
  <r>
    <n v="40"/>
    <s v="No"/>
    <s v="Travel_Rarely"/>
    <n v="898"/>
    <x v="2"/>
    <n v="6"/>
    <n v="2"/>
    <s v="Medical"/>
    <n v="1"/>
    <n v="1550"/>
    <n v="3"/>
    <s v="Male"/>
    <n v="38"/>
    <n v="3"/>
    <n v="4"/>
    <x v="5"/>
    <n v="4"/>
    <s v="Single"/>
    <n v="16437"/>
    <n v="17381"/>
    <n v="1"/>
    <s v="Y"/>
    <s v="Yes"/>
    <n v="21"/>
    <n v="4"/>
    <n v="4"/>
    <n v="80"/>
    <n v="0"/>
    <n v="21"/>
    <n v="2"/>
    <n v="3"/>
    <n v="21"/>
    <n v="7"/>
    <n v="7"/>
    <n v="7"/>
    <s v="OK"/>
    <s v="OK"/>
    <s v="OK"/>
    <s v="OK"/>
    <x v="9"/>
    <n v="0.33333333333333331"/>
    <n v="9.5238095238095233E-2"/>
    <n v="0.33333333333333331"/>
  </r>
  <r>
    <n v="24"/>
    <s v="No"/>
    <s v="Travel_Rarely"/>
    <n v="350"/>
    <x v="1"/>
    <n v="21"/>
    <n v="2"/>
    <s v="Technical Degree"/>
    <n v="1"/>
    <n v="1551"/>
    <n v="3"/>
    <s v="Male"/>
    <n v="57"/>
    <n v="2"/>
    <n v="1"/>
    <x v="2"/>
    <n v="1"/>
    <s v="Divorced"/>
    <n v="2296"/>
    <n v="10036"/>
    <n v="0"/>
    <s v="Y"/>
    <s v="No"/>
    <n v="14"/>
    <n v="3"/>
    <n v="2"/>
    <n v="80"/>
    <n v="3"/>
    <n v="2"/>
    <n v="3"/>
    <n v="3"/>
    <n v="1"/>
    <n v="1"/>
    <n v="0"/>
    <n v="0"/>
    <s v="OK"/>
    <s v="OK"/>
    <s v="OK"/>
    <s v="OK"/>
    <x v="0"/>
    <n v="1"/>
    <n v="3"/>
    <n v="0"/>
  </r>
  <r>
    <n v="40"/>
    <s v="No"/>
    <s v="Non-Travel"/>
    <n v="1142"/>
    <x v="1"/>
    <n v="8"/>
    <n v="2"/>
    <s v="Life Sciences"/>
    <n v="1"/>
    <n v="1552"/>
    <n v="4"/>
    <s v="Male"/>
    <n v="72"/>
    <n v="3"/>
    <n v="2"/>
    <x v="4"/>
    <n v="4"/>
    <s v="Divorced"/>
    <n v="4069"/>
    <n v="8841"/>
    <n v="3"/>
    <s v="Y"/>
    <s v="Yes"/>
    <n v="18"/>
    <n v="3"/>
    <n v="3"/>
    <n v="80"/>
    <n v="0"/>
    <n v="8"/>
    <n v="2"/>
    <n v="3"/>
    <n v="2"/>
    <n v="2"/>
    <n v="2"/>
    <n v="2"/>
    <s v="OK"/>
    <s v="OK"/>
    <s v="OK"/>
    <s v="OK"/>
    <x v="3"/>
    <n v="1"/>
    <n v="1"/>
    <n v="1"/>
  </r>
  <r>
    <n v="45"/>
    <s v="No"/>
    <s v="Travel_Rarely"/>
    <n v="538"/>
    <x v="1"/>
    <n v="1"/>
    <n v="4"/>
    <s v="Technical Degree"/>
    <n v="1"/>
    <n v="1553"/>
    <n v="1"/>
    <s v="Male"/>
    <n v="66"/>
    <n v="3"/>
    <n v="3"/>
    <x v="4"/>
    <n v="2"/>
    <s v="Divorced"/>
    <n v="7441"/>
    <n v="20933"/>
    <n v="1"/>
    <s v="Y"/>
    <s v="No"/>
    <n v="12"/>
    <n v="3"/>
    <n v="1"/>
    <n v="80"/>
    <n v="3"/>
    <n v="10"/>
    <n v="4"/>
    <n v="3"/>
    <n v="10"/>
    <n v="8"/>
    <n v="7"/>
    <n v="7"/>
    <s v="OK"/>
    <s v="OK"/>
    <s v="OK"/>
    <s v="OK"/>
    <x v="42"/>
    <n v="0.8"/>
    <n v="0.4"/>
    <n v="0.7"/>
  </r>
  <r>
    <n v="35"/>
    <s v="No"/>
    <s v="Travel_Rarely"/>
    <n v="1402"/>
    <x v="0"/>
    <n v="28"/>
    <n v="4"/>
    <s v="Life Sciences"/>
    <n v="1"/>
    <n v="1554"/>
    <n v="2"/>
    <s v="Female"/>
    <n v="98"/>
    <n v="2"/>
    <n v="1"/>
    <x v="6"/>
    <n v="3"/>
    <s v="Married"/>
    <n v="2430"/>
    <n v="26204"/>
    <n v="0"/>
    <s v="Y"/>
    <s v="No"/>
    <n v="23"/>
    <n v="4"/>
    <n v="1"/>
    <n v="80"/>
    <n v="2"/>
    <n v="6"/>
    <n v="5"/>
    <n v="3"/>
    <n v="5"/>
    <n v="3"/>
    <n v="4"/>
    <n v="2"/>
    <s v="OK"/>
    <s v="OK"/>
    <s v="OK"/>
    <s v="OK"/>
    <x v="6"/>
    <n v="0.6"/>
    <n v="1"/>
    <n v="0.4"/>
  </r>
  <r>
    <n v="32"/>
    <s v="No"/>
    <s v="Travel_Rarely"/>
    <n v="824"/>
    <x v="1"/>
    <n v="5"/>
    <n v="2"/>
    <s v="Life Sciences"/>
    <n v="1"/>
    <n v="1555"/>
    <n v="4"/>
    <s v="Female"/>
    <n v="67"/>
    <n v="2"/>
    <n v="2"/>
    <x v="1"/>
    <n v="2"/>
    <s v="Married"/>
    <n v="5878"/>
    <n v="15624"/>
    <n v="3"/>
    <s v="Y"/>
    <s v="No"/>
    <n v="12"/>
    <n v="3"/>
    <n v="1"/>
    <n v="80"/>
    <n v="1"/>
    <n v="12"/>
    <n v="2"/>
    <n v="3"/>
    <n v="7"/>
    <n v="1"/>
    <n v="2"/>
    <n v="5"/>
    <s v="OK"/>
    <s v="OK"/>
    <s v="OK"/>
    <s v="OK"/>
    <x v="12"/>
    <n v="0.14285714285714285"/>
    <n v="0.2857142857142857"/>
    <n v="0.7142857142857143"/>
  </r>
  <r>
    <n v="36"/>
    <s v="No"/>
    <s v="Travel_Rarely"/>
    <n v="1157"/>
    <x v="0"/>
    <n v="2"/>
    <n v="4"/>
    <s v="Life Sciences"/>
    <n v="1"/>
    <n v="1556"/>
    <n v="3"/>
    <s v="Male"/>
    <n v="70"/>
    <n v="3"/>
    <n v="1"/>
    <x v="6"/>
    <n v="4"/>
    <s v="Single"/>
    <n v="2644"/>
    <n v="17001"/>
    <n v="3"/>
    <s v="Y"/>
    <s v="Yes"/>
    <n v="21"/>
    <n v="4"/>
    <n v="4"/>
    <n v="80"/>
    <n v="0"/>
    <n v="7"/>
    <n v="3"/>
    <n v="2"/>
    <n v="3"/>
    <n v="2"/>
    <n v="1"/>
    <n v="2"/>
    <s v="OK"/>
    <s v="OK"/>
    <s v="OK"/>
    <s v="OK"/>
    <x v="9"/>
    <n v="0.66666666666666663"/>
    <n v="1"/>
    <n v="0.66666666666666663"/>
  </r>
  <r>
    <n v="48"/>
    <s v="No"/>
    <s v="Travel_Rarely"/>
    <n v="492"/>
    <x v="0"/>
    <n v="16"/>
    <n v="4"/>
    <s v="Life Sciences"/>
    <n v="1"/>
    <n v="1557"/>
    <n v="3"/>
    <s v="Female"/>
    <n v="96"/>
    <n v="3"/>
    <n v="2"/>
    <x v="0"/>
    <n v="3"/>
    <s v="Divorced"/>
    <n v="6439"/>
    <n v="13693"/>
    <n v="8"/>
    <s v="Y"/>
    <s v="No"/>
    <n v="14"/>
    <n v="3"/>
    <n v="3"/>
    <n v="80"/>
    <n v="1"/>
    <n v="18"/>
    <n v="2"/>
    <n v="3"/>
    <n v="8"/>
    <n v="7"/>
    <n v="7"/>
    <n v="7"/>
    <s v="OK"/>
    <s v="OK"/>
    <s v="OK"/>
    <s v="OK"/>
    <x v="43"/>
    <n v="0.875"/>
    <n v="0.25"/>
    <n v="0.875"/>
  </r>
  <r>
    <n v="29"/>
    <s v="No"/>
    <s v="Travel_Rarely"/>
    <n v="598"/>
    <x v="1"/>
    <n v="9"/>
    <n v="3"/>
    <s v="Life Sciences"/>
    <n v="1"/>
    <n v="1558"/>
    <n v="3"/>
    <s v="Male"/>
    <n v="91"/>
    <n v="4"/>
    <n v="1"/>
    <x v="1"/>
    <n v="3"/>
    <s v="Married"/>
    <n v="2451"/>
    <n v="22376"/>
    <n v="6"/>
    <s v="Y"/>
    <s v="No"/>
    <n v="18"/>
    <n v="3"/>
    <n v="1"/>
    <n v="80"/>
    <n v="2"/>
    <n v="5"/>
    <n v="2"/>
    <n v="2"/>
    <n v="1"/>
    <n v="0"/>
    <n v="0"/>
    <n v="0"/>
    <s v="OK"/>
    <s v="OK"/>
    <s v="OK"/>
    <s v="OK"/>
    <x v="0"/>
    <n v="0"/>
    <n v="2"/>
    <n v="0"/>
  </r>
  <r>
    <n v="33"/>
    <s v="No"/>
    <s v="Travel_Rarely"/>
    <n v="1242"/>
    <x v="0"/>
    <n v="8"/>
    <n v="4"/>
    <s v="Life Sciences"/>
    <n v="1"/>
    <n v="1560"/>
    <n v="1"/>
    <s v="Male"/>
    <n v="46"/>
    <n v="3"/>
    <n v="2"/>
    <x v="0"/>
    <n v="1"/>
    <s v="Married"/>
    <n v="6392"/>
    <n v="10589"/>
    <n v="2"/>
    <s v="Y"/>
    <s v="No"/>
    <n v="13"/>
    <n v="3"/>
    <n v="4"/>
    <n v="80"/>
    <n v="1"/>
    <n v="8"/>
    <n v="6"/>
    <n v="1"/>
    <n v="2"/>
    <n v="2"/>
    <n v="2"/>
    <n v="2"/>
    <s v="OK"/>
    <s v="OK"/>
    <s v="OK"/>
    <s v="OK"/>
    <x v="3"/>
    <n v="1"/>
    <n v="3"/>
    <n v="1"/>
  </r>
  <r>
    <n v="30"/>
    <s v="Yes"/>
    <s v="Travel_Rarely"/>
    <n v="740"/>
    <x v="0"/>
    <n v="1"/>
    <n v="3"/>
    <s v="Life Sciences"/>
    <n v="1"/>
    <n v="1562"/>
    <n v="2"/>
    <s v="Male"/>
    <n v="64"/>
    <n v="2"/>
    <n v="2"/>
    <x v="0"/>
    <n v="1"/>
    <s v="Married"/>
    <n v="9714"/>
    <n v="5323"/>
    <n v="1"/>
    <s v="Y"/>
    <s v="No"/>
    <n v="11"/>
    <n v="3"/>
    <n v="4"/>
    <n v="80"/>
    <n v="1"/>
    <n v="10"/>
    <n v="4"/>
    <n v="3"/>
    <n v="10"/>
    <n v="8"/>
    <n v="6"/>
    <n v="7"/>
    <s v="OK"/>
    <s v="OK"/>
    <s v="OK"/>
    <s v="OK"/>
    <x v="13"/>
    <n v="0.8"/>
    <n v="0.4"/>
    <n v="0.7"/>
  </r>
  <r>
    <n v="38"/>
    <s v="No"/>
    <s v="Travel_Frequently"/>
    <n v="888"/>
    <x v="2"/>
    <n v="10"/>
    <n v="4"/>
    <s v="Human Resources"/>
    <n v="1"/>
    <n v="1563"/>
    <n v="3"/>
    <s v="Male"/>
    <n v="71"/>
    <n v="3"/>
    <n v="2"/>
    <x v="8"/>
    <n v="3"/>
    <s v="Married"/>
    <n v="6077"/>
    <n v="14814"/>
    <n v="3"/>
    <s v="Y"/>
    <s v="No"/>
    <n v="11"/>
    <n v="3"/>
    <n v="3"/>
    <n v="80"/>
    <n v="0"/>
    <n v="10"/>
    <n v="2"/>
    <n v="3"/>
    <n v="6"/>
    <n v="3"/>
    <n v="1"/>
    <n v="2"/>
    <s v="OK"/>
    <s v="OK"/>
    <s v="OK"/>
    <s v="OK"/>
    <x v="11"/>
    <n v="0.5"/>
    <n v="0.33333333333333331"/>
    <n v="0.33333333333333331"/>
  </r>
  <r>
    <n v="35"/>
    <s v="No"/>
    <s v="Travel_Rarely"/>
    <n v="992"/>
    <x v="1"/>
    <n v="1"/>
    <n v="3"/>
    <s v="Medical"/>
    <n v="1"/>
    <n v="1564"/>
    <n v="4"/>
    <s v="Male"/>
    <n v="68"/>
    <n v="2"/>
    <n v="1"/>
    <x v="2"/>
    <n v="1"/>
    <s v="Single"/>
    <n v="2450"/>
    <n v="21731"/>
    <n v="1"/>
    <s v="Y"/>
    <s v="No"/>
    <n v="19"/>
    <n v="3"/>
    <n v="2"/>
    <n v="80"/>
    <n v="0"/>
    <n v="3"/>
    <n v="3"/>
    <n v="3"/>
    <n v="3"/>
    <n v="0"/>
    <n v="1"/>
    <n v="2"/>
    <s v="OK"/>
    <s v="OK"/>
    <s v="OK"/>
    <s v="OK"/>
    <x v="9"/>
    <n v="0"/>
    <n v="1"/>
    <n v="0.66666666666666663"/>
  </r>
  <r>
    <n v="30"/>
    <s v="No"/>
    <s v="Travel_Rarely"/>
    <n v="1288"/>
    <x v="0"/>
    <n v="29"/>
    <n v="4"/>
    <s v="Technical Degree"/>
    <n v="1"/>
    <n v="1568"/>
    <n v="3"/>
    <s v="Male"/>
    <n v="33"/>
    <n v="3"/>
    <n v="3"/>
    <x v="0"/>
    <n v="2"/>
    <s v="Married"/>
    <n v="9250"/>
    <n v="17799"/>
    <n v="3"/>
    <s v="Y"/>
    <s v="No"/>
    <n v="12"/>
    <n v="3"/>
    <n v="2"/>
    <n v="80"/>
    <n v="1"/>
    <n v="9"/>
    <n v="3"/>
    <n v="3"/>
    <n v="4"/>
    <n v="2"/>
    <n v="1"/>
    <n v="3"/>
    <s v="OK"/>
    <s v="OK"/>
    <s v="OK"/>
    <s v="OK"/>
    <x v="10"/>
    <n v="0.5"/>
    <n v="0.75"/>
    <n v="0.75"/>
  </r>
  <r>
    <n v="35"/>
    <s v="Yes"/>
    <s v="Travel_Rarely"/>
    <n v="104"/>
    <x v="1"/>
    <n v="2"/>
    <n v="3"/>
    <s v="Life Sciences"/>
    <n v="1"/>
    <n v="1569"/>
    <n v="1"/>
    <s v="Female"/>
    <n v="69"/>
    <n v="3"/>
    <n v="1"/>
    <x v="2"/>
    <n v="1"/>
    <s v="Divorced"/>
    <n v="2074"/>
    <n v="26619"/>
    <n v="1"/>
    <s v="Y"/>
    <s v="Yes"/>
    <n v="12"/>
    <n v="3"/>
    <n v="4"/>
    <n v="80"/>
    <n v="1"/>
    <n v="1"/>
    <n v="2"/>
    <n v="3"/>
    <n v="1"/>
    <n v="0"/>
    <n v="0"/>
    <n v="0"/>
    <s v="OK"/>
    <s v="OK"/>
    <s v="OK"/>
    <s v="OK"/>
    <x v="0"/>
    <n v="0"/>
    <n v="2"/>
    <n v="0"/>
  </r>
  <r>
    <n v="53"/>
    <s v="Yes"/>
    <s v="Travel_Rarely"/>
    <n v="607"/>
    <x v="1"/>
    <n v="2"/>
    <n v="5"/>
    <s v="Technical Degree"/>
    <n v="1"/>
    <n v="1572"/>
    <n v="3"/>
    <s v="Female"/>
    <n v="78"/>
    <n v="2"/>
    <n v="3"/>
    <x v="3"/>
    <n v="4"/>
    <s v="Married"/>
    <n v="10169"/>
    <n v="14618"/>
    <n v="0"/>
    <s v="Y"/>
    <s v="No"/>
    <n v="16"/>
    <n v="3"/>
    <n v="2"/>
    <n v="80"/>
    <n v="1"/>
    <n v="34"/>
    <n v="4"/>
    <n v="3"/>
    <n v="33"/>
    <n v="7"/>
    <n v="1"/>
    <n v="9"/>
    <s v="OK"/>
    <s v="OK"/>
    <s v="OK"/>
    <s v="OK"/>
    <x v="104"/>
    <n v="0.21212121212121213"/>
    <n v="0.12121212121212122"/>
    <n v="0.27272727272727271"/>
  </r>
  <r>
    <n v="38"/>
    <s v="Yes"/>
    <s v="Travel_Rarely"/>
    <n v="903"/>
    <x v="1"/>
    <n v="2"/>
    <n v="3"/>
    <s v="Medical"/>
    <n v="1"/>
    <n v="1573"/>
    <n v="3"/>
    <s v="Male"/>
    <n v="81"/>
    <n v="3"/>
    <n v="2"/>
    <x v="3"/>
    <n v="2"/>
    <s v="Married"/>
    <n v="4855"/>
    <n v="7653"/>
    <n v="4"/>
    <s v="Y"/>
    <s v="No"/>
    <n v="11"/>
    <n v="3"/>
    <n v="1"/>
    <n v="80"/>
    <n v="2"/>
    <n v="7"/>
    <n v="2"/>
    <n v="3"/>
    <n v="5"/>
    <n v="2"/>
    <n v="1"/>
    <n v="4"/>
    <s v="OK"/>
    <s v="OK"/>
    <s v="OK"/>
    <s v="OK"/>
    <x v="16"/>
    <n v="0.4"/>
    <n v="0.4"/>
    <n v="0.8"/>
  </r>
  <r>
    <n v="32"/>
    <s v="No"/>
    <s v="Non-Travel"/>
    <n v="1200"/>
    <x v="1"/>
    <n v="1"/>
    <n v="4"/>
    <s v="Technical Degree"/>
    <n v="1"/>
    <n v="1574"/>
    <n v="4"/>
    <s v="Male"/>
    <n v="62"/>
    <n v="3"/>
    <n v="2"/>
    <x v="1"/>
    <n v="1"/>
    <s v="Married"/>
    <n v="4087"/>
    <n v="25174"/>
    <n v="4"/>
    <s v="Y"/>
    <s v="No"/>
    <n v="14"/>
    <n v="3"/>
    <n v="2"/>
    <n v="80"/>
    <n v="1"/>
    <n v="9"/>
    <n v="3"/>
    <n v="2"/>
    <n v="6"/>
    <n v="5"/>
    <n v="1"/>
    <n v="2"/>
    <s v="OK"/>
    <s v="OK"/>
    <s v="OK"/>
    <s v="OK"/>
    <x v="11"/>
    <n v="0.83333333333333337"/>
    <n v="0.5"/>
    <n v="0.33333333333333331"/>
  </r>
  <r>
    <n v="48"/>
    <s v="No"/>
    <s v="Travel_Rarely"/>
    <n v="1108"/>
    <x v="1"/>
    <n v="15"/>
    <n v="4"/>
    <s v="Other"/>
    <n v="1"/>
    <n v="1576"/>
    <n v="3"/>
    <s v="Female"/>
    <n v="65"/>
    <n v="3"/>
    <n v="1"/>
    <x v="1"/>
    <n v="1"/>
    <s v="Married"/>
    <n v="2367"/>
    <n v="16530"/>
    <n v="8"/>
    <s v="Y"/>
    <s v="No"/>
    <n v="12"/>
    <n v="3"/>
    <n v="4"/>
    <n v="80"/>
    <n v="1"/>
    <n v="10"/>
    <n v="3"/>
    <n v="2"/>
    <n v="8"/>
    <n v="2"/>
    <n v="7"/>
    <n v="6"/>
    <s v="OK"/>
    <s v="OK"/>
    <s v="OK"/>
    <s v="OK"/>
    <x v="43"/>
    <n v="0.25"/>
    <n v="0.375"/>
    <n v="0.75"/>
  </r>
  <r>
    <n v="34"/>
    <s v="No"/>
    <s v="Travel_Rarely"/>
    <n v="479"/>
    <x v="1"/>
    <n v="7"/>
    <n v="4"/>
    <s v="Medical"/>
    <n v="1"/>
    <n v="1577"/>
    <n v="1"/>
    <s v="Male"/>
    <n v="35"/>
    <n v="3"/>
    <n v="1"/>
    <x v="1"/>
    <n v="4"/>
    <s v="Single"/>
    <n v="2972"/>
    <n v="22061"/>
    <n v="1"/>
    <s v="Y"/>
    <s v="No"/>
    <n v="13"/>
    <n v="3"/>
    <n v="3"/>
    <n v="80"/>
    <n v="0"/>
    <n v="1"/>
    <n v="4"/>
    <n v="1"/>
    <n v="1"/>
    <n v="0"/>
    <n v="0"/>
    <n v="0"/>
    <s v="OK"/>
    <s v="OK"/>
    <s v="OK"/>
    <s v="OK"/>
    <x v="0"/>
    <n v="0"/>
    <n v="4"/>
    <n v="0"/>
  </r>
  <r>
    <n v="55"/>
    <s v="No"/>
    <s v="Travel_Rarely"/>
    <n v="685"/>
    <x v="0"/>
    <n v="26"/>
    <n v="5"/>
    <s v="Marketing"/>
    <n v="1"/>
    <n v="1578"/>
    <n v="3"/>
    <s v="Male"/>
    <n v="60"/>
    <n v="2"/>
    <n v="5"/>
    <x v="5"/>
    <n v="4"/>
    <s v="Married"/>
    <n v="19586"/>
    <n v="23037"/>
    <n v="1"/>
    <s v="Y"/>
    <s v="No"/>
    <n v="21"/>
    <n v="4"/>
    <n v="3"/>
    <n v="80"/>
    <n v="1"/>
    <n v="36"/>
    <n v="3"/>
    <n v="3"/>
    <n v="36"/>
    <n v="6"/>
    <n v="2"/>
    <n v="13"/>
    <s v="OK"/>
    <s v="OK"/>
    <s v="OK"/>
    <s v="OK"/>
    <x v="73"/>
    <n v="0.16666666666666666"/>
    <n v="8.3333333333333329E-2"/>
    <n v="0.3611111111111111"/>
  </r>
  <r>
    <n v="34"/>
    <s v="No"/>
    <s v="Travel_Rarely"/>
    <n v="1351"/>
    <x v="1"/>
    <n v="1"/>
    <n v="4"/>
    <s v="Life Sciences"/>
    <n v="1"/>
    <n v="1580"/>
    <n v="2"/>
    <s v="Male"/>
    <n v="45"/>
    <n v="3"/>
    <n v="2"/>
    <x v="1"/>
    <n v="4"/>
    <s v="Married"/>
    <n v="5484"/>
    <n v="13008"/>
    <n v="9"/>
    <s v="Y"/>
    <s v="No"/>
    <n v="17"/>
    <n v="3"/>
    <n v="2"/>
    <n v="80"/>
    <n v="1"/>
    <n v="9"/>
    <n v="3"/>
    <n v="2"/>
    <n v="2"/>
    <n v="2"/>
    <n v="2"/>
    <n v="1"/>
    <s v="OK"/>
    <s v="OK"/>
    <s v="OK"/>
    <s v="OK"/>
    <x v="3"/>
    <n v="1"/>
    <n v="1.5"/>
    <n v="0.5"/>
  </r>
  <r>
    <n v="26"/>
    <s v="No"/>
    <s v="Travel_Rarely"/>
    <n v="474"/>
    <x v="1"/>
    <n v="3"/>
    <n v="3"/>
    <s v="Life Sciences"/>
    <n v="1"/>
    <n v="1581"/>
    <n v="1"/>
    <s v="Female"/>
    <n v="89"/>
    <n v="3"/>
    <n v="1"/>
    <x v="1"/>
    <n v="4"/>
    <s v="Married"/>
    <n v="2061"/>
    <n v="11133"/>
    <n v="1"/>
    <s v="Y"/>
    <s v="No"/>
    <n v="21"/>
    <n v="4"/>
    <n v="1"/>
    <n v="80"/>
    <n v="0"/>
    <n v="1"/>
    <n v="5"/>
    <n v="3"/>
    <n v="1"/>
    <n v="0"/>
    <n v="0"/>
    <n v="0"/>
    <s v="OK"/>
    <s v="OK"/>
    <s v="OK"/>
    <s v="OK"/>
    <x v="0"/>
    <n v="0"/>
    <n v="5"/>
    <n v="0"/>
  </r>
  <r>
    <n v="38"/>
    <s v="No"/>
    <s v="Travel_Rarely"/>
    <n v="1245"/>
    <x v="0"/>
    <n v="14"/>
    <n v="3"/>
    <s v="Life Sciences"/>
    <n v="1"/>
    <n v="1582"/>
    <n v="3"/>
    <s v="Male"/>
    <n v="80"/>
    <n v="3"/>
    <n v="2"/>
    <x v="0"/>
    <n v="2"/>
    <s v="Married"/>
    <n v="9924"/>
    <n v="12355"/>
    <n v="0"/>
    <s v="Y"/>
    <s v="No"/>
    <n v="11"/>
    <n v="3"/>
    <n v="4"/>
    <n v="80"/>
    <n v="1"/>
    <n v="10"/>
    <n v="3"/>
    <n v="3"/>
    <n v="9"/>
    <n v="8"/>
    <n v="7"/>
    <n v="7"/>
    <s v="OK"/>
    <s v="OK"/>
    <s v="OK"/>
    <s v="OK"/>
    <x v="21"/>
    <n v="0.88888888888888884"/>
    <n v="0.33333333333333331"/>
    <n v="0.77777777777777779"/>
  </r>
  <r>
    <n v="38"/>
    <s v="No"/>
    <s v="Travel_Rarely"/>
    <n v="437"/>
    <x v="0"/>
    <n v="16"/>
    <n v="3"/>
    <s v="Life Sciences"/>
    <n v="1"/>
    <n v="1583"/>
    <n v="2"/>
    <s v="Female"/>
    <n v="90"/>
    <n v="3"/>
    <n v="2"/>
    <x v="0"/>
    <n v="2"/>
    <s v="Single"/>
    <n v="4198"/>
    <n v="16379"/>
    <n v="2"/>
    <s v="Y"/>
    <s v="No"/>
    <n v="12"/>
    <n v="3"/>
    <n v="2"/>
    <n v="80"/>
    <n v="0"/>
    <n v="8"/>
    <n v="5"/>
    <n v="4"/>
    <n v="3"/>
    <n v="2"/>
    <n v="1"/>
    <n v="2"/>
    <s v="OK"/>
    <s v="OK"/>
    <s v="OK"/>
    <s v="OK"/>
    <x v="9"/>
    <n v="0.66666666666666663"/>
    <n v="1.6666666666666667"/>
    <n v="0.66666666666666663"/>
  </r>
  <r>
    <n v="36"/>
    <s v="No"/>
    <s v="Travel_Rarely"/>
    <n v="884"/>
    <x v="0"/>
    <n v="1"/>
    <n v="4"/>
    <s v="Life Sciences"/>
    <n v="1"/>
    <n v="1585"/>
    <n v="2"/>
    <s v="Female"/>
    <n v="73"/>
    <n v="3"/>
    <n v="2"/>
    <x v="0"/>
    <n v="3"/>
    <s v="Single"/>
    <n v="6815"/>
    <n v="21447"/>
    <n v="6"/>
    <s v="Y"/>
    <s v="No"/>
    <n v="13"/>
    <n v="3"/>
    <n v="1"/>
    <n v="80"/>
    <n v="0"/>
    <n v="15"/>
    <n v="5"/>
    <n v="3"/>
    <n v="1"/>
    <n v="0"/>
    <n v="0"/>
    <n v="0"/>
    <s v="OK"/>
    <s v="OK"/>
    <s v="OK"/>
    <s v="OK"/>
    <x v="0"/>
    <n v="0"/>
    <n v="5"/>
    <n v="0"/>
  </r>
  <r>
    <n v="29"/>
    <s v="No"/>
    <s v="Travel_Rarely"/>
    <n v="1370"/>
    <x v="1"/>
    <n v="3"/>
    <n v="1"/>
    <s v="Medical"/>
    <n v="1"/>
    <n v="1586"/>
    <n v="2"/>
    <s v="Male"/>
    <n v="87"/>
    <n v="3"/>
    <n v="1"/>
    <x v="2"/>
    <n v="1"/>
    <s v="Single"/>
    <n v="4723"/>
    <n v="16213"/>
    <n v="1"/>
    <s v="Y"/>
    <s v="Yes"/>
    <n v="18"/>
    <n v="3"/>
    <n v="4"/>
    <n v="80"/>
    <n v="0"/>
    <n v="10"/>
    <n v="3"/>
    <n v="3"/>
    <n v="10"/>
    <n v="9"/>
    <n v="1"/>
    <n v="5"/>
    <s v="OK"/>
    <s v="OK"/>
    <s v="OK"/>
    <s v="OK"/>
    <x v="1"/>
    <n v="0.9"/>
    <n v="0.3"/>
    <n v="0.5"/>
  </r>
  <r>
    <n v="35"/>
    <s v="No"/>
    <s v="Travel_Rarely"/>
    <n v="670"/>
    <x v="1"/>
    <n v="10"/>
    <n v="4"/>
    <s v="Medical"/>
    <n v="1"/>
    <n v="1587"/>
    <n v="1"/>
    <s v="Female"/>
    <n v="51"/>
    <n v="3"/>
    <n v="2"/>
    <x v="4"/>
    <n v="3"/>
    <s v="Single"/>
    <n v="6142"/>
    <n v="4223"/>
    <n v="3"/>
    <s v="Y"/>
    <s v="Yes"/>
    <n v="16"/>
    <n v="3"/>
    <n v="3"/>
    <n v="80"/>
    <n v="0"/>
    <n v="10"/>
    <n v="4"/>
    <n v="3"/>
    <n v="5"/>
    <n v="2"/>
    <n v="0"/>
    <n v="4"/>
    <s v="OK"/>
    <s v="OK"/>
    <s v="OK"/>
    <s v="OK"/>
    <x v="0"/>
    <n v="0.4"/>
    <n v="0.8"/>
    <n v="0.8"/>
  </r>
  <r>
    <n v="39"/>
    <s v="No"/>
    <s v="Travel_Rarely"/>
    <n v="1462"/>
    <x v="0"/>
    <n v="6"/>
    <n v="3"/>
    <s v="Medical"/>
    <n v="1"/>
    <n v="1588"/>
    <n v="4"/>
    <s v="Male"/>
    <n v="38"/>
    <n v="4"/>
    <n v="3"/>
    <x v="0"/>
    <n v="3"/>
    <s v="Married"/>
    <n v="8237"/>
    <n v="4658"/>
    <n v="2"/>
    <s v="Y"/>
    <s v="No"/>
    <n v="11"/>
    <n v="3"/>
    <n v="1"/>
    <n v="80"/>
    <n v="1"/>
    <n v="11"/>
    <n v="3"/>
    <n v="3"/>
    <n v="7"/>
    <n v="6"/>
    <n v="7"/>
    <n v="6"/>
    <s v="OK"/>
    <s v="OK"/>
    <s v="OK"/>
    <s v="OK"/>
    <x v="3"/>
    <n v="0.8571428571428571"/>
    <n v="0.42857142857142855"/>
    <n v="0.8571428571428571"/>
  </r>
  <r>
    <n v="29"/>
    <s v="No"/>
    <s v="Travel_Frequently"/>
    <n v="995"/>
    <x v="1"/>
    <n v="2"/>
    <n v="1"/>
    <s v="Life Sciences"/>
    <n v="1"/>
    <n v="1590"/>
    <n v="1"/>
    <s v="Male"/>
    <n v="87"/>
    <n v="3"/>
    <n v="2"/>
    <x v="4"/>
    <n v="4"/>
    <s v="Divorced"/>
    <n v="8853"/>
    <n v="24483"/>
    <n v="1"/>
    <s v="Y"/>
    <s v="No"/>
    <n v="19"/>
    <n v="3"/>
    <n v="4"/>
    <n v="80"/>
    <n v="1"/>
    <n v="6"/>
    <n v="0"/>
    <n v="4"/>
    <n v="6"/>
    <n v="4"/>
    <n v="1"/>
    <n v="3"/>
    <s v="OK"/>
    <s v="OK"/>
    <s v="OK"/>
    <s v="OK"/>
    <x v="11"/>
    <n v="0.66666666666666663"/>
    <n v="0"/>
    <n v="0.5"/>
  </r>
  <r>
    <n v="50"/>
    <s v="No"/>
    <s v="Travel_Rarely"/>
    <n v="264"/>
    <x v="0"/>
    <n v="9"/>
    <n v="3"/>
    <s v="Marketing"/>
    <n v="1"/>
    <n v="1591"/>
    <n v="3"/>
    <s v="Male"/>
    <n v="59"/>
    <n v="3"/>
    <n v="5"/>
    <x v="5"/>
    <n v="3"/>
    <s v="Married"/>
    <n v="19331"/>
    <n v="19519"/>
    <n v="4"/>
    <s v="Y"/>
    <s v="Yes"/>
    <n v="16"/>
    <n v="3"/>
    <n v="3"/>
    <n v="80"/>
    <n v="1"/>
    <n v="27"/>
    <n v="2"/>
    <n v="3"/>
    <n v="1"/>
    <n v="0"/>
    <n v="0"/>
    <n v="0"/>
    <s v="OK"/>
    <s v="OK"/>
    <s v="OK"/>
    <s v="OK"/>
    <x v="0"/>
    <n v="0"/>
    <n v="2"/>
    <n v="0"/>
  </r>
  <r>
    <n v="23"/>
    <s v="No"/>
    <s v="Travel_Rarely"/>
    <n v="977"/>
    <x v="1"/>
    <n v="10"/>
    <n v="3"/>
    <s v="Technical Degree"/>
    <n v="1"/>
    <n v="1592"/>
    <n v="4"/>
    <s v="Male"/>
    <n v="45"/>
    <n v="4"/>
    <n v="1"/>
    <x v="1"/>
    <n v="3"/>
    <s v="Married"/>
    <n v="2073"/>
    <n v="12826"/>
    <n v="2"/>
    <s v="Y"/>
    <s v="No"/>
    <n v="16"/>
    <n v="3"/>
    <n v="4"/>
    <n v="80"/>
    <n v="1"/>
    <n v="4"/>
    <n v="2"/>
    <n v="3"/>
    <n v="2"/>
    <n v="2"/>
    <n v="2"/>
    <n v="2"/>
    <s v="OK"/>
    <s v="OK"/>
    <s v="OK"/>
    <s v="OK"/>
    <x v="3"/>
    <n v="1"/>
    <n v="1"/>
    <n v="1"/>
  </r>
  <r>
    <n v="36"/>
    <s v="No"/>
    <s v="Travel_Frequently"/>
    <n v="1302"/>
    <x v="1"/>
    <n v="6"/>
    <n v="4"/>
    <s v="Life Sciences"/>
    <n v="1"/>
    <n v="1594"/>
    <n v="1"/>
    <s v="Male"/>
    <n v="80"/>
    <n v="4"/>
    <n v="2"/>
    <x v="2"/>
    <n v="1"/>
    <s v="Married"/>
    <n v="5562"/>
    <n v="19711"/>
    <n v="3"/>
    <s v="Y"/>
    <s v="Yes"/>
    <n v="13"/>
    <n v="3"/>
    <n v="4"/>
    <n v="80"/>
    <n v="1"/>
    <n v="9"/>
    <n v="3"/>
    <n v="3"/>
    <n v="3"/>
    <n v="2"/>
    <n v="0"/>
    <n v="2"/>
    <s v="OK"/>
    <s v="OK"/>
    <s v="OK"/>
    <s v="OK"/>
    <x v="0"/>
    <n v="0.66666666666666663"/>
    <n v="1"/>
    <n v="0.66666666666666663"/>
  </r>
  <r>
    <n v="42"/>
    <s v="No"/>
    <s v="Travel_Rarely"/>
    <n v="1059"/>
    <x v="1"/>
    <n v="9"/>
    <n v="2"/>
    <s v="Other"/>
    <n v="1"/>
    <n v="1595"/>
    <n v="4"/>
    <s v="Male"/>
    <n v="93"/>
    <n v="2"/>
    <n v="5"/>
    <x v="5"/>
    <n v="4"/>
    <s v="Single"/>
    <n v="19613"/>
    <n v="26362"/>
    <n v="8"/>
    <s v="Y"/>
    <s v="No"/>
    <n v="22"/>
    <n v="4"/>
    <n v="4"/>
    <n v="80"/>
    <n v="0"/>
    <n v="24"/>
    <n v="2"/>
    <n v="3"/>
    <n v="1"/>
    <n v="0"/>
    <n v="0"/>
    <n v="1"/>
    <s v="OK"/>
    <s v="OK"/>
    <s v="OK"/>
    <s v="OK"/>
    <x v="0"/>
    <n v="0"/>
    <n v="2"/>
    <n v="1"/>
  </r>
  <r>
    <n v="35"/>
    <s v="No"/>
    <s v="Travel_Rarely"/>
    <n v="750"/>
    <x v="1"/>
    <n v="28"/>
    <n v="3"/>
    <s v="Life Sciences"/>
    <n v="1"/>
    <n v="1596"/>
    <n v="2"/>
    <s v="Male"/>
    <n v="46"/>
    <n v="4"/>
    <n v="2"/>
    <x v="2"/>
    <n v="3"/>
    <s v="Married"/>
    <n v="3407"/>
    <n v="25348"/>
    <n v="1"/>
    <s v="Y"/>
    <s v="No"/>
    <n v="17"/>
    <n v="3"/>
    <n v="4"/>
    <n v="80"/>
    <n v="2"/>
    <n v="10"/>
    <n v="3"/>
    <n v="2"/>
    <n v="10"/>
    <n v="9"/>
    <n v="6"/>
    <n v="8"/>
    <s v="OK"/>
    <s v="OK"/>
    <s v="OK"/>
    <s v="OK"/>
    <x v="13"/>
    <n v="0.9"/>
    <n v="0.3"/>
    <n v="0.8"/>
  </r>
  <r>
    <n v="34"/>
    <s v="No"/>
    <s v="Travel_Frequently"/>
    <n v="653"/>
    <x v="1"/>
    <n v="10"/>
    <n v="4"/>
    <s v="Technical Degree"/>
    <n v="1"/>
    <n v="1597"/>
    <n v="4"/>
    <s v="Male"/>
    <n v="92"/>
    <n v="2"/>
    <n v="2"/>
    <x v="4"/>
    <n v="3"/>
    <s v="Married"/>
    <n v="5063"/>
    <n v="15332"/>
    <n v="1"/>
    <s v="Y"/>
    <s v="No"/>
    <n v="14"/>
    <n v="3"/>
    <n v="2"/>
    <n v="80"/>
    <n v="1"/>
    <n v="8"/>
    <n v="3"/>
    <n v="2"/>
    <n v="8"/>
    <n v="2"/>
    <n v="7"/>
    <n v="7"/>
    <s v="OK"/>
    <s v="OK"/>
    <s v="OK"/>
    <s v="OK"/>
    <x v="43"/>
    <n v="0.25"/>
    <n v="0.375"/>
    <n v="0.875"/>
  </r>
  <r>
    <n v="40"/>
    <s v="No"/>
    <s v="Travel_Rarely"/>
    <n v="118"/>
    <x v="0"/>
    <n v="14"/>
    <n v="2"/>
    <s v="Life Sciences"/>
    <n v="1"/>
    <n v="1598"/>
    <n v="4"/>
    <s v="Female"/>
    <n v="84"/>
    <n v="3"/>
    <n v="2"/>
    <x v="0"/>
    <n v="1"/>
    <s v="Married"/>
    <n v="4639"/>
    <n v="11262"/>
    <n v="1"/>
    <s v="Y"/>
    <s v="No"/>
    <n v="15"/>
    <n v="3"/>
    <n v="3"/>
    <n v="80"/>
    <n v="1"/>
    <n v="5"/>
    <n v="2"/>
    <n v="3"/>
    <n v="5"/>
    <n v="4"/>
    <n v="1"/>
    <n v="2"/>
    <s v="OK"/>
    <s v="OK"/>
    <s v="OK"/>
    <s v="OK"/>
    <x v="16"/>
    <n v="0.8"/>
    <n v="0.4"/>
    <n v="0.4"/>
  </r>
  <r>
    <n v="43"/>
    <s v="No"/>
    <s v="Travel_Rarely"/>
    <n v="990"/>
    <x v="1"/>
    <n v="27"/>
    <n v="3"/>
    <s v="Technical Degree"/>
    <n v="1"/>
    <n v="1599"/>
    <n v="4"/>
    <s v="Male"/>
    <n v="87"/>
    <n v="4"/>
    <n v="1"/>
    <x v="2"/>
    <n v="2"/>
    <s v="Divorced"/>
    <n v="4876"/>
    <n v="5855"/>
    <n v="5"/>
    <s v="Y"/>
    <s v="No"/>
    <n v="12"/>
    <n v="3"/>
    <n v="3"/>
    <n v="80"/>
    <n v="1"/>
    <n v="8"/>
    <n v="0"/>
    <n v="3"/>
    <n v="6"/>
    <n v="4"/>
    <n v="0"/>
    <n v="2"/>
    <s v="OK"/>
    <s v="OK"/>
    <s v="OK"/>
    <s v="OK"/>
    <x v="0"/>
    <n v="0.66666666666666663"/>
    <n v="0"/>
    <n v="0.33333333333333331"/>
  </r>
  <r>
    <n v="35"/>
    <s v="No"/>
    <s v="Travel_Rarely"/>
    <n v="1349"/>
    <x v="1"/>
    <n v="7"/>
    <n v="2"/>
    <s v="Life Sciences"/>
    <n v="1"/>
    <n v="1601"/>
    <n v="3"/>
    <s v="Male"/>
    <n v="63"/>
    <n v="2"/>
    <n v="1"/>
    <x v="2"/>
    <n v="4"/>
    <s v="Married"/>
    <n v="2690"/>
    <n v="7713"/>
    <n v="1"/>
    <s v="Y"/>
    <s v="No"/>
    <n v="18"/>
    <n v="3"/>
    <n v="4"/>
    <n v="80"/>
    <n v="1"/>
    <n v="1"/>
    <n v="5"/>
    <n v="2"/>
    <n v="1"/>
    <n v="0"/>
    <n v="0"/>
    <n v="1"/>
    <s v="OK"/>
    <s v="OK"/>
    <s v="OK"/>
    <s v="OK"/>
    <x v="0"/>
    <n v="0"/>
    <n v="5"/>
    <n v="1"/>
  </r>
  <r>
    <n v="46"/>
    <s v="No"/>
    <s v="Travel_Rarely"/>
    <n v="563"/>
    <x v="0"/>
    <n v="1"/>
    <n v="4"/>
    <s v="Life Sciences"/>
    <n v="1"/>
    <n v="1602"/>
    <n v="4"/>
    <s v="Male"/>
    <n v="56"/>
    <n v="4"/>
    <n v="4"/>
    <x v="5"/>
    <n v="1"/>
    <s v="Single"/>
    <n v="17567"/>
    <n v="3156"/>
    <n v="1"/>
    <s v="Y"/>
    <s v="No"/>
    <n v="15"/>
    <n v="3"/>
    <n v="2"/>
    <n v="80"/>
    <n v="0"/>
    <n v="27"/>
    <n v="5"/>
    <n v="1"/>
    <n v="26"/>
    <n v="0"/>
    <n v="0"/>
    <n v="12"/>
    <s v="OK"/>
    <s v="OK"/>
    <s v="OK"/>
    <s v="OK"/>
    <x v="0"/>
    <n v="0"/>
    <n v="0.19230769230769232"/>
    <n v="0.46153846153846156"/>
  </r>
  <r>
    <n v="28"/>
    <s v="Yes"/>
    <s v="Travel_Rarely"/>
    <n v="329"/>
    <x v="1"/>
    <n v="24"/>
    <n v="3"/>
    <s v="Medical"/>
    <n v="1"/>
    <n v="1604"/>
    <n v="3"/>
    <s v="Male"/>
    <n v="51"/>
    <n v="3"/>
    <n v="1"/>
    <x v="2"/>
    <n v="2"/>
    <s v="Married"/>
    <n v="2408"/>
    <n v="7324"/>
    <n v="1"/>
    <s v="Y"/>
    <s v="Yes"/>
    <n v="17"/>
    <n v="3"/>
    <n v="3"/>
    <n v="80"/>
    <n v="3"/>
    <n v="1"/>
    <n v="3"/>
    <n v="3"/>
    <n v="1"/>
    <n v="1"/>
    <n v="0"/>
    <n v="0"/>
    <s v="OK"/>
    <s v="OK"/>
    <s v="OK"/>
    <s v="OK"/>
    <x v="0"/>
    <n v="1"/>
    <n v="3"/>
    <n v="0"/>
  </r>
  <r>
    <n v="22"/>
    <s v="No"/>
    <s v="Non-Travel"/>
    <n v="457"/>
    <x v="1"/>
    <n v="26"/>
    <n v="2"/>
    <s v="Other"/>
    <n v="1"/>
    <n v="1605"/>
    <n v="2"/>
    <s v="Female"/>
    <n v="85"/>
    <n v="2"/>
    <n v="1"/>
    <x v="1"/>
    <n v="3"/>
    <s v="Married"/>
    <n v="2814"/>
    <n v="10293"/>
    <n v="1"/>
    <s v="Y"/>
    <s v="Yes"/>
    <n v="14"/>
    <n v="3"/>
    <n v="2"/>
    <n v="80"/>
    <n v="0"/>
    <n v="4"/>
    <n v="2"/>
    <n v="2"/>
    <n v="4"/>
    <n v="2"/>
    <n v="1"/>
    <n v="3"/>
    <s v="OK"/>
    <s v="OK"/>
    <s v="OK"/>
    <s v="OK"/>
    <x v="10"/>
    <n v="0.5"/>
    <n v="0.5"/>
    <n v="0.75"/>
  </r>
  <r>
    <n v="50"/>
    <s v="No"/>
    <s v="Travel_Frequently"/>
    <n v="1234"/>
    <x v="1"/>
    <n v="20"/>
    <n v="5"/>
    <s v="Medical"/>
    <n v="1"/>
    <n v="1606"/>
    <n v="2"/>
    <s v="Male"/>
    <n v="41"/>
    <n v="3"/>
    <n v="4"/>
    <x v="4"/>
    <n v="3"/>
    <s v="Married"/>
    <n v="11245"/>
    <n v="20689"/>
    <n v="2"/>
    <s v="Y"/>
    <s v="Yes"/>
    <n v="15"/>
    <n v="3"/>
    <n v="3"/>
    <n v="80"/>
    <n v="1"/>
    <n v="32"/>
    <n v="3"/>
    <n v="3"/>
    <n v="30"/>
    <n v="8"/>
    <n v="12"/>
    <n v="13"/>
    <s v="OK"/>
    <s v="OK"/>
    <s v="OK"/>
    <s v="OK"/>
    <x v="46"/>
    <n v="0.26666666666666666"/>
    <n v="0.1"/>
    <n v="0.43333333333333335"/>
  </r>
  <r>
    <n v="32"/>
    <s v="No"/>
    <s v="Travel_Rarely"/>
    <n v="634"/>
    <x v="1"/>
    <n v="5"/>
    <n v="4"/>
    <s v="Other"/>
    <n v="1"/>
    <n v="1607"/>
    <n v="2"/>
    <s v="Female"/>
    <n v="35"/>
    <n v="4"/>
    <n v="1"/>
    <x v="1"/>
    <n v="4"/>
    <s v="Married"/>
    <n v="3312"/>
    <n v="18783"/>
    <n v="3"/>
    <s v="Y"/>
    <s v="No"/>
    <n v="17"/>
    <n v="3"/>
    <n v="4"/>
    <n v="80"/>
    <n v="2"/>
    <n v="6"/>
    <n v="3"/>
    <n v="3"/>
    <n v="3"/>
    <n v="2"/>
    <n v="0"/>
    <n v="2"/>
    <s v="OK"/>
    <s v="OK"/>
    <s v="OK"/>
    <s v="OK"/>
    <x v="0"/>
    <n v="0.66666666666666663"/>
    <n v="1"/>
    <n v="0.66666666666666663"/>
  </r>
  <r>
    <n v="44"/>
    <s v="No"/>
    <s v="Travel_Rarely"/>
    <n v="1313"/>
    <x v="1"/>
    <n v="7"/>
    <n v="3"/>
    <s v="Medical"/>
    <n v="1"/>
    <n v="1608"/>
    <n v="2"/>
    <s v="Female"/>
    <n v="31"/>
    <n v="3"/>
    <n v="5"/>
    <x v="7"/>
    <n v="4"/>
    <s v="Divorced"/>
    <n v="19049"/>
    <n v="3549"/>
    <n v="0"/>
    <s v="Y"/>
    <s v="Yes"/>
    <n v="14"/>
    <n v="3"/>
    <n v="4"/>
    <n v="80"/>
    <n v="1"/>
    <n v="23"/>
    <n v="4"/>
    <n v="2"/>
    <n v="22"/>
    <n v="7"/>
    <n v="1"/>
    <n v="10"/>
    <s v="OK"/>
    <s v="OK"/>
    <s v="OK"/>
    <s v="OK"/>
    <x v="105"/>
    <n v="0.31818181818181818"/>
    <n v="0.18181818181818182"/>
    <n v="0.45454545454545453"/>
  </r>
  <r>
    <n v="30"/>
    <s v="No"/>
    <s v="Travel_Rarely"/>
    <n v="241"/>
    <x v="1"/>
    <n v="7"/>
    <n v="3"/>
    <s v="Medical"/>
    <n v="1"/>
    <n v="1609"/>
    <n v="2"/>
    <s v="Male"/>
    <n v="48"/>
    <n v="2"/>
    <n v="1"/>
    <x v="1"/>
    <n v="2"/>
    <s v="Married"/>
    <n v="2141"/>
    <n v="5348"/>
    <n v="1"/>
    <s v="Y"/>
    <s v="No"/>
    <n v="12"/>
    <n v="3"/>
    <n v="2"/>
    <n v="80"/>
    <n v="1"/>
    <n v="6"/>
    <n v="3"/>
    <n v="2"/>
    <n v="6"/>
    <n v="4"/>
    <n v="1"/>
    <n v="1"/>
    <s v="OK"/>
    <s v="OK"/>
    <s v="OK"/>
    <s v="OK"/>
    <x v="11"/>
    <n v="0.66666666666666663"/>
    <n v="0.5"/>
    <n v="0.16666666666666666"/>
  </r>
  <r>
    <n v="45"/>
    <s v="No"/>
    <s v="Travel_Rarely"/>
    <n v="1015"/>
    <x v="1"/>
    <n v="5"/>
    <n v="5"/>
    <s v="Medical"/>
    <n v="1"/>
    <n v="1611"/>
    <n v="3"/>
    <s v="Female"/>
    <n v="50"/>
    <n v="1"/>
    <n v="2"/>
    <x v="2"/>
    <n v="1"/>
    <s v="Single"/>
    <n v="5769"/>
    <n v="23447"/>
    <n v="1"/>
    <s v="Y"/>
    <s v="Yes"/>
    <n v="14"/>
    <n v="3"/>
    <n v="1"/>
    <n v="80"/>
    <n v="0"/>
    <n v="10"/>
    <n v="3"/>
    <n v="3"/>
    <n v="10"/>
    <n v="7"/>
    <n v="1"/>
    <n v="4"/>
    <s v="OK"/>
    <s v="OK"/>
    <s v="OK"/>
    <s v="OK"/>
    <x v="1"/>
    <n v="0.7"/>
    <n v="0.3"/>
    <n v="0.4"/>
  </r>
  <r>
    <n v="45"/>
    <s v="No"/>
    <s v="Non-Travel"/>
    <n v="336"/>
    <x v="0"/>
    <n v="26"/>
    <n v="3"/>
    <s v="Marketing"/>
    <n v="1"/>
    <n v="1612"/>
    <n v="1"/>
    <s v="Male"/>
    <n v="52"/>
    <n v="2"/>
    <n v="2"/>
    <x v="0"/>
    <n v="1"/>
    <s v="Married"/>
    <n v="4385"/>
    <n v="24162"/>
    <n v="1"/>
    <s v="Y"/>
    <s v="No"/>
    <n v="15"/>
    <n v="3"/>
    <n v="1"/>
    <n v="80"/>
    <n v="1"/>
    <n v="10"/>
    <n v="2"/>
    <n v="3"/>
    <n v="10"/>
    <n v="7"/>
    <n v="4"/>
    <n v="5"/>
    <s v="OK"/>
    <s v="OK"/>
    <s v="OK"/>
    <s v="OK"/>
    <x v="46"/>
    <n v="0.7"/>
    <n v="0.2"/>
    <n v="0.5"/>
  </r>
  <r>
    <n v="31"/>
    <s v="No"/>
    <s v="Travel_Frequently"/>
    <n v="715"/>
    <x v="0"/>
    <n v="2"/>
    <n v="4"/>
    <s v="Other"/>
    <n v="1"/>
    <n v="1613"/>
    <n v="4"/>
    <s v="Male"/>
    <n v="54"/>
    <n v="3"/>
    <n v="2"/>
    <x v="0"/>
    <n v="1"/>
    <s v="Single"/>
    <n v="5332"/>
    <n v="21602"/>
    <n v="7"/>
    <s v="Y"/>
    <s v="No"/>
    <n v="13"/>
    <n v="3"/>
    <n v="4"/>
    <n v="80"/>
    <n v="0"/>
    <n v="10"/>
    <n v="3"/>
    <n v="3"/>
    <n v="5"/>
    <n v="2"/>
    <n v="0"/>
    <n v="3"/>
    <s v="OK"/>
    <s v="OK"/>
    <s v="OK"/>
    <s v="OK"/>
    <x v="0"/>
    <n v="0.4"/>
    <n v="0.6"/>
    <n v="0.6"/>
  </r>
  <r>
    <n v="36"/>
    <s v="No"/>
    <s v="Travel_Rarely"/>
    <n v="559"/>
    <x v="1"/>
    <n v="12"/>
    <n v="4"/>
    <s v="Life Sciences"/>
    <n v="1"/>
    <n v="1614"/>
    <n v="3"/>
    <s v="Female"/>
    <n v="76"/>
    <n v="3"/>
    <n v="2"/>
    <x v="3"/>
    <n v="3"/>
    <s v="Married"/>
    <n v="4663"/>
    <n v="12421"/>
    <n v="9"/>
    <s v="Y"/>
    <s v="Yes"/>
    <n v="12"/>
    <n v="3"/>
    <n v="2"/>
    <n v="80"/>
    <n v="2"/>
    <n v="7"/>
    <n v="2"/>
    <n v="3"/>
    <n v="3"/>
    <n v="2"/>
    <n v="1"/>
    <n v="1"/>
    <s v="OK"/>
    <s v="OK"/>
    <s v="OK"/>
    <s v="OK"/>
    <x v="9"/>
    <n v="0.66666666666666663"/>
    <n v="0.66666666666666663"/>
    <n v="0.33333333333333331"/>
  </r>
  <r>
    <n v="34"/>
    <s v="No"/>
    <s v="Travel_Frequently"/>
    <n v="426"/>
    <x v="1"/>
    <n v="10"/>
    <n v="4"/>
    <s v="Life Sciences"/>
    <n v="1"/>
    <n v="1615"/>
    <n v="3"/>
    <s v="Male"/>
    <n v="42"/>
    <n v="4"/>
    <n v="2"/>
    <x v="3"/>
    <n v="4"/>
    <s v="Divorced"/>
    <n v="4724"/>
    <n v="17000"/>
    <n v="1"/>
    <s v="Y"/>
    <s v="No"/>
    <n v="13"/>
    <n v="3"/>
    <n v="1"/>
    <n v="80"/>
    <n v="1"/>
    <n v="9"/>
    <n v="3"/>
    <n v="3"/>
    <n v="9"/>
    <n v="7"/>
    <n v="7"/>
    <n v="2"/>
    <s v="OK"/>
    <s v="OK"/>
    <s v="OK"/>
    <s v="OK"/>
    <x v="21"/>
    <n v="0.77777777777777779"/>
    <n v="0.33333333333333331"/>
    <n v="0.22222222222222221"/>
  </r>
  <r>
    <n v="49"/>
    <s v="No"/>
    <s v="Travel_Rarely"/>
    <n v="722"/>
    <x v="1"/>
    <n v="25"/>
    <n v="4"/>
    <s v="Life Sciences"/>
    <n v="1"/>
    <n v="1617"/>
    <n v="3"/>
    <s v="Female"/>
    <n v="84"/>
    <n v="3"/>
    <n v="1"/>
    <x v="2"/>
    <n v="1"/>
    <s v="Married"/>
    <n v="3211"/>
    <n v="22102"/>
    <n v="1"/>
    <s v="Y"/>
    <s v="No"/>
    <n v="14"/>
    <n v="3"/>
    <n v="4"/>
    <n v="80"/>
    <n v="1"/>
    <n v="10"/>
    <n v="3"/>
    <n v="2"/>
    <n v="9"/>
    <n v="6"/>
    <n v="1"/>
    <n v="4"/>
    <s v="OK"/>
    <s v="OK"/>
    <s v="OK"/>
    <s v="OK"/>
    <x v="5"/>
    <n v="0.66666666666666663"/>
    <n v="0.33333333333333331"/>
    <n v="0.44444444444444442"/>
  </r>
  <r>
    <n v="39"/>
    <s v="No"/>
    <s v="Travel_Rarely"/>
    <n v="1387"/>
    <x v="1"/>
    <n v="10"/>
    <n v="5"/>
    <s v="Medical"/>
    <n v="1"/>
    <n v="1618"/>
    <n v="2"/>
    <s v="Male"/>
    <n v="76"/>
    <n v="3"/>
    <n v="2"/>
    <x v="3"/>
    <n v="1"/>
    <s v="Married"/>
    <n v="5377"/>
    <n v="3835"/>
    <n v="2"/>
    <s v="Y"/>
    <s v="No"/>
    <n v="13"/>
    <n v="3"/>
    <n v="4"/>
    <n v="80"/>
    <n v="3"/>
    <n v="10"/>
    <n v="3"/>
    <n v="3"/>
    <n v="7"/>
    <n v="7"/>
    <n v="7"/>
    <n v="7"/>
    <s v="OK"/>
    <s v="OK"/>
    <s v="OK"/>
    <s v="OK"/>
    <x v="3"/>
    <n v="1"/>
    <n v="0.42857142857142855"/>
    <n v="1"/>
  </r>
  <r>
    <n v="27"/>
    <s v="No"/>
    <s v="Travel_Rarely"/>
    <n v="1302"/>
    <x v="1"/>
    <n v="19"/>
    <n v="3"/>
    <s v="Other"/>
    <n v="1"/>
    <n v="1619"/>
    <n v="4"/>
    <s v="Male"/>
    <n v="67"/>
    <n v="2"/>
    <n v="1"/>
    <x v="2"/>
    <n v="1"/>
    <s v="Divorced"/>
    <n v="4066"/>
    <n v="16290"/>
    <n v="1"/>
    <s v="Y"/>
    <s v="No"/>
    <n v="11"/>
    <n v="3"/>
    <n v="1"/>
    <n v="80"/>
    <n v="2"/>
    <n v="7"/>
    <n v="3"/>
    <n v="3"/>
    <n v="7"/>
    <n v="7"/>
    <n v="0"/>
    <n v="7"/>
    <s v="OK"/>
    <s v="OK"/>
    <s v="OK"/>
    <s v="OK"/>
    <x v="0"/>
    <n v="1"/>
    <n v="0.42857142857142855"/>
    <n v="1"/>
  </r>
  <r>
    <n v="35"/>
    <s v="No"/>
    <s v="Travel_Rarely"/>
    <n v="819"/>
    <x v="1"/>
    <n v="18"/>
    <n v="5"/>
    <s v="Life Sciences"/>
    <n v="1"/>
    <n v="1621"/>
    <n v="2"/>
    <s v="Male"/>
    <n v="48"/>
    <n v="4"/>
    <n v="2"/>
    <x v="1"/>
    <n v="1"/>
    <s v="Married"/>
    <n v="5208"/>
    <n v="26312"/>
    <n v="1"/>
    <s v="Y"/>
    <s v="No"/>
    <n v="11"/>
    <n v="3"/>
    <n v="4"/>
    <n v="80"/>
    <n v="0"/>
    <n v="16"/>
    <n v="2"/>
    <n v="3"/>
    <n v="16"/>
    <n v="15"/>
    <n v="1"/>
    <n v="10"/>
    <s v="OK"/>
    <s v="OK"/>
    <s v="OK"/>
    <s v="OK"/>
    <x v="89"/>
    <n v="0.9375"/>
    <n v="0.125"/>
    <n v="0.625"/>
  </r>
  <r>
    <n v="28"/>
    <s v="No"/>
    <s v="Travel_Rarely"/>
    <n v="580"/>
    <x v="1"/>
    <n v="27"/>
    <n v="3"/>
    <s v="Medical"/>
    <n v="1"/>
    <n v="1622"/>
    <n v="2"/>
    <s v="Female"/>
    <n v="39"/>
    <n v="1"/>
    <n v="2"/>
    <x v="3"/>
    <n v="1"/>
    <s v="Divorced"/>
    <n v="4877"/>
    <n v="20460"/>
    <n v="0"/>
    <s v="Y"/>
    <s v="No"/>
    <n v="21"/>
    <n v="4"/>
    <n v="2"/>
    <n v="80"/>
    <n v="1"/>
    <n v="6"/>
    <n v="5"/>
    <n v="2"/>
    <n v="5"/>
    <n v="3"/>
    <n v="0"/>
    <n v="0"/>
    <s v="OK"/>
    <s v="OK"/>
    <s v="OK"/>
    <s v="OK"/>
    <x v="0"/>
    <n v="0.6"/>
    <n v="1"/>
    <n v="0"/>
  </r>
  <r>
    <n v="21"/>
    <s v="No"/>
    <s v="Travel_Rarely"/>
    <n v="546"/>
    <x v="1"/>
    <n v="5"/>
    <n v="1"/>
    <s v="Medical"/>
    <n v="1"/>
    <n v="1623"/>
    <n v="3"/>
    <s v="Male"/>
    <n v="97"/>
    <n v="3"/>
    <n v="1"/>
    <x v="1"/>
    <n v="4"/>
    <s v="Single"/>
    <n v="3117"/>
    <n v="26009"/>
    <n v="1"/>
    <s v="Y"/>
    <s v="No"/>
    <n v="18"/>
    <n v="3"/>
    <n v="3"/>
    <n v="80"/>
    <n v="0"/>
    <n v="3"/>
    <n v="2"/>
    <n v="3"/>
    <n v="2"/>
    <n v="2"/>
    <n v="2"/>
    <n v="2"/>
    <s v="OK"/>
    <s v="OK"/>
    <s v="OK"/>
    <s v="OK"/>
    <x v="3"/>
    <n v="1"/>
    <n v="1"/>
    <n v="1"/>
  </r>
  <r>
    <n v="18"/>
    <s v="Yes"/>
    <s v="Travel_Frequently"/>
    <n v="544"/>
    <x v="0"/>
    <n v="3"/>
    <n v="2"/>
    <s v="Medical"/>
    <n v="1"/>
    <n v="1624"/>
    <n v="2"/>
    <s v="Female"/>
    <n v="70"/>
    <n v="3"/>
    <n v="1"/>
    <x v="6"/>
    <n v="4"/>
    <s v="Single"/>
    <n v="1569"/>
    <n v="18420"/>
    <n v="1"/>
    <s v="Y"/>
    <s v="Yes"/>
    <n v="12"/>
    <n v="3"/>
    <n v="3"/>
    <n v="80"/>
    <n v="0"/>
    <n v="0"/>
    <n v="2"/>
    <n v="4"/>
    <n v="0"/>
    <n v="0"/>
    <n v="0"/>
    <n v="0"/>
    <s v="OK"/>
    <s v="OK"/>
    <s v="OK"/>
    <s v="OK"/>
    <x v="0"/>
    <n v="0"/>
    <n v="0"/>
    <n v="0"/>
  </r>
  <r>
    <n v="47"/>
    <s v="No"/>
    <s v="Travel_Rarely"/>
    <n v="1176"/>
    <x v="2"/>
    <n v="26"/>
    <n v="4"/>
    <s v="Life Sciences"/>
    <n v="1"/>
    <n v="1625"/>
    <n v="4"/>
    <s v="Female"/>
    <n v="98"/>
    <n v="3"/>
    <n v="5"/>
    <x v="5"/>
    <n v="3"/>
    <s v="Married"/>
    <n v="19658"/>
    <n v="5220"/>
    <n v="3"/>
    <s v="Y"/>
    <s v="No"/>
    <n v="11"/>
    <n v="3"/>
    <n v="3"/>
    <n v="80"/>
    <n v="1"/>
    <n v="27"/>
    <n v="2"/>
    <n v="3"/>
    <n v="5"/>
    <n v="2"/>
    <n v="1"/>
    <n v="0"/>
    <s v="OK"/>
    <s v="OK"/>
    <s v="OK"/>
    <s v="OK"/>
    <x v="16"/>
    <n v="0.4"/>
    <n v="0.4"/>
    <n v="0"/>
  </r>
  <r>
    <n v="39"/>
    <s v="No"/>
    <s v="Travel_Rarely"/>
    <n v="170"/>
    <x v="1"/>
    <n v="3"/>
    <n v="2"/>
    <s v="Medical"/>
    <n v="1"/>
    <n v="1627"/>
    <n v="3"/>
    <s v="Male"/>
    <n v="76"/>
    <n v="2"/>
    <n v="2"/>
    <x v="2"/>
    <n v="3"/>
    <s v="Divorced"/>
    <n v="3069"/>
    <n v="10302"/>
    <n v="0"/>
    <s v="Y"/>
    <s v="No"/>
    <n v="15"/>
    <n v="3"/>
    <n v="4"/>
    <n v="80"/>
    <n v="1"/>
    <n v="11"/>
    <n v="3"/>
    <n v="3"/>
    <n v="10"/>
    <n v="8"/>
    <n v="0"/>
    <n v="7"/>
    <s v="OK"/>
    <s v="OK"/>
    <s v="OK"/>
    <s v="OK"/>
    <x v="0"/>
    <n v="0.8"/>
    <n v="0.3"/>
    <n v="0.7"/>
  </r>
  <r>
    <n v="40"/>
    <s v="No"/>
    <s v="Travel_Rarely"/>
    <n v="884"/>
    <x v="1"/>
    <n v="15"/>
    <n v="3"/>
    <s v="Life Sciences"/>
    <n v="1"/>
    <n v="1628"/>
    <n v="1"/>
    <s v="Female"/>
    <n v="80"/>
    <n v="2"/>
    <n v="3"/>
    <x v="3"/>
    <n v="3"/>
    <s v="Married"/>
    <n v="10435"/>
    <n v="25800"/>
    <n v="1"/>
    <s v="Y"/>
    <s v="No"/>
    <n v="13"/>
    <n v="3"/>
    <n v="4"/>
    <n v="80"/>
    <n v="2"/>
    <n v="18"/>
    <n v="2"/>
    <n v="3"/>
    <n v="18"/>
    <n v="15"/>
    <n v="14"/>
    <n v="12"/>
    <s v="OK"/>
    <s v="OK"/>
    <s v="OK"/>
    <s v="OK"/>
    <x v="21"/>
    <n v="0.83333333333333337"/>
    <n v="0.1111111111111111"/>
    <n v="0.66666666666666663"/>
  </r>
  <r>
    <n v="35"/>
    <s v="No"/>
    <s v="Non-Travel"/>
    <n v="208"/>
    <x v="1"/>
    <n v="8"/>
    <n v="4"/>
    <s v="Life Sciences"/>
    <n v="1"/>
    <n v="1630"/>
    <n v="3"/>
    <s v="Female"/>
    <n v="52"/>
    <n v="3"/>
    <n v="2"/>
    <x v="4"/>
    <n v="3"/>
    <s v="Married"/>
    <n v="4148"/>
    <n v="12250"/>
    <n v="1"/>
    <s v="Y"/>
    <s v="No"/>
    <n v="12"/>
    <n v="3"/>
    <n v="4"/>
    <n v="80"/>
    <n v="1"/>
    <n v="15"/>
    <n v="5"/>
    <n v="3"/>
    <n v="14"/>
    <n v="11"/>
    <n v="2"/>
    <n v="9"/>
    <s v="OK"/>
    <s v="OK"/>
    <s v="OK"/>
    <s v="OK"/>
    <x v="20"/>
    <n v="0.7857142857142857"/>
    <n v="0.35714285714285715"/>
    <n v="0.6428571428571429"/>
  </r>
  <r>
    <n v="37"/>
    <s v="No"/>
    <s v="Travel_Rarely"/>
    <n v="671"/>
    <x v="1"/>
    <n v="19"/>
    <n v="3"/>
    <s v="Life Sciences"/>
    <n v="1"/>
    <n v="1631"/>
    <n v="3"/>
    <s v="Male"/>
    <n v="85"/>
    <n v="3"/>
    <n v="2"/>
    <x v="3"/>
    <n v="3"/>
    <s v="Married"/>
    <n v="5768"/>
    <n v="26493"/>
    <n v="3"/>
    <s v="Y"/>
    <s v="No"/>
    <n v="17"/>
    <n v="3"/>
    <n v="1"/>
    <n v="80"/>
    <n v="3"/>
    <n v="9"/>
    <n v="2"/>
    <n v="2"/>
    <n v="4"/>
    <n v="3"/>
    <n v="0"/>
    <n v="2"/>
    <s v="OK"/>
    <s v="OK"/>
    <s v="OK"/>
    <s v="OK"/>
    <x v="0"/>
    <n v="0.75"/>
    <n v="0.5"/>
    <n v="0.5"/>
  </r>
  <r>
    <n v="39"/>
    <s v="No"/>
    <s v="Travel_Frequently"/>
    <n v="711"/>
    <x v="1"/>
    <n v="4"/>
    <n v="3"/>
    <s v="Medical"/>
    <n v="1"/>
    <n v="1633"/>
    <n v="1"/>
    <s v="Female"/>
    <n v="81"/>
    <n v="3"/>
    <n v="2"/>
    <x v="3"/>
    <n v="3"/>
    <s v="Single"/>
    <n v="5042"/>
    <n v="3140"/>
    <n v="0"/>
    <s v="Y"/>
    <s v="No"/>
    <n v="13"/>
    <n v="3"/>
    <n v="4"/>
    <n v="80"/>
    <n v="0"/>
    <n v="10"/>
    <n v="2"/>
    <n v="1"/>
    <n v="9"/>
    <n v="2"/>
    <n v="3"/>
    <n v="8"/>
    <s v="OK"/>
    <s v="OK"/>
    <s v="OK"/>
    <s v="OK"/>
    <x v="9"/>
    <n v="0.22222222222222221"/>
    <n v="0.22222222222222221"/>
    <n v="0.88888888888888884"/>
  </r>
  <r>
    <n v="45"/>
    <s v="No"/>
    <s v="Travel_Rarely"/>
    <n v="1329"/>
    <x v="1"/>
    <n v="2"/>
    <n v="2"/>
    <s v="Other"/>
    <n v="1"/>
    <n v="1635"/>
    <n v="4"/>
    <s v="Female"/>
    <n v="59"/>
    <n v="2"/>
    <n v="2"/>
    <x v="3"/>
    <n v="4"/>
    <s v="Divorced"/>
    <n v="5770"/>
    <n v="5388"/>
    <n v="1"/>
    <s v="Y"/>
    <s v="No"/>
    <n v="19"/>
    <n v="3"/>
    <n v="1"/>
    <n v="80"/>
    <n v="2"/>
    <n v="10"/>
    <n v="3"/>
    <n v="3"/>
    <n v="10"/>
    <n v="7"/>
    <n v="3"/>
    <n v="9"/>
    <s v="OK"/>
    <s v="OK"/>
    <s v="OK"/>
    <s v="OK"/>
    <x v="27"/>
    <n v="0.7"/>
    <n v="0.3"/>
    <n v="0.9"/>
  </r>
  <r>
    <n v="38"/>
    <s v="No"/>
    <s v="Travel_Rarely"/>
    <n v="397"/>
    <x v="1"/>
    <n v="2"/>
    <n v="2"/>
    <s v="Medical"/>
    <n v="1"/>
    <n v="1638"/>
    <n v="4"/>
    <s v="Female"/>
    <n v="54"/>
    <n v="2"/>
    <n v="3"/>
    <x v="3"/>
    <n v="3"/>
    <s v="Married"/>
    <n v="7756"/>
    <n v="14199"/>
    <n v="3"/>
    <s v="Y"/>
    <s v="Yes"/>
    <n v="19"/>
    <n v="3"/>
    <n v="4"/>
    <n v="80"/>
    <n v="1"/>
    <n v="10"/>
    <n v="6"/>
    <n v="4"/>
    <n v="5"/>
    <n v="4"/>
    <n v="0"/>
    <n v="2"/>
    <s v="OK"/>
    <s v="OK"/>
    <s v="OK"/>
    <s v="OK"/>
    <x v="0"/>
    <n v="0.8"/>
    <n v="1.2"/>
    <n v="0.4"/>
  </r>
  <r>
    <n v="35"/>
    <s v="Yes"/>
    <s v="Travel_Rarely"/>
    <n v="737"/>
    <x v="0"/>
    <n v="10"/>
    <n v="3"/>
    <s v="Medical"/>
    <n v="1"/>
    <n v="1639"/>
    <n v="4"/>
    <s v="Male"/>
    <n v="55"/>
    <n v="2"/>
    <n v="3"/>
    <x v="0"/>
    <n v="1"/>
    <s v="Married"/>
    <n v="10306"/>
    <n v="21530"/>
    <n v="9"/>
    <s v="Y"/>
    <s v="No"/>
    <n v="17"/>
    <n v="3"/>
    <n v="3"/>
    <n v="80"/>
    <n v="0"/>
    <n v="15"/>
    <n v="3"/>
    <n v="3"/>
    <n v="13"/>
    <n v="12"/>
    <n v="6"/>
    <n v="0"/>
    <s v="OK"/>
    <s v="OK"/>
    <s v="OK"/>
    <s v="OK"/>
    <x v="106"/>
    <n v="0.92307692307692313"/>
    <n v="0.23076923076923078"/>
    <n v="0"/>
  </r>
  <r>
    <n v="37"/>
    <s v="No"/>
    <s v="Travel_Rarely"/>
    <n v="1470"/>
    <x v="1"/>
    <n v="10"/>
    <n v="3"/>
    <s v="Medical"/>
    <n v="1"/>
    <n v="1640"/>
    <n v="2"/>
    <s v="Female"/>
    <n v="71"/>
    <n v="3"/>
    <n v="1"/>
    <x v="1"/>
    <n v="2"/>
    <s v="Married"/>
    <n v="3936"/>
    <n v="9953"/>
    <n v="1"/>
    <s v="Y"/>
    <s v="No"/>
    <n v="11"/>
    <n v="3"/>
    <n v="1"/>
    <n v="80"/>
    <n v="1"/>
    <n v="8"/>
    <n v="2"/>
    <n v="1"/>
    <n v="8"/>
    <n v="4"/>
    <n v="7"/>
    <n v="7"/>
    <s v="OK"/>
    <s v="OK"/>
    <s v="OK"/>
    <s v="OK"/>
    <x v="43"/>
    <n v="0.5"/>
    <n v="0.25"/>
    <n v="0.875"/>
  </r>
  <r>
    <n v="40"/>
    <s v="No"/>
    <s v="Travel_Rarely"/>
    <n v="448"/>
    <x v="1"/>
    <n v="16"/>
    <n v="3"/>
    <s v="Life Sciences"/>
    <n v="1"/>
    <n v="1641"/>
    <n v="3"/>
    <s v="Female"/>
    <n v="84"/>
    <n v="3"/>
    <n v="3"/>
    <x v="3"/>
    <n v="4"/>
    <s v="Single"/>
    <n v="7945"/>
    <n v="19948"/>
    <n v="6"/>
    <s v="Y"/>
    <s v="Yes"/>
    <n v="15"/>
    <n v="3"/>
    <n v="4"/>
    <n v="80"/>
    <n v="0"/>
    <n v="18"/>
    <n v="2"/>
    <n v="2"/>
    <n v="4"/>
    <n v="2"/>
    <n v="3"/>
    <n v="3"/>
    <s v="OK"/>
    <s v="OK"/>
    <s v="OK"/>
    <s v="OK"/>
    <x v="38"/>
    <n v="0.5"/>
    <n v="0.5"/>
    <n v="0.75"/>
  </r>
  <r>
    <n v="44"/>
    <s v="No"/>
    <s v="Travel_Frequently"/>
    <n v="602"/>
    <x v="2"/>
    <n v="1"/>
    <n v="5"/>
    <s v="Human Resources"/>
    <n v="1"/>
    <n v="1642"/>
    <n v="1"/>
    <s v="Male"/>
    <n v="37"/>
    <n v="3"/>
    <n v="2"/>
    <x v="8"/>
    <n v="4"/>
    <s v="Married"/>
    <n v="5743"/>
    <n v="10503"/>
    <n v="4"/>
    <s v="Y"/>
    <s v="Yes"/>
    <n v="11"/>
    <n v="3"/>
    <n v="3"/>
    <n v="80"/>
    <n v="0"/>
    <n v="14"/>
    <n v="3"/>
    <n v="3"/>
    <n v="10"/>
    <n v="7"/>
    <n v="0"/>
    <n v="2"/>
    <s v="OK"/>
    <s v="OK"/>
    <s v="OK"/>
    <s v="OK"/>
    <x v="0"/>
    <n v="0.7"/>
    <n v="0.3"/>
    <n v="0.2"/>
  </r>
  <r>
    <n v="48"/>
    <s v="No"/>
    <s v="Travel_Frequently"/>
    <n v="365"/>
    <x v="1"/>
    <n v="4"/>
    <n v="5"/>
    <s v="Medical"/>
    <n v="1"/>
    <n v="1644"/>
    <n v="3"/>
    <s v="Male"/>
    <n v="89"/>
    <n v="2"/>
    <n v="4"/>
    <x v="5"/>
    <n v="4"/>
    <s v="Married"/>
    <n v="15202"/>
    <n v="5602"/>
    <n v="2"/>
    <s v="Y"/>
    <s v="No"/>
    <n v="25"/>
    <n v="4"/>
    <n v="2"/>
    <n v="80"/>
    <n v="1"/>
    <n v="23"/>
    <n v="3"/>
    <n v="3"/>
    <n v="2"/>
    <n v="2"/>
    <n v="2"/>
    <n v="2"/>
    <s v="OK"/>
    <s v="OK"/>
    <s v="OK"/>
    <s v="OK"/>
    <x v="3"/>
    <n v="1"/>
    <n v="1.5"/>
    <n v="1"/>
  </r>
  <r>
    <n v="35"/>
    <s v="Yes"/>
    <s v="Travel_Rarely"/>
    <n v="763"/>
    <x v="0"/>
    <n v="15"/>
    <n v="2"/>
    <s v="Medical"/>
    <n v="1"/>
    <n v="1645"/>
    <n v="1"/>
    <s v="Male"/>
    <n v="59"/>
    <n v="1"/>
    <n v="2"/>
    <x v="0"/>
    <n v="4"/>
    <s v="Divorced"/>
    <n v="5440"/>
    <n v="22098"/>
    <n v="6"/>
    <s v="Y"/>
    <s v="Yes"/>
    <n v="14"/>
    <n v="3"/>
    <n v="4"/>
    <n v="80"/>
    <n v="2"/>
    <n v="7"/>
    <n v="2"/>
    <n v="2"/>
    <n v="2"/>
    <n v="2"/>
    <n v="2"/>
    <n v="2"/>
    <s v="OK"/>
    <s v="OK"/>
    <s v="OK"/>
    <s v="OK"/>
    <x v="3"/>
    <n v="1"/>
    <n v="1"/>
    <n v="1"/>
  </r>
  <r>
    <n v="24"/>
    <s v="No"/>
    <s v="Travel_Frequently"/>
    <n v="567"/>
    <x v="1"/>
    <n v="2"/>
    <n v="1"/>
    <s v="Technical Degree"/>
    <n v="1"/>
    <n v="1646"/>
    <n v="1"/>
    <s v="Female"/>
    <n v="32"/>
    <n v="3"/>
    <n v="1"/>
    <x v="1"/>
    <n v="4"/>
    <s v="Single"/>
    <n v="3760"/>
    <n v="17218"/>
    <n v="1"/>
    <s v="Y"/>
    <s v="Yes"/>
    <n v="13"/>
    <n v="3"/>
    <n v="3"/>
    <n v="80"/>
    <n v="0"/>
    <n v="6"/>
    <n v="2"/>
    <n v="3"/>
    <n v="6"/>
    <n v="3"/>
    <n v="1"/>
    <n v="3"/>
    <s v="OK"/>
    <s v="OK"/>
    <s v="OK"/>
    <s v="OK"/>
    <x v="11"/>
    <n v="0.5"/>
    <n v="0.33333333333333331"/>
    <n v="0.5"/>
  </r>
  <r>
    <n v="27"/>
    <s v="No"/>
    <s v="Travel_Rarely"/>
    <n v="486"/>
    <x v="1"/>
    <n v="8"/>
    <n v="3"/>
    <s v="Medical"/>
    <n v="1"/>
    <n v="1647"/>
    <n v="2"/>
    <s v="Female"/>
    <n v="86"/>
    <n v="4"/>
    <n v="1"/>
    <x v="1"/>
    <n v="3"/>
    <s v="Married"/>
    <n v="3517"/>
    <n v="22490"/>
    <n v="7"/>
    <s v="Y"/>
    <s v="No"/>
    <n v="17"/>
    <n v="3"/>
    <n v="1"/>
    <n v="80"/>
    <n v="0"/>
    <n v="5"/>
    <n v="0"/>
    <n v="3"/>
    <n v="3"/>
    <n v="2"/>
    <n v="0"/>
    <n v="2"/>
    <s v="OK"/>
    <s v="OK"/>
    <s v="OK"/>
    <s v="OK"/>
    <x v="0"/>
    <n v="0.66666666666666663"/>
    <n v="0"/>
    <n v="0.66666666666666663"/>
  </r>
  <r>
    <n v="27"/>
    <s v="No"/>
    <s v="Travel_Frequently"/>
    <n v="591"/>
    <x v="1"/>
    <n v="2"/>
    <n v="3"/>
    <s v="Medical"/>
    <n v="1"/>
    <n v="1648"/>
    <n v="4"/>
    <s v="Male"/>
    <n v="87"/>
    <n v="3"/>
    <n v="1"/>
    <x v="1"/>
    <n v="4"/>
    <s v="Single"/>
    <n v="2580"/>
    <n v="6297"/>
    <n v="2"/>
    <s v="Y"/>
    <s v="No"/>
    <n v="13"/>
    <n v="3"/>
    <n v="3"/>
    <n v="80"/>
    <n v="0"/>
    <n v="6"/>
    <n v="0"/>
    <n v="2"/>
    <n v="4"/>
    <n v="2"/>
    <n v="1"/>
    <n v="2"/>
    <s v="OK"/>
    <s v="OK"/>
    <s v="OK"/>
    <s v="OK"/>
    <x v="10"/>
    <n v="0.5"/>
    <n v="0"/>
    <n v="0.5"/>
  </r>
  <r>
    <n v="40"/>
    <s v="Yes"/>
    <s v="Travel_Rarely"/>
    <n v="1329"/>
    <x v="1"/>
    <n v="7"/>
    <n v="3"/>
    <s v="Life Sciences"/>
    <n v="1"/>
    <n v="1649"/>
    <n v="1"/>
    <s v="Male"/>
    <n v="73"/>
    <n v="3"/>
    <n v="1"/>
    <x v="2"/>
    <n v="1"/>
    <s v="Single"/>
    <n v="2166"/>
    <n v="3339"/>
    <n v="3"/>
    <s v="Y"/>
    <s v="Yes"/>
    <n v="14"/>
    <n v="3"/>
    <n v="2"/>
    <n v="80"/>
    <n v="0"/>
    <n v="10"/>
    <n v="3"/>
    <n v="1"/>
    <n v="4"/>
    <n v="2"/>
    <n v="0"/>
    <n v="3"/>
    <s v="OK"/>
    <s v="OK"/>
    <s v="OK"/>
    <s v="OK"/>
    <x v="0"/>
    <n v="0.5"/>
    <n v="0.75"/>
    <n v="0.75"/>
  </r>
  <r>
    <n v="29"/>
    <s v="No"/>
    <s v="Travel_Rarely"/>
    <n v="469"/>
    <x v="0"/>
    <n v="10"/>
    <n v="3"/>
    <s v="Medical"/>
    <n v="1"/>
    <n v="1650"/>
    <n v="3"/>
    <s v="Male"/>
    <n v="42"/>
    <n v="2"/>
    <n v="2"/>
    <x v="0"/>
    <n v="3"/>
    <s v="Single"/>
    <n v="5869"/>
    <n v="23413"/>
    <n v="9"/>
    <s v="Y"/>
    <s v="No"/>
    <n v="11"/>
    <n v="3"/>
    <n v="3"/>
    <n v="80"/>
    <n v="0"/>
    <n v="8"/>
    <n v="2"/>
    <n v="3"/>
    <n v="5"/>
    <n v="2"/>
    <n v="1"/>
    <n v="4"/>
    <s v="OK"/>
    <s v="OK"/>
    <s v="OK"/>
    <s v="OK"/>
    <x v="16"/>
    <n v="0.4"/>
    <n v="0.4"/>
    <n v="0.8"/>
  </r>
  <r>
    <n v="36"/>
    <s v="No"/>
    <s v="Travel_Rarely"/>
    <n v="711"/>
    <x v="1"/>
    <n v="5"/>
    <n v="4"/>
    <s v="Life Sciences"/>
    <n v="1"/>
    <n v="1651"/>
    <n v="2"/>
    <s v="Female"/>
    <n v="42"/>
    <n v="3"/>
    <n v="3"/>
    <x v="4"/>
    <n v="1"/>
    <s v="Married"/>
    <n v="8008"/>
    <n v="22792"/>
    <n v="4"/>
    <s v="Y"/>
    <s v="No"/>
    <n v="12"/>
    <n v="3"/>
    <n v="3"/>
    <n v="80"/>
    <n v="2"/>
    <n v="9"/>
    <n v="6"/>
    <n v="3"/>
    <n v="3"/>
    <n v="2"/>
    <n v="0"/>
    <n v="2"/>
    <s v="OK"/>
    <s v="OK"/>
    <s v="OK"/>
    <s v="OK"/>
    <x v="0"/>
    <n v="0.66666666666666663"/>
    <n v="2"/>
    <n v="0.66666666666666663"/>
  </r>
  <r>
    <n v="25"/>
    <s v="No"/>
    <s v="Travel_Frequently"/>
    <n v="772"/>
    <x v="1"/>
    <n v="2"/>
    <n v="1"/>
    <s v="Life Sciences"/>
    <n v="1"/>
    <n v="1653"/>
    <n v="4"/>
    <s v="Male"/>
    <n v="77"/>
    <n v="4"/>
    <n v="2"/>
    <x v="3"/>
    <n v="3"/>
    <s v="Divorced"/>
    <n v="5206"/>
    <n v="4973"/>
    <n v="1"/>
    <s v="Y"/>
    <s v="No"/>
    <n v="17"/>
    <n v="3"/>
    <n v="3"/>
    <n v="80"/>
    <n v="2"/>
    <n v="7"/>
    <n v="6"/>
    <n v="3"/>
    <n v="7"/>
    <n v="7"/>
    <n v="0"/>
    <n v="7"/>
    <s v="OK"/>
    <s v="OK"/>
    <s v="OK"/>
    <s v="OK"/>
    <x v="0"/>
    <n v="1"/>
    <n v="0.8571428571428571"/>
    <n v="1"/>
  </r>
  <r>
    <n v="39"/>
    <s v="No"/>
    <s v="Travel_Rarely"/>
    <n v="492"/>
    <x v="1"/>
    <n v="12"/>
    <n v="3"/>
    <s v="Medical"/>
    <n v="1"/>
    <n v="1654"/>
    <n v="4"/>
    <s v="Male"/>
    <n v="66"/>
    <n v="3"/>
    <n v="2"/>
    <x v="3"/>
    <n v="2"/>
    <s v="Married"/>
    <n v="5295"/>
    <n v="7693"/>
    <n v="4"/>
    <s v="Y"/>
    <s v="No"/>
    <n v="21"/>
    <n v="4"/>
    <n v="3"/>
    <n v="80"/>
    <n v="0"/>
    <n v="7"/>
    <n v="3"/>
    <n v="3"/>
    <n v="5"/>
    <n v="4"/>
    <n v="1"/>
    <n v="0"/>
    <s v="OK"/>
    <s v="OK"/>
    <s v="OK"/>
    <s v="OK"/>
    <x v="16"/>
    <n v="0.8"/>
    <n v="0.6"/>
    <n v="0"/>
  </r>
  <r>
    <n v="49"/>
    <s v="No"/>
    <s v="Travel_Rarely"/>
    <n v="301"/>
    <x v="1"/>
    <n v="22"/>
    <n v="4"/>
    <s v="Other"/>
    <n v="1"/>
    <n v="1655"/>
    <n v="1"/>
    <s v="Female"/>
    <n v="72"/>
    <n v="3"/>
    <n v="4"/>
    <x v="7"/>
    <n v="2"/>
    <s v="Married"/>
    <n v="16413"/>
    <n v="3498"/>
    <n v="3"/>
    <s v="Y"/>
    <s v="No"/>
    <n v="16"/>
    <n v="3"/>
    <n v="2"/>
    <n v="80"/>
    <n v="2"/>
    <n v="27"/>
    <n v="2"/>
    <n v="3"/>
    <n v="4"/>
    <n v="2"/>
    <n v="1"/>
    <n v="2"/>
    <s v="OK"/>
    <s v="OK"/>
    <s v="OK"/>
    <s v="OK"/>
    <x v="10"/>
    <n v="0.5"/>
    <n v="0.5"/>
    <n v="0.5"/>
  </r>
  <r>
    <n v="50"/>
    <s v="No"/>
    <s v="Travel_Rarely"/>
    <n v="813"/>
    <x v="1"/>
    <n v="17"/>
    <n v="5"/>
    <s v="Life Sciences"/>
    <n v="1"/>
    <n v="1656"/>
    <n v="4"/>
    <s v="Female"/>
    <n v="50"/>
    <n v="2"/>
    <n v="3"/>
    <x v="7"/>
    <n v="1"/>
    <s v="Divorced"/>
    <n v="13269"/>
    <n v="21981"/>
    <n v="5"/>
    <s v="Y"/>
    <s v="No"/>
    <n v="15"/>
    <n v="3"/>
    <n v="3"/>
    <n v="80"/>
    <n v="3"/>
    <n v="19"/>
    <n v="3"/>
    <n v="3"/>
    <n v="14"/>
    <n v="11"/>
    <n v="1"/>
    <n v="11"/>
    <s v="OK"/>
    <s v="OK"/>
    <s v="OK"/>
    <s v="OK"/>
    <x v="69"/>
    <n v="0.7857142857142857"/>
    <n v="0.21428571428571427"/>
    <n v="0.7857142857142857"/>
  </r>
  <r>
    <n v="20"/>
    <s v="No"/>
    <s v="Travel_Rarely"/>
    <n v="1141"/>
    <x v="0"/>
    <n v="2"/>
    <n v="3"/>
    <s v="Medical"/>
    <n v="1"/>
    <n v="1657"/>
    <n v="3"/>
    <s v="Female"/>
    <n v="31"/>
    <n v="3"/>
    <n v="1"/>
    <x v="6"/>
    <n v="3"/>
    <s v="Single"/>
    <n v="2783"/>
    <n v="13251"/>
    <n v="1"/>
    <s v="Y"/>
    <s v="No"/>
    <n v="19"/>
    <n v="3"/>
    <n v="1"/>
    <n v="80"/>
    <n v="0"/>
    <n v="2"/>
    <n v="3"/>
    <n v="3"/>
    <n v="2"/>
    <n v="2"/>
    <n v="2"/>
    <n v="2"/>
    <s v="OK"/>
    <s v="OK"/>
    <s v="OK"/>
    <s v="OK"/>
    <x v="3"/>
    <n v="1"/>
    <n v="1.5"/>
    <n v="1"/>
  </r>
  <r>
    <n v="34"/>
    <s v="No"/>
    <s v="Travel_Rarely"/>
    <n v="1130"/>
    <x v="1"/>
    <n v="3"/>
    <n v="3"/>
    <s v="Life Sciences"/>
    <n v="1"/>
    <n v="1658"/>
    <n v="4"/>
    <s v="Female"/>
    <n v="66"/>
    <n v="3"/>
    <n v="2"/>
    <x v="1"/>
    <n v="2"/>
    <s v="Divorced"/>
    <n v="5433"/>
    <n v="19332"/>
    <n v="1"/>
    <s v="Y"/>
    <s v="No"/>
    <n v="12"/>
    <n v="3"/>
    <n v="3"/>
    <n v="80"/>
    <n v="1"/>
    <n v="11"/>
    <n v="2"/>
    <n v="3"/>
    <n v="11"/>
    <n v="8"/>
    <n v="7"/>
    <n v="9"/>
    <s v="OK"/>
    <s v="OK"/>
    <s v="OK"/>
    <s v="OK"/>
    <x v="107"/>
    <n v="0.72727272727272729"/>
    <n v="0.18181818181818182"/>
    <n v="0.81818181818181823"/>
  </r>
  <r>
    <n v="36"/>
    <s v="No"/>
    <s v="Travel_Rarely"/>
    <n v="311"/>
    <x v="1"/>
    <n v="7"/>
    <n v="3"/>
    <s v="Life Sciences"/>
    <n v="1"/>
    <n v="1659"/>
    <n v="1"/>
    <s v="Male"/>
    <n v="77"/>
    <n v="3"/>
    <n v="1"/>
    <x v="2"/>
    <n v="2"/>
    <s v="Single"/>
    <n v="2013"/>
    <n v="10950"/>
    <n v="2"/>
    <s v="Y"/>
    <s v="No"/>
    <n v="11"/>
    <n v="3"/>
    <n v="3"/>
    <n v="80"/>
    <n v="0"/>
    <n v="15"/>
    <n v="4"/>
    <n v="3"/>
    <n v="4"/>
    <n v="3"/>
    <n v="1"/>
    <n v="3"/>
    <s v="OK"/>
    <s v="OK"/>
    <s v="OK"/>
    <s v="OK"/>
    <x v="10"/>
    <n v="0.75"/>
    <n v="1"/>
    <n v="0.75"/>
  </r>
  <r>
    <n v="49"/>
    <s v="No"/>
    <s v="Travel_Rarely"/>
    <n v="465"/>
    <x v="1"/>
    <n v="6"/>
    <n v="1"/>
    <s v="Life Sciences"/>
    <n v="1"/>
    <n v="1661"/>
    <n v="3"/>
    <s v="Female"/>
    <n v="41"/>
    <n v="2"/>
    <n v="4"/>
    <x v="4"/>
    <n v="3"/>
    <s v="Married"/>
    <n v="13966"/>
    <n v="11652"/>
    <n v="2"/>
    <s v="Y"/>
    <s v="Yes"/>
    <n v="19"/>
    <n v="3"/>
    <n v="2"/>
    <n v="80"/>
    <n v="1"/>
    <n v="30"/>
    <n v="3"/>
    <n v="3"/>
    <n v="15"/>
    <n v="11"/>
    <n v="2"/>
    <n v="12"/>
    <s v="OK"/>
    <s v="OK"/>
    <s v="OK"/>
    <s v="OK"/>
    <x v="26"/>
    <n v="0.73333333333333328"/>
    <n v="0.2"/>
    <n v="0.8"/>
  </r>
  <r>
    <n v="36"/>
    <s v="No"/>
    <s v="Non-Travel"/>
    <n v="894"/>
    <x v="1"/>
    <n v="1"/>
    <n v="4"/>
    <s v="Medical"/>
    <n v="1"/>
    <n v="1662"/>
    <n v="4"/>
    <s v="Female"/>
    <n v="33"/>
    <n v="2"/>
    <n v="2"/>
    <x v="3"/>
    <n v="3"/>
    <s v="Married"/>
    <n v="4374"/>
    <n v="15411"/>
    <n v="0"/>
    <s v="Y"/>
    <s v="No"/>
    <n v="15"/>
    <n v="3"/>
    <n v="3"/>
    <n v="80"/>
    <n v="0"/>
    <n v="4"/>
    <n v="6"/>
    <n v="3"/>
    <n v="3"/>
    <n v="2"/>
    <n v="1"/>
    <n v="2"/>
    <s v="OK"/>
    <s v="OK"/>
    <s v="OK"/>
    <s v="OK"/>
    <x v="9"/>
    <n v="0.66666666666666663"/>
    <n v="2"/>
    <n v="0.66666666666666663"/>
  </r>
  <r>
    <n v="36"/>
    <s v="No"/>
    <s v="Travel_Rarely"/>
    <n v="1040"/>
    <x v="1"/>
    <n v="3"/>
    <n v="2"/>
    <s v="Life Sciences"/>
    <n v="1"/>
    <n v="1664"/>
    <n v="4"/>
    <s v="Male"/>
    <n v="79"/>
    <n v="4"/>
    <n v="2"/>
    <x v="4"/>
    <n v="1"/>
    <s v="Divorced"/>
    <n v="6842"/>
    <n v="26308"/>
    <n v="6"/>
    <s v="Y"/>
    <s v="No"/>
    <n v="20"/>
    <n v="4"/>
    <n v="1"/>
    <n v="80"/>
    <n v="1"/>
    <n v="13"/>
    <n v="3"/>
    <n v="3"/>
    <n v="5"/>
    <n v="4"/>
    <n v="0"/>
    <n v="4"/>
    <s v="OK"/>
    <s v="OK"/>
    <s v="OK"/>
    <s v="OK"/>
    <x v="0"/>
    <n v="0.8"/>
    <n v="0.6"/>
    <n v="0.8"/>
  </r>
  <r>
    <n v="54"/>
    <s v="No"/>
    <s v="Travel_Rarely"/>
    <n v="584"/>
    <x v="1"/>
    <n v="22"/>
    <n v="5"/>
    <s v="Medical"/>
    <n v="1"/>
    <n v="1665"/>
    <n v="2"/>
    <s v="Female"/>
    <n v="91"/>
    <n v="3"/>
    <n v="4"/>
    <x v="5"/>
    <n v="3"/>
    <s v="Married"/>
    <n v="17426"/>
    <n v="18685"/>
    <n v="3"/>
    <s v="Y"/>
    <s v="No"/>
    <n v="25"/>
    <n v="4"/>
    <n v="3"/>
    <n v="80"/>
    <n v="1"/>
    <n v="36"/>
    <n v="6"/>
    <n v="3"/>
    <n v="10"/>
    <n v="8"/>
    <n v="4"/>
    <n v="7"/>
    <s v="OK"/>
    <s v="OK"/>
    <s v="OK"/>
    <s v="OK"/>
    <x v="46"/>
    <n v="0.8"/>
    <n v="0.6"/>
    <n v="0.7"/>
  </r>
  <r>
    <n v="43"/>
    <s v="No"/>
    <s v="Travel_Rarely"/>
    <n v="1291"/>
    <x v="1"/>
    <n v="15"/>
    <n v="2"/>
    <s v="Life Sciences"/>
    <n v="1"/>
    <n v="1666"/>
    <n v="3"/>
    <s v="Male"/>
    <n v="65"/>
    <n v="2"/>
    <n v="4"/>
    <x v="7"/>
    <n v="3"/>
    <s v="Married"/>
    <n v="17603"/>
    <n v="3525"/>
    <n v="1"/>
    <s v="Y"/>
    <s v="No"/>
    <n v="24"/>
    <n v="4"/>
    <n v="1"/>
    <n v="80"/>
    <n v="1"/>
    <n v="14"/>
    <n v="3"/>
    <n v="3"/>
    <n v="14"/>
    <n v="10"/>
    <n v="6"/>
    <n v="11"/>
    <s v="OK"/>
    <s v="OK"/>
    <s v="OK"/>
    <s v="OK"/>
    <x v="4"/>
    <n v="0.7142857142857143"/>
    <n v="0.21428571428571427"/>
    <n v="0.7857142857142857"/>
  </r>
  <r>
    <n v="35"/>
    <s v="Yes"/>
    <s v="Travel_Frequently"/>
    <n v="880"/>
    <x v="0"/>
    <n v="12"/>
    <n v="4"/>
    <s v="Other"/>
    <n v="1"/>
    <n v="1667"/>
    <n v="4"/>
    <s v="Male"/>
    <n v="36"/>
    <n v="3"/>
    <n v="2"/>
    <x v="0"/>
    <n v="4"/>
    <s v="Single"/>
    <n v="4581"/>
    <n v="10414"/>
    <n v="3"/>
    <s v="Y"/>
    <s v="Yes"/>
    <n v="24"/>
    <n v="4"/>
    <n v="1"/>
    <n v="80"/>
    <n v="0"/>
    <n v="13"/>
    <n v="2"/>
    <n v="4"/>
    <n v="11"/>
    <n v="9"/>
    <n v="6"/>
    <n v="7"/>
    <s v="OK"/>
    <s v="OK"/>
    <s v="OK"/>
    <s v="OK"/>
    <x v="58"/>
    <n v="0.81818181818181823"/>
    <n v="0.18181818181818182"/>
    <n v="0.63636363636363635"/>
  </r>
  <r>
    <n v="38"/>
    <s v="No"/>
    <s v="Travel_Frequently"/>
    <n v="1189"/>
    <x v="1"/>
    <n v="1"/>
    <n v="3"/>
    <s v="Life Sciences"/>
    <n v="1"/>
    <n v="1668"/>
    <n v="4"/>
    <s v="Male"/>
    <n v="90"/>
    <n v="3"/>
    <n v="2"/>
    <x v="1"/>
    <n v="4"/>
    <s v="Married"/>
    <n v="4735"/>
    <n v="9867"/>
    <n v="7"/>
    <s v="Y"/>
    <s v="No"/>
    <n v="15"/>
    <n v="3"/>
    <n v="4"/>
    <n v="80"/>
    <n v="2"/>
    <n v="19"/>
    <n v="4"/>
    <n v="4"/>
    <n v="13"/>
    <n v="11"/>
    <n v="2"/>
    <n v="9"/>
    <s v="OK"/>
    <s v="OK"/>
    <s v="OK"/>
    <s v="OK"/>
    <x v="108"/>
    <n v="0.84615384615384615"/>
    <n v="0.30769230769230771"/>
    <n v="0.69230769230769229"/>
  </r>
  <r>
    <n v="29"/>
    <s v="No"/>
    <s v="Travel_Rarely"/>
    <n v="991"/>
    <x v="0"/>
    <n v="5"/>
    <n v="3"/>
    <s v="Medical"/>
    <n v="1"/>
    <n v="1669"/>
    <n v="1"/>
    <s v="Male"/>
    <n v="43"/>
    <n v="2"/>
    <n v="2"/>
    <x v="0"/>
    <n v="2"/>
    <s v="Divorced"/>
    <n v="4187"/>
    <n v="3356"/>
    <n v="1"/>
    <s v="Y"/>
    <s v="Yes"/>
    <n v="13"/>
    <n v="3"/>
    <n v="2"/>
    <n v="80"/>
    <n v="1"/>
    <n v="10"/>
    <n v="3"/>
    <n v="2"/>
    <n v="10"/>
    <n v="0"/>
    <n v="0"/>
    <n v="9"/>
    <s v="OK"/>
    <s v="OK"/>
    <s v="OK"/>
    <s v="OK"/>
    <x v="0"/>
    <n v="0"/>
    <n v="0.3"/>
    <n v="0.9"/>
  </r>
  <r>
    <n v="33"/>
    <s v="No"/>
    <s v="Travel_Rarely"/>
    <n v="392"/>
    <x v="0"/>
    <n v="2"/>
    <n v="4"/>
    <s v="Medical"/>
    <n v="1"/>
    <n v="1670"/>
    <n v="4"/>
    <s v="Male"/>
    <n v="93"/>
    <n v="3"/>
    <n v="2"/>
    <x v="0"/>
    <n v="4"/>
    <s v="Divorced"/>
    <n v="5505"/>
    <n v="3921"/>
    <n v="1"/>
    <s v="Y"/>
    <s v="No"/>
    <n v="14"/>
    <n v="3"/>
    <n v="3"/>
    <n v="80"/>
    <n v="2"/>
    <n v="6"/>
    <n v="5"/>
    <n v="3"/>
    <n v="6"/>
    <n v="2"/>
    <n v="0"/>
    <n v="4"/>
    <s v="OK"/>
    <s v="OK"/>
    <s v="OK"/>
    <s v="OK"/>
    <x v="0"/>
    <n v="0.33333333333333331"/>
    <n v="0.83333333333333337"/>
    <n v="0.66666666666666663"/>
  </r>
  <r>
    <n v="32"/>
    <s v="No"/>
    <s v="Travel_Rarely"/>
    <n v="977"/>
    <x v="1"/>
    <n v="2"/>
    <n v="3"/>
    <s v="Medical"/>
    <n v="1"/>
    <n v="1671"/>
    <n v="4"/>
    <s v="Male"/>
    <n v="45"/>
    <n v="3"/>
    <n v="2"/>
    <x v="1"/>
    <n v="2"/>
    <s v="Divorced"/>
    <n v="5470"/>
    <n v="25518"/>
    <n v="0"/>
    <s v="Y"/>
    <s v="No"/>
    <n v="13"/>
    <n v="3"/>
    <n v="3"/>
    <n v="80"/>
    <n v="2"/>
    <n v="10"/>
    <n v="4"/>
    <n v="2"/>
    <n v="9"/>
    <n v="5"/>
    <n v="1"/>
    <n v="6"/>
    <s v="OK"/>
    <s v="OK"/>
    <s v="OK"/>
    <s v="OK"/>
    <x v="5"/>
    <n v="0.55555555555555558"/>
    <n v="0.44444444444444442"/>
    <n v="0.66666666666666663"/>
  </r>
  <r>
    <n v="31"/>
    <s v="No"/>
    <s v="Travel_Rarely"/>
    <n v="1112"/>
    <x v="0"/>
    <n v="5"/>
    <n v="4"/>
    <s v="Life Sciences"/>
    <n v="1"/>
    <n v="1673"/>
    <n v="1"/>
    <s v="Female"/>
    <n v="67"/>
    <n v="3"/>
    <n v="2"/>
    <x v="0"/>
    <n v="4"/>
    <s v="Married"/>
    <n v="5476"/>
    <n v="22589"/>
    <n v="1"/>
    <s v="Y"/>
    <s v="No"/>
    <n v="11"/>
    <n v="3"/>
    <n v="1"/>
    <n v="80"/>
    <n v="2"/>
    <n v="10"/>
    <n v="2"/>
    <n v="3"/>
    <n v="10"/>
    <n v="0"/>
    <n v="0"/>
    <n v="2"/>
    <s v="OK"/>
    <s v="OK"/>
    <s v="OK"/>
    <s v="OK"/>
    <x v="0"/>
    <n v="0"/>
    <n v="0.2"/>
    <n v="0.2"/>
  </r>
  <r>
    <n v="49"/>
    <s v="No"/>
    <s v="Travel_Rarely"/>
    <n v="464"/>
    <x v="1"/>
    <n v="16"/>
    <n v="3"/>
    <s v="Medical"/>
    <n v="1"/>
    <n v="1674"/>
    <n v="4"/>
    <s v="Female"/>
    <n v="74"/>
    <n v="3"/>
    <n v="1"/>
    <x v="2"/>
    <n v="1"/>
    <s v="Divorced"/>
    <n v="2587"/>
    <n v="24941"/>
    <n v="4"/>
    <s v="Y"/>
    <s v="Yes"/>
    <n v="16"/>
    <n v="3"/>
    <n v="2"/>
    <n v="80"/>
    <n v="1"/>
    <n v="17"/>
    <n v="2"/>
    <n v="2"/>
    <n v="2"/>
    <n v="2"/>
    <n v="2"/>
    <n v="2"/>
    <s v="OK"/>
    <s v="OK"/>
    <s v="OK"/>
    <s v="OK"/>
    <x v="3"/>
    <n v="1"/>
    <n v="1"/>
    <n v="1"/>
  </r>
  <r>
    <n v="38"/>
    <s v="No"/>
    <s v="Travel_Frequently"/>
    <n v="148"/>
    <x v="1"/>
    <n v="2"/>
    <n v="3"/>
    <s v="Medical"/>
    <n v="1"/>
    <n v="1675"/>
    <n v="4"/>
    <s v="Female"/>
    <n v="42"/>
    <n v="2"/>
    <n v="1"/>
    <x v="2"/>
    <n v="2"/>
    <s v="Single"/>
    <n v="2440"/>
    <n v="23826"/>
    <n v="1"/>
    <s v="Y"/>
    <s v="No"/>
    <n v="22"/>
    <n v="4"/>
    <n v="2"/>
    <n v="80"/>
    <n v="0"/>
    <n v="4"/>
    <n v="3"/>
    <n v="3"/>
    <n v="4"/>
    <n v="3"/>
    <n v="3"/>
    <n v="3"/>
    <s v="OK"/>
    <s v="OK"/>
    <s v="OK"/>
    <s v="OK"/>
    <x v="38"/>
    <n v="0.75"/>
    <n v="0.75"/>
    <n v="0.75"/>
  </r>
  <r>
    <n v="47"/>
    <s v="No"/>
    <s v="Travel_Rarely"/>
    <n v="1225"/>
    <x v="0"/>
    <n v="2"/>
    <n v="4"/>
    <s v="Life Sciences"/>
    <n v="1"/>
    <n v="1676"/>
    <n v="2"/>
    <s v="Female"/>
    <n v="47"/>
    <n v="4"/>
    <n v="4"/>
    <x v="5"/>
    <n v="2"/>
    <s v="Divorced"/>
    <n v="15972"/>
    <n v="21086"/>
    <n v="6"/>
    <s v="Y"/>
    <s v="No"/>
    <n v="14"/>
    <n v="3"/>
    <n v="3"/>
    <n v="80"/>
    <n v="3"/>
    <n v="29"/>
    <n v="2"/>
    <n v="3"/>
    <n v="3"/>
    <n v="2"/>
    <n v="1"/>
    <n v="2"/>
    <s v="OK"/>
    <s v="OK"/>
    <s v="OK"/>
    <s v="OK"/>
    <x v="9"/>
    <n v="0.66666666666666663"/>
    <n v="0.66666666666666663"/>
    <n v="0.66666666666666663"/>
  </r>
  <r>
    <n v="49"/>
    <s v="No"/>
    <s v="Travel_Rarely"/>
    <n v="809"/>
    <x v="1"/>
    <n v="1"/>
    <n v="3"/>
    <s v="Life Sciences"/>
    <n v="1"/>
    <n v="1677"/>
    <n v="3"/>
    <s v="Male"/>
    <n v="36"/>
    <n v="3"/>
    <n v="4"/>
    <x v="5"/>
    <n v="3"/>
    <s v="Single"/>
    <n v="15379"/>
    <n v="22384"/>
    <n v="4"/>
    <s v="Y"/>
    <s v="No"/>
    <n v="14"/>
    <n v="3"/>
    <n v="1"/>
    <n v="80"/>
    <n v="0"/>
    <n v="23"/>
    <n v="2"/>
    <n v="3"/>
    <n v="8"/>
    <n v="7"/>
    <n v="0"/>
    <n v="0"/>
    <s v="OK"/>
    <s v="OK"/>
    <s v="OK"/>
    <s v="OK"/>
    <x v="0"/>
    <n v="0.875"/>
    <n v="0.25"/>
    <n v="0"/>
  </r>
  <r>
    <n v="41"/>
    <s v="No"/>
    <s v="Travel_Rarely"/>
    <n v="1206"/>
    <x v="0"/>
    <n v="23"/>
    <n v="2"/>
    <s v="Life Sciences"/>
    <n v="1"/>
    <n v="1678"/>
    <n v="4"/>
    <s v="Male"/>
    <n v="80"/>
    <n v="3"/>
    <n v="3"/>
    <x v="0"/>
    <n v="3"/>
    <s v="Single"/>
    <n v="7082"/>
    <n v="11591"/>
    <n v="3"/>
    <s v="Y"/>
    <s v="Yes"/>
    <n v="16"/>
    <n v="3"/>
    <n v="4"/>
    <n v="80"/>
    <n v="0"/>
    <n v="21"/>
    <n v="2"/>
    <n v="3"/>
    <n v="2"/>
    <n v="0"/>
    <n v="0"/>
    <n v="2"/>
    <s v="OK"/>
    <s v="OK"/>
    <s v="OK"/>
    <s v="OK"/>
    <x v="0"/>
    <n v="0"/>
    <n v="1"/>
    <n v="1"/>
  </r>
  <r>
    <n v="20"/>
    <s v="No"/>
    <s v="Travel_Rarely"/>
    <n v="727"/>
    <x v="0"/>
    <n v="9"/>
    <n v="1"/>
    <s v="Life Sciences"/>
    <n v="1"/>
    <n v="1680"/>
    <n v="4"/>
    <s v="Male"/>
    <n v="54"/>
    <n v="3"/>
    <n v="1"/>
    <x v="6"/>
    <n v="1"/>
    <s v="Single"/>
    <n v="2728"/>
    <n v="21082"/>
    <n v="1"/>
    <s v="Y"/>
    <s v="No"/>
    <n v="11"/>
    <n v="3"/>
    <n v="1"/>
    <n v="80"/>
    <n v="0"/>
    <n v="2"/>
    <n v="3"/>
    <n v="3"/>
    <n v="2"/>
    <n v="2"/>
    <n v="0"/>
    <n v="2"/>
    <s v="OK"/>
    <s v="OK"/>
    <s v="OK"/>
    <s v="OK"/>
    <x v="0"/>
    <n v="1"/>
    <n v="1.5"/>
    <n v="1"/>
  </r>
  <r>
    <n v="33"/>
    <s v="No"/>
    <s v="Non-Travel"/>
    <n v="530"/>
    <x v="0"/>
    <n v="16"/>
    <n v="3"/>
    <s v="Life Sciences"/>
    <n v="1"/>
    <n v="1681"/>
    <n v="3"/>
    <s v="Female"/>
    <n v="36"/>
    <n v="3"/>
    <n v="2"/>
    <x v="0"/>
    <n v="4"/>
    <s v="Divorced"/>
    <n v="5368"/>
    <n v="16130"/>
    <n v="1"/>
    <s v="Y"/>
    <s v="Yes"/>
    <n v="25"/>
    <n v="4"/>
    <n v="3"/>
    <n v="80"/>
    <n v="1"/>
    <n v="7"/>
    <n v="2"/>
    <n v="3"/>
    <n v="6"/>
    <n v="5"/>
    <n v="1"/>
    <n v="2"/>
    <s v="OK"/>
    <s v="OK"/>
    <s v="OK"/>
    <s v="OK"/>
    <x v="11"/>
    <n v="0.83333333333333337"/>
    <n v="0.33333333333333331"/>
    <n v="0.33333333333333331"/>
  </r>
  <r>
    <n v="36"/>
    <s v="No"/>
    <s v="Travel_Rarely"/>
    <n v="1351"/>
    <x v="1"/>
    <n v="26"/>
    <n v="4"/>
    <s v="Life Sciences"/>
    <n v="1"/>
    <n v="1682"/>
    <n v="1"/>
    <s v="Male"/>
    <n v="80"/>
    <n v="3"/>
    <n v="2"/>
    <x v="4"/>
    <n v="3"/>
    <s v="Married"/>
    <n v="5347"/>
    <n v="7419"/>
    <n v="6"/>
    <s v="Y"/>
    <s v="No"/>
    <n v="14"/>
    <n v="3"/>
    <n v="2"/>
    <n v="80"/>
    <n v="2"/>
    <n v="10"/>
    <n v="2"/>
    <n v="2"/>
    <n v="3"/>
    <n v="2"/>
    <n v="0"/>
    <n v="2"/>
    <s v="OK"/>
    <s v="OK"/>
    <s v="OK"/>
    <s v="OK"/>
    <x v="0"/>
    <n v="0.66666666666666663"/>
    <n v="0.66666666666666663"/>
    <n v="0.66666666666666663"/>
  </r>
  <r>
    <n v="44"/>
    <s v="No"/>
    <s v="Travel_Rarely"/>
    <n v="528"/>
    <x v="2"/>
    <n v="1"/>
    <n v="3"/>
    <s v="Life Sciences"/>
    <n v="1"/>
    <n v="1683"/>
    <n v="3"/>
    <s v="Female"/>
    <n v="44"/>
    <n v="3"/>
    <n v="1"/>
    <x v="8"/>
    <n v="4"/>
    <s v="Divorced"/>
    <n v="3195"/>
    <n v="4167"/>
    <n v="4"/>
    <s v="Y"/>
    <s v="Yes"/>
    <n v="18"/>
    <n v="3"/>
    <n v="1"/>
    <n v="80"/>
    <n v="3"/>
    <n v="8"/>
    <n v="2"/>
    <n v="3"/>
    <n v="2"/>
    <n v="2"/>
    <n v="2"/>
    <n v="2"/>
    <s v="OK"/>
    <s v="OK"/>
    <s v="OK"/>
    <s v="OK"/>
    <x v="3"/>
    <n v="1"/>
    <n v="1"/>
    <n v="1"/>
  </r>
  <r>
    <n v="23"/>
    <s v="Yes"/>
    <s v="Travel_Rarely"/>
    <n v="1320"/>
    <x v="1"/>
    <n v="8"/>
    <n v="1"/>
    <s v="Medical"/>
    <n v="1"/>
    <n v="1684"/>
    <n v="4"/>
    <s v="Male"/>
    <n v="93"/>
    <n v="2"/>
    <n v="1"/>
    <x v="2"/>
    <n v="3"/>
    <s v="Single"/>
    <n v="3989"/>
    <n v="20586"/>
    <n v="1"/>
    <s v="Y"/>
    <s v="Yes"/>
    <n v="11"/>
    <n v="3"/>
    <n v="1"/>
    <n v="80"/>
    <n v="0"/>
    <n v="5"/>
    <n v="2"/>
    <n v="3"/>
    <n v="5"/>
    <n v="4"/>
    <n v="1"/>
    <n v="2"/>
    <s v="OK"/>
    <s v="OK"/>
    <s v="OK"/>
    <s v="OK"/>
    <x v="16"/>
    <n v="0.8"/>
    <n v="0.4"/>
    <n v="0.4"/>
  </r>
  <r>
    <n v="38"/>
    <s v="No"/>
    <s v="Travel_Rarely"/>
    <n v="1495"/>
    <x v="1"/>
    <n v="4"/>
    <n v="2"/>
    <s v="Medical"/>
    <n v="1"/>
    <n v="1687"/>
    <n v="4"/>
    <s v="Female"/>
    <n v="87"/>
    <n v="3"/>
    <n v="1"/>
    <x v="2"/>
    <n v="3"/>
    <s v="Married"/>
    <n v="3306"/>
    <n v="26176"/>
    <n v="7"/>
    <s v="Y"/>
    <s v="No"/>
    <n v="19"/>
    <n v="3"/>
    <n v="4"/>
    <n v="80"/>
    <n v="1"/>
    <n v="7"/>
    <n v="5"/>
    <n v="2"/>
    <n v="0"/>
    <n v="0"/>
    <n v="0"/>
    <n v="0"/>
    <s v="OK"/>
    <s v="OK"/>
    <s v="OK"/>
    <s v="OK"/>
    <x v="0"/>
    <n v="0"/>
    <n v="0"/>
    <n v="0"/>
  </r>
  <r>
    <n v="53"/>
    <s v="No"/>
    <s v="Travel_Rarely"/>
    <n v="1395"/>
    <x v="1"/>
    <n v="24"/>
    <n v="4"/>
    <s v="Medical"/>
    <n v="1"/>
    <n v="1689"/>
    <n v="2"/>
    <s v="Male"/>
    <n v="48"/>
    <n v="4"/>
    <n v="3"/>
    <x v="4"/>
    <n v="4"/>
    <s v="Married"/>
    <n v="7005"/>
    <n v="3458"/>
    <n v="3"/>
    <s v="Y"/>
    <s v="No"/>
    <n v="15"/>
    <n v="3"/>
    <n v="3"/>
    <n v="80"/>
    <n v="0"/>
    <n v="11"/>
    <n v="2"/>
    <n v="3"/>
    <n v="4"/>
    <n v="3"/>
    <n v="1"/>
    <n v="2"/>
    <s v="OK"/>
    <s v="OK"/>
    <s v="OK"/>
    <s v="OK"/>
    <x v="10"/>
    <n v="0.75"/>
    <n v="0.5"/>
    <n v="0.5"/>
  </r>
  <r>
    <n v="48"/>
    <s v="Yes"/>
    <s v="Travel_Frequently"/>
    <n v="708"/>
    <x v="0"/>
    <n v="7"/>
    <n v="2"/>
    <s v="Medical"/>
    <n v="1"/>
    <n v="1691"/>
    <n v="4"/>
    <s v="Female"/>
    <n v="95"/>
    <n v="3"/>
    <n v="1"/>
    <x v="6"/>
    <n v="3"/>
    <s v="Married"/>
    <n v="2655"/>
    <n v="11740"/>
    <n v="2"/>
    <s v="Y"/>
    <s v="Yes"/>
    <n v="11"/>
    <n v="3"/>
    <n v="3"/>
    <n v="80"/>
    <n v="2"/>
    <n v="19"/>
    <n v="3"/>
    <n v="3"/>
    <n v="9"/>
    <n v="7"/>
    <n v="7"/>
    <n v="7"/>
    <s v="OK"/>
    <s v="OK"/>
    <s v="OK"/>
    <s v="OK"/>
    <x v="21"/>
    <n v="0.77777777777777779"/>
    <n v="0.33333333333333331"/>
    <n v="0.77777777777777779"/>
  </r>
  <r>
    <n v="32"/>
    <s v="Yes"/>
    <s v="Travel_Rarely"/>
    <n v="1259"/>
    <x v="1"/>
    <n v="2"/>
    <n v="4"/>
    <s v="Life Sciences"/>
    <n v="1"/>
    <n v="1692"/>
    <n v="4"/>
    <s v="Male"/>
    <n v="95"/>
    <n v="3"/>
    <n v="1"/>
    <x v="2"/>
    <n v="2"/>
    <s v="Single"/>
    <n v="1393"/>
    <n v="24852"/>
    <n v="1"/>
    <s v="Y"/>
    <s v="No"/>
    <n v="12"/>
    <n v="3"/>
    <n v="1"/>
    <n v="80"/>
    <n v="0"/>
    <n v="1"/>
    <n v="2"/>
    <n v="3"/>
    <n v="1"/>
    <n v="0"/>
    <n v="0"/>
    <n v="0"/>
    <s v="OK"/>
    <s v="OK"/>
    <s v="OK"/>
    <s v="OK"/>
    <x v="0"/>
    <n v="0"/>
    <n v="2"/>
    <n v="0"/>
  </r>
  <r>
    <n v="26"/>
    <s v="No"/>
    <s v="Non-Travel"/>
    <n v="786"/>
    <x v="1"/>
    <n v="7"/>
    <n v="3"/>
    <s v="Medical"/>
    <n v="1"/>
    <n v="1693"/>
    <n v="4"/>
    <s v="Male"/>
    <n v="76"/>
    <n v="3"/>
    <n v="1"/>
    <x v="2"/>
    <n v="4"/>
    <s v="Single"/>
    <n v="2570"/>
    <n v="11925"/>
    <n v="1"/>
    <s v="Y"/>
    <s v="No"/>
    <n v="20"/>
    <n v="4"/>
    <n v="3"/>
    <n v="80"/>
    <n v="0"/>
    <n v="7"/>
    <n v="5"/>
    <n v="3"/>
    <n v="7"/>
    <n v="7"/>
    <n v="5"/>
    <n v="7"/>
    <s v="OK"/>
    <s v="OK"/>
    <s v="OK"/>
    <s v="OK"/>
    <x v="68"/>
    <n v="1"/>
    <n v="0.7142857142857143"/>
    <n v="1"/>
  </r>
  <r>
    <n v="55"/>
    <s v="No"/>
    <s v="Travel_Rarely"/>
    <n v="1441"/>
    <x v="1"/>
    <n v="22"/>
    <n v="3"/>
    <s v="Technical Degree"/>
    <n v="1"/>
    <n v="1694"/>
    <n v="1"/>
    <s v="Male"/>
    <n v="94"/>
    <n v="2"/>
    <n v="1"/>
    <x v="1"/>
    <n v="2"/>
    <s v="Divorced"/>
    <n v="3537"/>
    <n v="23737"/>
    <n v="5"/>
    <s v="Y"/>
    <s v="No"/>
    <n v="12"/>
    <n v="3"/>
    <n v="4"/>
    <n v="80"/>
    <n v="1"/>
    <n v="8"/>
    <n v="1"/>
    <n v="3"/>
    <n v="4"/>
    <n v="2"/>
    <n v="1"/>
    <n v="2"/>
    <s v="OK"/>
    <s v="OK"/>
    <s v="OK"/>
    <s v="OK"/>
    <x v="10"/>
    <n v="0.5"/>
    <n v="0.25"/>
    <n v="0.5"/>
  </r>
  <r>
    <n v="34"/>
    <s v="No"/>
    <s v="Travel_Rarely"/>
    <n v="1157"/>
    <x v="1"/>
    <n v="5"/>
    <n v="2"/>
    <s v="Medical"/>
    <n v="1"/>
    <n v="1696"/>
    <n v="2"/>
    <s v="Male"/>
    <n v="57"/>
    <n v="2"/>
    <n v="2"/>
    <x v="2"/>
    <n v="4"/>
    <s v="Married"/>
    <n v="3986"/>
    <n v="11912"/>
    <n v="1"/>
    <s v="Y"/>
    <s v="No"/>
    <n v="14"/>
    <n v="3"/>
    <n v="3"/>
    <n v="80"/>
    <n v="1"/>
    <n v="15"/>
    <n v="3"/>
    <n v="4"/>
    <n v="15"/>
    <n v="10"/>
    <n v="4"/>
    <n v="13"/>
    <s v="OK"/>
    <s v="OK"/>
    <s v="OK"/>
    <s v="OK"/>
    <x v="75"/>
    <n v="0.66666666666666663"/>
    <n v="0.2"/>
    <n v="0.8666666666666667"/>
  </r>
  <r>
    <n v="60"/>
    <s v="No"/>
    <s v="Travel_Rarely"/>
    <n v="370"/>
    <x v="1"/>
    <n v="1"/>
    <n v="4"/>
    <s v="Medical"/>
    <n v="1"/>
    <n v="1697"/>
    <n v="3"/>
    <s v="Male"/>
    <n v="92"/>
    <n v="1"/>
    <n v="3"/>
    <x v="4"/>
    <n v="4"/>
    <s v="Divorced"/>
    <n v="10883"/>
    <n v="20467"/>
    <n v="3"/>
    <s v="Y"/>
    <s v="No"/>
    <n v="20"/>
    <n v="4"/>
    <n v="3"/>
    <n v="80"/>
    <n v="1"/>
    <n v="19"/>
    <n v="2"/>
    <n v="4"/>
    <n v="1"/>
    <n v="0"/>
    <n v="0"/>
    <n v="0"/>
    <s v="OK"/>
    <s v="OK"/>
    <s v="OK"/>
    <s v="OK"/>
    <x v="0"/>
    <n v="0"/>
    <n v="2"/>
    <n v="0"/>
  </r>
  <r>
    <n v="33"/>
    <s v="No"/>
    <s v="Travel_Rarely"/>
    <n v="267"/>
    <x v="1"/>
    <n v="21"/>
    <n v="3"/>
    <s v="Medical"/>
    <n v="1"/>
    <n v="1698"/>
    <n v="2"/>
    <s v="Male"/>
    <n v="79"/>
    <n v="4"/>
    <n v="1"/>
    <x v="2"/>
    <n v="2"/>
    <s v="Married"/>
    <n v="2028"/>
    <n v="13637"/>
    <n v="1"/>
    <s v="Y"/>
    <s v="No"/>
    <n v="18"/>
    <n v="3"/>
    <n v="4"/>
    <n v="80"/>
    <n v="3"/>
    <n v="14"/>
    <n v="6"/>
    <n v="3"/>
    <n v="14"/>
    <n v="11"/>
    <n v="2"/>
    <n v="13"/>
    <s v="OK"/>
    <s v="OK"/>
    <s v="OK"/>
    <s v="OK"/>
    <x v="20"/>
    <n v="0.7857142857142857"/>
    <n v="0.42857142857142855"/>
    <n v="0.9285714285714286"/>
  </r>
  <r>
    <n v="37"/>
    <s v="No"/>
    <s v="Travel_Frequently"/>
    <n v="1278"/>
    <x v="0"/>
    <n v="1"/>
    <n v="4"/>
    <s v="Medical"/>
    <n v="1"/>
    <n v="1700"/>
    <n v="3"/>
    <s v="Male"/>
    <n v="31"/>
    <n v="1"/>
    <n v="2"/>
    <x v="0"/>
    <n v="4"/>
    <s v="Divorced"/>
    <n v="9525"/>
    <n v="7677"/>
    <n v="1"/>
    <s v="Y"/>
    <s v="No"/>
    <n v="14"/>
    <n v="3"/>
    <n v="3"/>
    <n v="80"/>
    <n v="2"/>
    <n v="6"/>
    <n v="2"/>
    <n v="2"/>
    <n v="6"/>
    <n v="3"/>
    <n v="1"/>
    <n v="3"/>
    <s v="OK"/>
    <s v="OK"/>
    <s v="OK"/>
    <s v="OK"/>
    <x v="11"/>
    <n v="0.5"/>
    <n v="0.33333333333333331"/>
    <n v="0.5"/>
  </r>
  <r>
    <n v="34"/>
    <s v="No"/>
    <s v="Travel_Rarely"/>
    <n v="678"/>
    <x v="1"/>
    <n v="19"/>
    <n v="3"/>
    <s v="Life Sciences"/>
    <n v="1"/>
    <n v="1701"/>
    <n v="2"/>
    <s v="Female"/>
    <n v="35"/>
    <n v="2"/>
    <n v="1"/>
    <x v="1"/>
    <n v="4"/>
    <s v="Married"/>
    <n v="2929"/>
    <n v="20338"/>
    <n v="1"/>
    <s v="Y"/>
    <s v="No"/>
    <n v="12"/>
    <n v="3"/>
    <n v="2"/>
    <n v="80"/>
    <n v="0"/>
    <n v="10"/>
    <n v="3"/>
    <n v="3"/>
    <n v="10"/>
    <n v="9"/>
    <n v="8"/>
    <n v="7"/>
    <s v="OK"/>
    <s v="OK"/>
    <s v="OK"/>
    <s v="OK"/>
    <x v="6"/>
    <n v="0.9"/>
    <n v="0.3"/>
    <n v="0.7"/>
  </r>
  <r>
    <n v="23"/>
    <s v="Yes"/>
    <s v="Travel_Rarely"/>
    <n v="427"/>
    <x v="0"/>
    <n v="7"/>
    <n v="3"/>
    <s v="Life Sciences"/>
    <n v="1"/>
    <n v="1702"/>
    <n v="3"/>
    <s v="Male"/>
    <n v="99"/>
    <n v="3"/>
    <n v="1"/>
    <x v="6"/>
    <n v="4"/>
    <s v="Divorced"/>
    <n v="2275"/>
    <n v="25103"/>
    <n v="1"/>
    <s v="Y"/>
    <s v="Yes"/>
    <n v="21"/>
    <n v="4"/>
    <n v="2"/>
    <n v="80"/>
    <n v="1"/>
    <n v="3"/>
    <n v="2"/>
    <n v="3"/>
    <n v="3"/>
    <n v="2"/>
    <n v="0"/>
    <n v="2"/>
    <s v="OK"/>
    <s v="OK"/>
    <s v="OK"/>
    <s v="OK"/>
    <x v="0"/>
    <n v="0.66666666666666663"/>
    <n v="0.66666666666666663"/>
    <n v="0.66666666666666663"/>
  </r>
  <r>
    <n v="44"/>
    <s v="No"/>
    <s v="Travel_Rarely"/>
    <n v="921"/>
    <x v="1"/>
    <n v="2"/>
    <n v="3"/>
    <s v="Life Sciences"/>
    <n v="1"/>
    <n v="1703"/>
    <n v="3"/>
    <s v="Female"/>
    <n v="96"/>
    <n v="4"/>
    <n v="3"/>
    <x v="4"/>
    <n v="4"/>
    <s v="Married"/>
    <n v="7879"/>
    <n v="14810"/>
    <n v="1"/>
    <s v="Y"/>
    <s v="Yes"/>
    <n v="19"/>
    <n v="3"/>
    <n v="2"/>
    <n v="80"/>
    <n v="1"/>
    <n v="9"/>
    <n v="2"/>
    <n v="3"/>
    <n v="8"/>
    <n v="7"/>
    <n v="6"/>
    <n v="7"/>
    <s v="OK"/>
    <s v="OK"/>
    <s v="OK"/>
    <s v="OK"/>
    <x v="38"/>
    <n v="0.875"/>
    <n v="0.25"/>
    <n v="0.875"/>
  </r>
  <r>
    <n v="35"/>
    <s v="No"/>
    <s v="Travel_Frequently"/>
    <n v="146"/>
    <x v="1"/>
    <n v="2"/>
    <n v="4"/>
    <s v="Medical"/>
    <n v="1"/>
    <n v="1704"/>
    <n v="1"/>
    <s v="Male"/>
    <n v="79"/>
    <n v="2"/>
    <n v="1"/>
    <x v="1"/>
    <n v="4"/>
    <s v="Single"/>
    <n v="4930"/>
    <n v="13970"/>
    <n v="0"/>
    <s v="Y"/>
    <s v="Yes"/>
    <n v="14"/>
    <n v="3"/>
    <n v="3"/>
    <n v="80"/>
    <n v="0"/>
    <n v="6"/>
    <n v="2"/>
    <n v="4"/>
    <n v="5"/>
    <n v="4"/>
    <n v="1"/>
    <n v="4"/>
    <s v="OK"/>
    <s v="OK"/>
    <s v="OK"/>
    <s v="OK"/>
    <x v="16"/>
    <n v="0.8"/>
    <n v="0.4"/>
    <n v="0.8"/>
  </r>
  <r>
    <n v="43"/>
    <s v="No"/>
    <s v="Travel_Rarely"/>
    <n v="1179"/>
    <x v="0"/>
    <n v="2"/>
    <n v="3"/>
    <s v="Medical"/>
    <n v="1"/>
    <n v="1706"/>
    <n v="4"/>
    <s v="Male"/>
    <n v="73"/>
    <n v="3"/>
    <n v="2"/>
    <x v="0"/>
    <n v="4"/>
    <s v="Married"/>
    <n v="7847"/>
    <n v="6069"/>
    <n v="1"/>
    <s v="Y"/>
    <s v="Yes"/>
    <n v="17"/>
    <n v="3"/>
    <n v="1"/>
    <n v="80"/>
    <n v="1"/>
    <n v="10"/>
    <n v="3"/>
    <n v="3"/>
    <n v="10"/>
    <n v="9"/>
    <n v="8"/>
    <n v="8"/>
    <s v="OK"/>
    <s v="OK"/>
    <s v="OK"/>
    <s v="OK"/>
    <x v="6"/>
    <n v="0.9"/>
    <n v="0.3"/>
    <n v="0.8"/>
  </r>
  <r>
    <n v="24"/>
    <s v="No"/>
    <s v="Travel_Rarely"/>
    <n v="581"/>
    <x v="1"/>
    <n v="9"/>
    <n v="3"/>
    <s v="Medical"/>
    <n v="1"/>
    <n v="1707"/>
    <n v="3"/>
    <s v="Male"/>
    <n v="62"/>
    <n v="4"/>
    <n v="1"/>
    <x v="1"/>
    <n v="3"/>
    <s v="Married"/>
    <n v="4401"/>
    <n v="17616"/>
    <n v="1"/>
    <s v="Y"/>
    <s v="No"/>
    <n v="16"/>
    <n v="3"/>
    <n v="4"/>
    <n v="80"/>
    <n v="1"/>
    <n v="5"/>
    <n v="1"/>
    <n v="3"/>
    <n v="5"/>
    <n v="3"/>
    <n v="0"/>
    <n v="4"/>
    <s v="OK"/>
    <s v="OK"/>
    <s v="OK"/>
    <s v="OK"/>
    <x v="0"/>
    <n v="0.6"/>
    <n v="0.2"/>
    <n v="0.8"/>
  </r>
  <r>
    <n v="41"/>
    <s v="No"/>
    <s v="Travel_Rarely"/>
    <n v="918"/>
    <x v="0"/>
    <n v="6"/>
    <n v="3"/>
    <s v="Marketing"/>
    <n v="1"/>
    <n v="1708"/>
    <n v="4"/>
    <s v="Male"/>
    <n v="35"/>
    <n v="3"/>
    <n v="3"/>
    <x v="0"/>
    <n v="3"/>
    <s v="Single"/>
    <n v="9241"/>
    <n v="15869"/>
    <n v="1"/>
    <s v="Y"/>
    <s v="No"/>
    <n v="12"/>
    <n v="3"/>
    <n v="2"/>
    <n v="80"/>
    <n v="0"/>
    <n v="10"/>
    <n v="3"/>
    <n v="3"/>
    <n v="10"/>
    <n v="8"/>
    <n v="8"/>
    <n v="7"/>
    <s v="OK"/>
    <s v="OK"/>
    <s v="OK"/>
    <s v="OK"/>
    <x v="6"/>
    <n v="0.8"/>
    <n v="0.3"/>
    <n v="0.7"/>
  </r>
  <r>
    <n v="29"/>
    <s v="No"/>
    <s v="Travel_Rarely"/>
    <n v="1082"/>
    <x v="1"/>
    <n v="9"/>
    <n v="4"/>
    <s v="Medical"/>
    <n v="1"/>
    <n v="1709"/>
    <n v="4"/>
    <s v="Female"/>
    <n v="43"/>
    <n v="3"/>
    <n v="1"/>
    <x v="2"/>
    <n v="3"/>
    <s v="Married"/>
    <n v="2974"/>
    <n v="25412"/>
    <n v="9"/>
    <s v="Y"/>
    <s v="No"/>
    <n v="17"/>
    <n v="3"/>
    <n v="3"/>
    <n v="80"/>
    <n v="1"/>
    <n v="9"/>
    <n v="2"/>
    <n v="3"/>
    <n v="5"/>
    <n v="3"/>
    <n v="1"/>
    <n v="2"/>
    <s v="OK"/>
    <s v="OK"/>
    <s v="OK"/>
    <s v="OK"/>
    <x v="16"/>
    <n v="0.6"/>
    <n v="0.4"/>
    <n v="0.4"/>
  </r>
  <r>
    <n v="36"/>
    <s v="No"/>
    <s v="Travel_Rarely"/>
    <n v="530"/>
    <x v="0"/>
    <n v="2"/>
    <n v="4"/>
    <s v="Life Sciences"/>
    <n v="1"/>
    <n v="1710"/>
    <n v="3"/>
    <s v="Female"/>
    <n v="51"/>
    <n v="3"/>
    <n v="2"/>
    <x v="6"/>
    <n v="4"/>
    <s v="Single"/>
    <n v="4502"/>
    <n v="7439"/>
    <n v="3"/>
    <s v="Y"/>
    <s v="No"/>
    <n v="15"/>
    <n v="3"/>
    <n v="3"/>
    <n v="80"/>
    <n v="0"/>
    <n v="17"/>
    <n v="2"/>
    <n v="2"/>
    <n v="13"/>
    <n v="7"/>
    <n v="6"/>
    <n v="7"/>
    <s v="OK"/>
    <s v="OK"/>
    <s v="OK"/>
    <s v="OK"/>
    <x v="106"/>
    <n v="0.53846153846153844"/>
    <n v="0.15384615384615385"/>
    <n v="0.53846153846153844"/>
  </r>
  <r>
    <n v="45"/>
    <s v="No"/>
    <s v="Non-Travel"/>
    <n v="1238"/>
    <x v="1"/>
    <n v="1"/>
    <n v="1"/>
    <s v="Life Sciences"/>
    <n v="1"/>
    <n v="1712"/>
    <n v="3"/>
    <s v="Male"/>
    <n v="74"/>
    <n v="2"/>
    <n v="3"/>
    <x v="4"/>
    <n v="3"/>
    <s v="Married"/>
    <n v="10748"/>
    <n v="3395"/>
    <n v="3"/>
    <s v="Y"/>
    <s v="No"/>
    <n v="23"/>
    <n v="4"/>
    <n v="4"/>
    <n v="80"/>
    <n v="1"/>
    <n v="25"/>
    <n v="3"/>
    <n v="2"/>
    <n v="23"/>
    <n v="15"/>
    <n v="14"/>
    <n v="4"/>
    <s v="OK"/>
    <s v="OK"/>
    <s v="OK"/>
    <s v="OK"/>
    <x v="109"/>
    <n v="0.65217391304347827"/>
    <n v="0.13043478260869565"/>
    <n v="0.17391304347826086"/>
  </r>
  <r>
    <n v="24"/>
    <s v="Yes"/>
    <s v="Travel_Rarely"/>
    <n v="240"/>
    <x v="2"/>
    <n v="22"/>
    <n v="1"/>
    <s v="Human Resources"/>
    <n v="1"/>
    <n v="1714"/>
    <n v="4"/>
    <s v="Male"/>
    <n v="58"/>
    <n v="1"/>
    <n v="1"/>
    <x v="8"/>
    <n v="3"/>
    <s v="Married"/>
    <n v="1555"/>
    <n v="11585"/>
    <n v="1"/>
    <s v="Y"/>
    <s v="No"/>
    <n v="11"/>
    <n v="3"/>
    <n v="3"/>
    <n v="80"/>
    <n v="1"/>
    <n v="1"/>
    <n v="2"/>
    <n v="3"/>
    <n v="1"/>
    <n v="0"/>
    <n v="0"/>
    <n v="0"/>
    <s v="OK"/>
    <s v="OK"/>
    <s v="OK"/>
    <s v="OK"/>
    <x v="0"/>
    <n v="0"/>
    <n v="2"/>
    <n v="0"/>
  </r>
  <r>
    <n v="47"/>
    <s v="Yes"/>
    <s v="Travel_Frequently"/>
    <n v="1093"/>
    <x v="0"/>
    <n v="9"/>
    <n v="3"/>
    <s v="Life Sciences"/>
    <n v="1"/>
    <n v="1716"/>
    <n v="3"/>
    <s v="Male"/>
    <n v="82"/>
    <n v="1"/>
    <n v="4"/>
    <x v="0"/>
    <n v="3"/>
    <s v="Married"/>
    <n v="12936"/>
    <n v="24164"/>
    <n v="7"/>
    <s v="Y"/>
    <s v="No"/>
    <n v="11"/>
    <n v="3"/>
    <n v="3"/>
    <n v="80"/>
    <n v="0"/>
    <n v="25"/>
    <n v="3"/>
    <n v="1"/>
    <n v="23"/>
    <n v="5"/>
    <n v="14"/>
    <n v="10"/>
    <s v="OK"/>
    <s v="OK"/>
    <s v="OK"/>
    <s v="OK"/>
    <x v="109"/>
    <n v="0.21739130434782608"/>
    <n v="0.13043478260869565"/>
    <n v="0.43478260869565216"/>
  </r>
  <r>
    <n v="26"/>
    <s v="No"/>
    <s v="Travel_Rarely"/>
    <n v="390"/>
    <x v="1"/>
    <n v="17"/>
    <n v="4"/>
    <s v="Medical"/>
    <n v="1"/>
    <n v="1718"/>
    <n v="4"/>
    <s v="Male"/>
    <n v="62"/>
    <n v="1"/>
    <n v="1"/>
    <x v="2"/>
    <n v="3"/>
    <s v="Married"/>
    <n v="2305"/>
    <n v="6217"/>
    <n v="1"/>
    <s v="Y"/>
    <s v="No"/>
    <n v="15"/>
    <n v="3"/>
    <n v="3"/>
    <n v="80"/>
    <n v="3"/>
    <n v="3"/>
    <n v="3"/>
    <n v="4"/>
    <n v="3"/>
    <n v="2"/>
    <n v="0"/>
    <n v="2"/>
    <s v="OK"/>
    <s v="OK"/>
    <s v="OK"/>
    <s v="OK"/>
    <x v="0"/>
    <n v="0.66666666666666663"/>
    <n v="1"/>
    <n v="0.66666666666666663"/>
  </r>
  <r>
    <n v="45"/>
    <s v="No"/>
    <s v="Travel_Rarely"/>
    <n v="1005"/>
    <x v="1"/>
    <n v="28"/>
    <n v="2"/>
    <s v="Technical Degree"/>
    <n v="1"/>
    <n v="1719"/>
    <n v="4"/>
    <s v="Female"/>
    <n v="48"/>
    <n v="2"/>
    <n v="4"/>
    <x v="7"/>
    <n v="2"/>
    <s v="Single"/>
    <n v="16704"/>
    <n v="17119"/>
    <n v="1"/>
    <s v="Y"/>
    <s v="No"/>
    <n v="11"/>
    <n v="3"/>
    <n v="3"/>
    <n v="80"/>
    <n v="0"/>
    <n v="21"/>
    <n v="2"/>
    <n v="3"/>
    <n v="21"/>
    <n v="6"/>
    <n v="8"/>
    <n v="6"/>
    <s v="OK"/>
    <s v="OK"/>
    <s v="OK"/>
    <s v="OK"/>
    <x v="110"/>
    <n v="0.2857142857142857"/>
    <n v="9.5238095238095233E-2"/>
    <n v="0.2857142857142857"/>
  </r>
  <r>
    <n v="32"/>
    <s v="No"/>
    <s v="Travel_Frequently"/>
    <n v="585"/>
    <x v="1"/>
    <n v="10"/>
    <n v="3"/>
    <s v="Life Sciences"/>
    <n v="1"/>
    <n v="1720"/>
    <n v="1"/>
    <s v="Male"/>
    <n v="56"/>
    <n v="3"/>
    <n v="1"/>
    <x v="1"/>
    <n v="3"/>
    <s v="Married"/>
    <n v="3433"/>
    <n v="17360"/>
    <n v="6"/>
    <s v="Y"/>
    <s v="No"/>
    <n v="13"/>
    <n v="3"/>
    <n v="1"/>
    <n v="80"/>
    <n v="1"/>
    <n v="10"/>
    <n v="3"/>
    <n v="2"/>
    <n v="5"/>
    <n v="2"/>
    <n v="1"/>
    <n v="3"/>
    <s v="OK"/>
    <s v="OK"/>
    <s v="OK"/>
    <s v="OK"/>
    <x v="16"/>
    <n v="0.4"/>
    <n v="0.6"/>
    <n v="0.6"/>
  </r>
  <r>
    <n v="31"/>
    <s v="No"/>
    <s v="Travel_Rarely"/>
    <n v="741"/>
    <x v="1"/>
    <n v="2"/>
    <n v="4"/>
    <s v="Life Sciences"/>
    <n v="1"/>
    <n v="1721"/>
    <n v="2"/>
    <s v="Male"/>
    <n v="69"/>
    <n v="3"/>
    <n v="1"/>
    <x v="2"/>
    <n v="3"/>
    <s v="Married"/>
    <n v="3477"/>
    <n v="18103"/>
    <n v="1"/>
    <s v="Y"/>
    <s v="No"/>
    <n v="14"/>
    <n v="3"/>
    <n v="4"/>
    <n v="80"/>
    <n v="1"/>
    <n v="6"/>
    <n v="2"/>
    <n v="4"/>
    <n v="5"/>
    <n v="2"/>
    <n v="0"/>
    <n v="3"/>
    <s v="OK"/>
    <s v="OK"/>
    <s v="OK"/>
    <s v="OK"/>
    <x v="0"/>
    <n v="0.4"/>
    <n v="0.4"/>
    <n v="0.6"/>
  </r>
  <r>
    <n v="41"/>
    <s v="No"/>
    <s v="Non-Travel"/>
    <n v="552"/>
    <x v="2"/>
    <n v="4"/>
    <n v="3"/>
    <s v="Human Resources"/>
    <n v="1"/>
    <n v="1722"/>
    <n v="3"/>
    <s v="Male"/>
    <n v="60"/>
    <n v="1"/>
    <n v="2"/>
    <x v="8"/>
    <n v="2"/>
    <s v="Married"/>
    <n v="6430"/>
    <n v="20794"/>
    <n v="6"/>
    <s v="Y"/>
    <s v="No"/>
    <n v="19"/>
    <n v="3"/>
    <n v="2"/>
    <n v="80"/>
    <n v="1"/>
    <n v="10"/>
    <n v="4"/>
    <n v="3"/>
    <n v="3"/>
    <n v="2"/>
    <n v="1"/>
    <n v="2"/>
    <s v="OK"/>
    <s v="OK"/>
    <s v="OK"/>
    <s v="OK"/>
    <x v="9"/>
    <n v="0.66666666666666663"/>
    <n v="1.3333333333333333"/>
    <n v="0.66666666666666663"/>
  </r>
  <r>
    <n v="40"/>
    <s v="No"/>
    <s v="Travel_Rarely"/>
    <n v="369"/>
    <x v="1"/>
    <n v="8"/>
    <n v="2"/>
    <s v="Life Sciences"/>
    <n v="1"/>
    <n v="1724"/>
    <n v="2"/>
    <s v="Female"/>
    <n v="92"/>
    <n v="3"/>
    <n v="2"/>
    <x v="3"/>
    <n v="1"/>
    <s v="Married"/>
    <n v="6516"/>
    <n v="5041"/>
    <n v="2"/>
    <s v="Y"/>
    <s v="Yes"/>
    <n v="16"/>
    <n v="3"/>
    <n v="2"/>
    <n v="80"/>
    <n v="1"/>
    <n v="18"/>
    <n v="3"/>
    <n v="3"/>
    <n v="1"/>
    <n v="0"/>
    <n v="0"/>
    <n v="0"/>
    <s v="OK"/>
    <s v="OK"/>
    <s v="OK"/>
    <s v="OK"/>
    <x v="0"/>
    <n v="0"/>
    <n v="3"/>
    <n v="0"/>
  </r>
  <r>
    <n v="24"/>
    <s v="No"/>
    <s v="Travel_Rarely"/>
    <n v="506"/>
    <x v="1"/>
    <n v="29"/>
    <n v="1"/>
    <s v="Medical"/>
    <n v="1"/>
    <n v="1725"/>
    <n v="2"/>
    <s v="Male"/>
    <n v="91"/>
    <n v="3"/>
    <n v="1"/>
    <x v="2"/>
    <n v="1"/>
    <s v="Divorced"/>
    <n v="3907"/>
    <n v="3622"/>
    <n v="1"/>
    <s v="Y"/>
    <s v="No"/>
    <n v="13"/>
    <n v="3"/>
    <n v="2"/>
    <n v="80"/>
    <n v="3"/>
    <n v="6"/>
    <n v="2"/>
    <n v="4"/>
    <n v="6"/>
    <n v="2"/>
    <n v="1"/>
    <n v="2"/>
    <s v="OK"/>
    <s v="OK"/>
    <s v="OK"/>
    <s v="OK"/>
    <x v="11"/>
    <n v="0.33333333333333331"/>
    <n v="0.33333333333333331"/>
    <n v="0.33333333333333331"/>
  </r>
  <r>
    <n v="46"/>
    <s v="No"/>
    <s v="Travel_Rarely"/>
    <n v="717"/>
    <x v="1"/>
    <n v="13"/>
    <n v="4"/>
    <s v="Life Sciences"/>
    <n v="1"/>
    <n v="1727"/>
    <n v="3"/>
    <s v="Male"/>
    <n v="34"/>
    <n v="3"/>
    <n v="2"/>
    <x v="4"/>
    <n v="2"/>
    <s v="Single"/>
    <n v="5562"/>
    <n v="9697"/>
    <n v="6"/>
    <s v="Y"/>
    <s v="No"/>
    <n v="14"/>
    <n v="3"/>
    <n v="4"/>
    <n v="80"/>
    <n v="0"/>
    <n v="19"/>
    <n v="3"/>
    <n v="3"/>
    <n v="10"/>
    <n v="7"/>
    <n v="0"/>
    <n v="9"/>
    <s v="OK"/>
    <s v="OK"/>
    <s v="OK"/>
    <s v="OK"/>
    <x v="0"/>
    <n v="0.7"/>
    <n v="0.3"/>
    <n v="0.9"/>
  </r>
  <r>
    <n v="35"/>
    <s v="No"/>
    <s v="Travel_Rarely"/>
    <n v="1370"/>
    <x v="1"/>
    <n v="27"/>
    <n v="4"/>
    <s v="Life Sciences"/>
    <n v="1"/>
    <n v="1728"/>
    <n v="4"/>
    <s v="Male"/>
    <n v="49"/>
    <n v="3"/>
    <n v="2"/>
    <x v="3"/>
    <n v="3"/>
    <s v="Married"/>
    <n v="6883"/>
    <n v="5151"/>
    <n v="2"/>
    <s v="Y"/>
    <s v="No"/>
    <n v="16"/>
    <n v="3"/>
    <n v="2"/>
    <n v="80"/>
    <n v="1"/>
    <n v="17"/>
    <n v="3"/>
    <n v="3"/>
    <n v="7"/>
    <n v="7"/>
    <n v="0"/>
    <n v="7"/>
    <s v="OK"/>
    <s v="OK"/>
    <s v="OK"/>
    <s v="OK"/>
    <x v="0"/>
    <n v="1"/>
    <n v="0.42857142857142855"/>
    <n v="1"/>
  </r>
  <r>
    <n v="30"/>
    <s v="No"/>
    <s v="Travel_Rarely"/>
    <n v="793"/>
    <x v="1"/>
    <n v="16"/>
    <n v="1"/>
    <s v="Life Sciences"/>
    <n v="1"/>
    <n v="1729"/>
    <n v="2"/>
    <s v="Male"/>
    <n v="33"/>
    <n v="3"/>
    <n v="1"/>
    <x v="1"/>
    <n v="4"/>
    <s v="Married"/>
    <n v="2862"/>
    <n v="3811"/>
    <n v="1"/>
    <s v="Y"/>
    <s v="No"/>
    <n v="12"/>
    <n v="3"/>
    <n v="2"/>
    <n v="80"/>
    <n v="1"/>
    <n v="10"/>
    <n v="2"/>
    <n v="2"/>
    <n v="10"/>
    <n v="0"/>
    <n v="0"/>
    <n v="8"/>
    <s v="OK"/>
    <s v="OK"/>
    <s v="OK"/>
    <s v="OK"/>
    <x v="0"/>
    <n v="0"/>
    <n v="0.2"/>
    <n v="0.8"/>
  </r>
  <r>
    <n v="47"/>
    <s v="No"/>
    <s v="Non-Travel"/>
    <n v="543"/>
    <x v="0"/>
    <n v="2"/>
    <n v="4"/>
    <s v="Marketing"/>
    <n v="1"/>
    <n v="1731"/>
    <n v="3"/>
    <s v="Male"/>
    <n v="87"/>
    <n v="3"/>
    <n v="2"/>
    <x v="0"/>
    <n v="2"/>
    <s v="Married"/>
    <n v="4978"/>
    <n v="3536"/>
    <n v="7"/>
    <s v="Y"/>
    <s v="No"/>
    <n v="11"/>
    <n v="3"/>
    <n v="4"/>
    <n v="80"/>
    <n v="1"/>
    <n v="4"/>
    <n v="3"/>
    <n v="1"/>
    <n v="1"/>
    <n v="0"/>
    <n v="0"/>
    <n v="0"/>
    <s v="OK"/>
    <s v="OK"/>
    <s v="OK"/>
    <s v="OK"/>
    <x v="0"/>
    <n v="0"/>
    <n v="3"/>
    <n v="0"/>
  </r>
  <r>
    <n v="46"/>
    <s v="No"/>
    <s v="Travel_Rarely"/>
    <n v="1277"/>
    <x v="0"/>
    <n v="2"/>
    <n v="3"/>
    <s v="Life Sciences"/>
    <n v="1"/>
    <n v="1732"/>
    <n v="3"/>
    <s v="Male"/>
    <n v="74"/>
    <n v="3"/>
    <n v="3"/>
    <x v="0"/>
    <n v="4"/>
    <s v="Divorced"/>
    <n v="10368"/>
    <n v="5596"/>
    <n v="4"/>
    <s v="Y"/>
    <s v="Yes"/>
    <n v="12"/>
    <n v="3"/>
    <n v="2"/>
    <n v="80"/>
    <n v="1"/>
    <n v="13"/>
    <n v="5"/>
    <n v="2"/>
    <n v="10"/>
    <n v="6"/>
    <n v="0"/>
    <n v="3"/>
    <s v="OK"/>
    <s v="OK"/>
    <s v="OK"/>
    <s v="OK"/>
    <x v="0"/>
    <n v="0.6"/>
    <n v="0.5"/>
    <n v="0.3"/>
  </r>
  <r>
    <n v="36"/>
    <s v="Yes"/>
    <s v="Travel_Rarely"/>
    <n v="1456"/>
    <x v="0"/>
    <n v="13"/>
    <n v="5"/>
    <s v="Marketing"/>
    <n v="1"/>
    <n v="1733"/>
    <n v="2"/>
    <s v="Male"/>
    <n v="96"/>
    <n v="2"/>
    <n v="2"/>
    <x v="0"/>
    <n v="1"/>
    <s v="Divorced"/>
    <n v="6134"/>
    <n v="8658"/>
    <n v="5"/>
    <s v="Y"/>
    <s v="Yes"/>
    <n v="13"/>
    <n v="3"/>
    <n v="2"/>
    <n v="80"/>
    <n v="3"/>
    <n v="16"/>
    <n v="3"/>
    <n v="3"/>
    <n v="2"/>
    <n v="2"/>
    <n v="2"/>
    <n v="2"/>
    <s v="OK"/>
    <s v="OK"/>
    <s v="OK"/>
    <s v="OK"/>
    <x v="3"/>
    <n v="1"/>
    <n v="1.5"/>
    <n v="1"/>
  </r>
  <r>
    <n v="32"/>
    <s v="Yes"/>
    <s v="Travel_Rarely"/>
    <n v="964"/>
    <x v="0"/>
    <n v="1"/>
    <n v="2"/>
    <s v="Life Sciences"/>
    <n v="1"/>
    <n v="1734"/>
    <n v="1"/>
    <s v="Male"/>
    <n v="34"/>
    <n v="1"/>
    <n v="2"/>
    <x v="0"/>
    <n v="2"/>
    <s v="Single"/>
    <n v="6735"/>
    <n v="12147"/>
    <n v="6"/>
    <s v="Y"/>
    <s v="No"/>
    <n v="15"/>
    <n v="3"/>
    <n v="2"/>
    <n v="80"/>
    <n v="0"/>
    <n v="10"/>
    <n v="2"/>
    <n v="3"/>
    <n v="0"/>
    <n v="0"/>
    <n v="0"/>
    <n v="0"/>
    <s v="OK"/>
    <s v="OK"/>
    <s v="OK"/>
    <s v="OK"/>
    <x v="0"/>
    <n v="0"/>
    <n v="0"/>
    <n v="0"/>
  </r>
  <r>
    <n v="23"/>
    <s v="No"/>
    <s v="Travel_Rarely"/>
    <n v="160"/>
    <x v="1"/>
    <n v="4"/>
    <n v="1"/>
    <s v="Medical"/>
    <n v="1"/>
    <n v="1735"/>
    <n v="3"/>
    <s v="Female"/>
    <n v="51"/>
    <n v="3"/>
    <n v="1"/>
    <x v="2"/>
    <n v="2"/>
    <s v="Single"/>
    <n v="3295"/>
    <n v="12862"/>
    <n v="1"/>
    <s v="Y"/>
    <s v="No"/>
    <n v="13"/>
    <n v="3"/>
    <n v="3"/>
    <n v="80"/>
    <n v="0"/>
    <n v="3"/>
    <n v="3"/>
    <n v="1"/>
    <n v="3"/>
    <n v="2"/>
    <n v="1"/>
    <n v="2"/>
    <s v="OK"/>
    <s v="OK"/>
    <s v="OK"/>
    <s v="OK"/>
    <x v="9"/>
    <n v="0.66666666666666663"/>
    <n v="1"/>
    <n v="0.66666666666666663"/>
  </r>
  <r>
    <n v="31"/>
    <s v="No"/>
    <s v="Travel_Frequently"/>
    <n v="163"/>
    <x v="1"/>
    <n v="24"/>
    <n v="1"/>
    <s v="Technical Degree"/>
    <n v="1"/>
    <n v="1736"/>
    <n v="4"/>
    <s v="Female"/>
    <n v="30"/>
    <n v="3"/>
    <n v="2"/>
    <x v="3"/>
    <n v="4"/>
    <s v="Single"/>
    <n v="5238"/>
    <n v="6670"/>
    <n v="2"/>
    <s v="Y"/>
    <s v="No"/>
    <n v="20"/>
    <n v="4"/>
    <n v="4"/>
    <n v="80"/>
    <n v="0"/>
    <n v="9"/>
    <n v="3"/>
    <n v="2"/>
    <n v="5"/>
    <n v="4"/>
    <n v="1"/>
    <n v="4"/>
    <s v="OK"/>
    <s v="OK"/>
    <s v="OK"/>
    <s v="OK"/>
    <x v="16"/>
    <n v="0.8"/>
    <n v="0.6"/>
    <n v="0.8"/>
  </r>
  <r>
    <n v="39"/>
    <s v="No"/>
    <s v="Non-Travel"/>
    <n v="792"/>
    <x v="1"/>
    <n v="1"/>
    <n v="3"/>
    <s v="Life Sciences"/>
    <n v="1"/>
    <n v="1737"/>
    <n v="4"/>
    <s v="Male"/>
    <n v="77"/>
    <n v="3"/>
    <n v="2"/>
    <x v="2"/>
    <n v="4"/>
    <s v="Married"/>
    <n v="6472"/>
    <n v="8989"/>
    <n v="1"/>
    <s v="Y"/>
    <s v="Yes"/>
    <n v="15"/>
    <n v="3"/>
    <n v="4"/>
    <n v="80"/>
    <n v="1"/>
    <n v="9"/>
    <n v="2"/>
    <n v="3"/>
    <n v="9"/>
    <n v="8"/>
    <n v="5"/>
    <n v="8"/>
    <s v="OK"/>
    <s v="OK"/>
    <s v="OK"/>
    <s v="OK"/>
    <x v="52"/>
    <n v="0.88888888888888884"/>
    <n v="0.22222222222222221"/>
    <n v="0.88888888888888884"/>
  </r>
  <r>
    <n v="32"/>
    <s v="No"/>
    <s v="Travel_Rarely"/>
    <n v="371"/>
    <x v="0"/>
    <n v="19"/>
    <n v="3"/>
    <s v="Life Sciences"/>
    <n v="1"/>
    <n v="1739"/>
    <n v="4"/>
    <s v="Male"/>
    <n v="80"/>
    <n v="1"/>
    <n v="3"/>
    <x v="0"/>
    <n v="3"/>
    <s v="Married"/>
    <n v="9610"/>
    <n v="3840"/>
    <n v="3"/>
    <s v="Y"/>
    <s v="No"/>
    <n v="13"/>
    <n v="3"/>
    <n v="3"/>
    <n v="80"/>
    <n v="1"/>
    <n v="10"/>
    <n v="2"/>
    <n v="1"/>
    <n v="4"/>
    <n v="3"/>
    <n v="0"/>
    <n v="2"/>
    <s v="OK"/>
    <s v="OK"/>
    <s v="OK"/>
    <s v="OK"/>
    <x v="0"/>
    <n v="0.75"/>
    <n v="0.5"/>
    <n v="0.5"/>
  </r>
  <r>
    <n v="40"/>
    <s v="No"/>
    <s v="Travel_Rarely"/>
    <n v="611"/>
    <x v="0"/>
    <n v="7"/>
    <n v="4"/>
    <s v="Medical"/>
    <n v="1"/>
    <n v="1740"/>
    <n v="2"/>
    <s v="Male"/>
    <n v="88"/>
    <n v="3"/>
    <n v="5"/>
    <x v="5"/>
    <n v="2"/>
    <s v="Single"/>
    <n v="19833"/>
    <n v="4349"/>
    <n v="1"/>
    <s v="Y"/>
    <s v="No"/>
    <n v="14"/>
    <n v="3"/>
    <n v="2"/>
    <n v="80"/>
    <n v="0"/>
    <n v="21"/>
    <n v="3"/>
    <n v="2"/>
    <n v="21"/>
    <n v="8"/>
    <n v="12"/>
    <n v="8"/>
    <s v="OK"/>
    <s v="OK"/>
    <s v="OK"/>
    <s v="OK"/>
    <x v="41"/>
    <n v="0.38095238095238093"/>
    <n v="0.14285714285714285"/>
    <n v="0.38095238095238093"/>
  </r>
  <r>
    <n v="45"/>
    <s v="No"/>
    <s v="Travel_Rarely"/>
    <n v="176"/>
    <x v="2"/>
    <n v="4"/>
    <n v="3"/>
    <s v="Life Sciences"/>
    <n v="1"/>
    <n v="1744"/>
    <n v="3"/>
    <s v="Female"/>
    <n v="56"/>
    <n v="1"/>
    <n v="3"/>
    <x v="8"/>
    <n v="3"/>
    <s v="Married"/>
    <n v="9756"/>
    <n v="6595"/>
    <n v="4"/>
    <s v="Y"/>
    <s v="No"/>
    <n v="21"/>
    <n v="4"/>
    <n v="3"/>
    <n v="80"/>
    <n v="2"/>
    <n v="9"/>
    <n v="2"/>
    <n v="4"/>
    <n v="5"/>
    <n v="0"/>
    <n v="0"/>
    <n v="3"/>
    <s v="OK"/>
    <s v="OK"/>
    <s v="OK"/>
    <s v="OK"/>
    <x v="0"/>
    <n v="0"/>
    <n v="0.4"/>
    <n v="0.6"/>
  </r>
  <r>
    <n v="30"/>
    <s v="No"/>
    <s v="Travel_Frequently"/>
    <n v="1312"/>
    <x v="1"/>
    <n v="2"/>
    <n v="4"/>
    <s v="Technical Degree"/>
    <n v="1"/>
    <n v="1745"/>
    <n v="4"/>
    <s v="Female"/>
    <n v="78"/>
    <n v="2"/>
    <n v="1"/>
    <x v="1"/>
    <n v="1"/>
    <s v="Single"/>
    <n v="4968"/>
    <n v="26427"/>
    <n v="0"/>
    <s v="Y"/>
    <s v="No"/>
    <n v="16"/>
    <n v="3"/>
    <n v="4"/>
    <n v="80"/>
    <n v="0"/>
    <n v="10"/>
    <n v="2"/>
    <n v="3"/>
    <n v="9"/>
    <n v="7"/>
    <n v="0"/>
    <n v="7"/>
    <s v="OK"/>
    <s v="OK"/>
    <s v="OK"/>
    <s v="OK"/>
    <x v="0"/>
    <n v="0.77777777777777779"/>
    <n v="0.22222222222222221"/>
    <n v="0.77777777777777779"/>
  </r>
  <r>
    <n v="24"/>
    <s v="No"/>
    <s v="Travel_Frequently"/>
    <n v="897"/>
    <x v="2"/>
    <n v="10"/>
    <n v="3"/>
    <s v="Medical"/>
    <n v="1"/>
    <n v="1746"/>
    <n v="1"/>
    <s v="Male"/>
    <n v="59"/>
    <n v="3"/>
    <n v="1"/>
    <x v="8"/>
    <n v="4"/>
    <s v="Married"/>
    <n v="2145"/>
    <n v="2097"/>
    <n v="0"/>
    <s v="Y"/>
    <s v="No"/>
    <n v="14"/>
    <n v="3"/>
    <n v="4"/>
    <n v="80"/>
    <n v="1"/>
    <n v="3"/>
    <n v="2"/>
    <n v="3"/>
    <n v="2"/>
    <n v="2"/>
    <n v="2"/>
    <n v="1"/>
    <s v="OK"/>
    <s v="OK"/>
    <s v="OK"/>
    <s v="OK"/>
    <x v="3"/>
    <n v="1"/>
    <n v="1"/>
    <n v="0.5"/>
  </r>
  <r>
    <n v="30"/>
    <s v="Yes"/>
    <s v="Travel_Frequently"/>
    <n v="600"/>
    <x v="2"/>
    <n v="8"/>
    <n v="3"/>
    <s v="Human Resources"/>
    <n v="1"/>
    <n v="1747"/>
    <n v="3"/>
    <s v="Female"/>
    <n v="66"/>
    <n v="2"/>
    <n v="1"/>
    <x v="8"/>
    <n v="4"/>
    <s v="Divorced"/>
    <n v="2180"/>
    <n v="9732"/>
    <n v="6"/>
    <s v="Y"/>
    <s v="No"/>
    <n v="11"/>
    <n v="3"/>
    <n v="3"/>
    <n v="80"/>
    <n v="1"/>
    <n v="6"/>
    <n v="0"/>
    <n v="2"/>
    <n v="4"/>
    <n v="2"/>
    <n v="1"/>
    <n v="2"/>
    <s v="OK"/>
    <s v="OK"/>
    <s v="OK"/>
    <s v="OK"/>
    <x v="10"/>
    <n v="0.5"/>
    <n v="0"/>
    <n v="0.5"/>
  </r>
  <r>
    <n v="31"/>
    <s v="No"/>
    <s v="Travel_Rarely"/>
    <n v="1003"/>
    <x v="0"/>
    <n v="5"/>
    <n v="3"/>
    <s v="Technical Degree"/>
    <n v="1"/>
    <n v="1749"/>
    <n v="1"/>
    <s v="Male"/>
    <n v="51"/>
    <n v="3"/>
    <n v="2"/>
    <x v="0"/>
    <n v="3"/>
    <s v="Married"/>
    <n v="8346"/>
    <n v="20943"/>
    <n v="1"/>
    <s v="Y"/>
    <s v="No"/>
    <n v="19"/>
    <n v="3"/>
    <n v="3"/>
    <n v="80"/>
    <n v="1"/>
    <n v="6"/>
    <n v="3"/>
    <n v="3"/>
    <n v="5"/>
    <n v="2"/>
    <n v="0"/>
    <n v="2"/>
    <s v="OK"/>
    <s v="OK"/>
    <s v="OK"/>
    <s v="OK"/>
    <x v="0"/>
    <n v="0.4"/>
    <n v="0.6"/>
    <n v="0.4"/>
  </r>
  <r>
    <n v="27"/>
    <s v="No"/>
    <s v="Travel_Rarely"/>
    <n v="1054"/>
    <x v="1"/>
    <n v="8"/>
    <n v="3"/>
    <s v="Medical"/>
    <n v="1"/>
    <n v="1751"/>
    <n v="3"/>
    <s v="Female"/>
    <n v="67"/>
    <n v="3"/>
    <n v="1"/>
    <x v="1"/>
    <n v="4"/>
    <s v="Single"/>
    <n v="3445"/>
    <n v="6152"/>
    <n v="1"/>
    <s v="Y"/>
    <s v="No"/>
    <n v="11"/>
    <n v="3"/>
    <n v="3"/>
    <n v="80"/>
    <n v="0"/>
    <n v="6"/>
    <n v="5"/>
    <n v="2"/>
    <n v="6"/>
    <n v="2"/>
    <n v="1"/>
    <n v="4"/>
    <s v="OK"/>
    <s v="OK"/>
    <s v="OK"/>
    <s v="OK"/>
    <x v="11"/>
    <n v="0.33333333333333331"/>
    <n v="0.83333333333333337"/>
    <n v="0.66666666666666663"/>
  </r>
  <r>
    <n v="29"/>
    <s v="Yes"/>
    <s v="Travel_Rarely"/>
    <n v="428"/>
    <x v="0"/>
    <n v="9"/>
    <n v="3"/>
    <s v="Marketing"/>
    <n v="1"/>
    <n v="1752"/>
    <n v="2"/>
    <s v="Female"/>
    <n v="52"/>
    <n v="1"/>
    <n v="1"/>
    <x v="6"/>
    <n v="2"/>
    <s v="Single"/>
    <n v="2760"/>
    <n v="14630"/>
    <n v="1"/>
    <s v="Y"/>
    <s v="No"/>
    <n v="13"/>
    <n v="3"/>
    <n v="3"/>
    <n v="80"/>
    <n v="0"/>
    <n v="2"/>
    <n v="3"/>
    <n v="3"/>
    <n v="2"/>
    <n v="2"/>
    <n v="2"/>
    <n v="2"/>
    <s v="OK"/>
    <s v="OK"/>
    <s v="OK"/>
    <s v="OK"/>
    <x v="3"/>
    <n v="1"/>
    <n v="1.5"/>
    <n v="1"/>
  </r>
  <r>
    <n v="29"/>
    <s v="No"/>
    <s v="Travel_Frequently"/>
    <n v="461"/>
    <x v="1"/>
    <n v="1"/>
    <n v="3"/>
    <s v="Life Sciences"/>
    <n v="1"/>
    <n v="1753"/>
    <n v="4"/>
    <s v="Male"/>
    <n v="70"/>
    <n v="4"/>
    <n v="2"/>
    <x v="4"/>
    <n v="3"/>
    <s v="Single"/>
    <n v="6294"/>
    <n v="23060"/>
    <n v="8"/>
    <s v="Y"/>
    <s v="Yes"/>
    <n v="12"/>
    <n v="3"/>
    <n v="4"/>
    <n v="80"/>
    <n v="0"/>
    <n v="10"/>
    <n v="5"/>
    <n v="4"/>
    <n v="3"/>
    <n v="2"/>
    <n v="0"/>
    <n v="2"/>
    <s v="OK"/>
    <s v="OK"/>
    <s v="OK"/>
    <s v="OK"/>
    <x v="0"/>
    <n v="0.66666666666666663"/>
    <n v="1.6666666666666667"/>
    <n v="0.66666666666666663"/>
  </r>
  <r>
    <n v="30"/>
    <s v="No"/>
    <s v="Travel_Rarely"/>
    <n v="979"/>
    <x v="0"/>
    <n v="15"/>
    <n v="2"/>
    <s v="Marketing"/>
    <n v="1"/>
    <n v="1754"/>
    <n v="3"/>
    <s v="Male"/>
    <n v="94"/>
    <n v="2"/>
    <n v="3"/>
    <x v="0"/>
    <n v="1"/>
    <s v="Divorced"/>
    <n v="7140"/>
    <n v="3088"/>
    <n v="2"/>
    <s v="Y"/>
    <s v="No"/>
    <n v="11"/>
    <n v="3"/>
    <n v="1"/>
    <n v="80"/>
    <n v="1"/>
    <n v="12"/>
    <n v="2"/>
    <n v="3"/>
    <n v="7"/>
    <n v="7"/>
    <n v="1"/>
    <n v="7"/>
    <s v="OK"/>
    <s v="OK"/>
    <s v="OK"/>
    <s v="OK"/>
    <x v="20"/>
    <n v="1"/>
    <n v="0.2857142857142857"/>
    <n v="1"/>
  </r>
  <r>
    <n v="34"/>
    <s v="No"/>
    <s v="Travel_Rarely"/>
    <n v="181"/>
    <x v="1"/>
    <n v="2"/>
    <n v="4"/>
    <s v="Medical"/>
    <n v="1"/>
    <n v="1755"/>
    <n v="4"/>
    <s v="Male"/>
    <n v="97"/>
    <n v="4"/>
    <n v="1"/>
    <x v="1"/>
    <n v="4"/>
    <s v="Married"/>
    <n v="2932"/>
    <n v="5586"/>
    <n v="0"/>
    <s v="Y"/>
    <s v="Yes"/>
    <n v="14"/>
    <n v="3"/>
    <n v="1"/>
    <n v="80"/>
    <n v="3"/>
    <n v="6"/>
    <n v="3"/>
    <n v="3"/>
    <n v="5"/>
    <n v="0"/>
    <n v="1"/>
    <n v="2"/>
    <s v="OK"/>
    <s v="OK"/>
    <s v="OK"/>
    <s v="OK"/>
    <x v="16"/>
    <n v="0"/>
    <n v="0.6"/>
    <n v="0.4"/>
  </r>
  <r>
    <n v="33"/>
    <s v="No"/>
    <s v="Non-Travel"/>
    <n v="1283"/>
    <x v="0"/>
    <n v="2"/>
    <n v="3"/>
    <s v="Marketing"/>
    <n v="1"/>
    <n v="1756"/>
    <n v="4"/>
    <s v="Female"/>
    <n v="62"/>
    <n v="3"/>
    <n v="2"/>
    <x v="0"/>
    <n v="2"/>
    <s v="Single"/>
    <n v="5147"/>
    <n v="10697"/>
    <n v="8"/>
    <s v="Y"/>
    <s v="No"/>
    <n v="15"/>
    <n v="3"/>
    <n v="4"/>
    <n v="80"/>
    <n v="0"/>
    <n v="13"/>
    <n v="2"/>
    <n v="2"/>
    <n v="11"/>
    <n v="7"/>
    <n v="1"/>
    <n v="7"/>
    <s v="OK"/>
    <s v="OK"/>
    <s v="OK"/>
    <s v="OK"/>
    <x v="25"/>
    <n v="0.63636363636363635"/>
    <n v="0.18181818181818182"/>
    <n v="0.63636363636363635"/>
  </r>
  <r>
    <n v="49"/>
    <s v="No"/>
    <s v="Travel_Rarely"/>
    <n v="1313"/>
    <x v="0"/>
    <n v="11"/>
    <n v="4"/>
    <s v="Marketing"/>
    <n v="1"/>
    <n v="1757"/>
    <n v="4"/>
    <s v="Female"/>
    <n v="80"/>
    <n v="3"/>
    <n v="2"/>
    <x v="0"/>
    <n v="4"/>
    <s v="Single"/>
    <n v="4507"/>
    <n v="8191"/>
    <n v="3"/>
    <s v="Y"/>
    <s v="No"/>
    <n v="12"/>
    <n v="3"/>
    <n v="3"/>
    <n v="80"/>
    <n v="0"/>
    <n v="8"/>
    <n v="1"/>
    <n v="4"/>
    <n v="5"/>
    <n v="1"/>
    <n v="0"/>
    <n v="4"/>
    <s v="OK"/>
    <s v="OK"/>
    <s v="OK"/>
    <s v="OK"/>
    <x v="0"/>
    <n v="0.2"/>
    <n v="0.2"/>
    <n v="0.8"/>
  </r>
  <r>
    <n v="33"/>
    <s v="Yes"/>
    <s v="Travel_Rarely"/>
    <n v="211"/>
    <x v="0"/>
    <n v="16"/>
    <n v="3"/>
    <s v="Life Sciences"/>
    <n v="1"/>
    <n v="1758"/>
    <n v="1"/>
    <s v="Female"/>
    <n v="74"/>
    <n v="3"/>
    <n v="3"/>
    <x v="0"/>
    <n v="1"/>
    <s v="Single"/>
    <n v="8564"/>
    <n v="10092"/>
    <n v="2"/>
    <s v="Y"/>
    <s v="Yes"/>
    <n v="20"/>
    <n v="4"/>
    <n v="3"/>
    <n v="80"/>
    <n v="0"/>
    <n v="11"/>
    <n v="2"/>
    <n v="2"/>
    <n v="0"/>
    <n v="0"/>
    <n v="0"/>
    <n v="0"/>
    <s v="OK"/>
    <s v="OK"/>
    <s v="OK"/>
    <s v="OK"/>
    <x v="0"/>
    <n v="0"/>
    <n v="0"/>
    <n v="0"/>
  </r>
  <r>
    <n v="38"/>
    <s v="No"/>
    <s v="Travel_Frequently"/>
    <n v="594"/>
    <x v="1"/>
    <n v="2"/>
    <n v="2"/>
    <s v="Medical"/>
    <n v="1"/>
    <n v="1760"/>
    <n v="3"/>
    <s v="Female"/>
    <n v="75"/>
    <n v="2"/>
    <n v="1"/>
    <x v="2"/>
    <n v="2"/>
    <s v="Married"/>
    <n v="2468"/>
    <n v="15963"/>
    <n v="4"/>
    <s v="Y"/>
    <s v="No"/>
    <n v="14"/>
    <n v="3"/>
    <n v="2"/>
    <n v="80"/>
    <n v="1"/>
    <n v="9"/>
    <n v="4"/>
    <n v="2"/>
    <n v="6"/>
    <n v="1"/>
    <n v="0"/>
    <n v="5"/>
    <s v="OK"/>
    <s v="OK"/>
    <s v="OK"/>
    <s v="OK"/>
    <x v="0"/>
    <n v="0.16666666666666666"/>
    <n v="0.66666666666666663"/>
    <n v="0.83333333333333337"/>
  </r>
  <r>
    <n v="31"/>
    <s v="Yes"/>
    <s v="Travel_Rarely"/>
    <n v="1079"/>
    <x v="0"/>
    <n v="16"/>
    <n v="4"/>
    <s v="Marketing"/>
    <n v="1"/>
    <n v="1761"/>
    <n v="1"/>
    <s v="Male"/>
    <n v="70"/>
    <n v="3"/>
    <n v="3"/>
    <x v="0"/>
    <n v="3"/>
    <s v="Married"/>
    <n v="8161"/>
    <n v="19002"/>
    <n v="2"/>
    <s v="Y"/>
    <s v="No"/>
    <n v="13"/>
    <n v="3"/>
    <n v="1"/>
    <n v="80"/>
    <n v="3"/>
    <n v="10"/>
    <n v="2"/>
    <n v="3"/>
    <n v="1"/>
    <n v="0"/>
    <n v="0"/>
    <n v="0"/>
    <s v="OK"/>
    <s v="OK"/>
    <s v="OK"/>
    <s v="OK"/>
    <x v="0"/>
    <n v="0"/>
    <n v="2"/>
    <n v="0"/>
  </r>
  <r>
    <n v="29"/>
    <s v="No"/>
    <s v="Travel_Rarely"/>
    <n v="590"/>
    <x v="1"/>
    <n v="4"/>
    <n v="3"/>
    <s v="Technical Degree"/>
    <n v="1"/>
    <n v="1762"/>
    <n v="4"/>
    <s v="Female"/>
    <n v="91"/>
    <n v="2"/>
    <n v="1"/>
    <x v="1"/>
    <n v="1"/>
    <s v="Divorced"/>
    <n v="2109"/>
    <n v="10007"/>
    <n v="1"/>
    <s v="Y"/>
    <s v="No"/>
    <n v="13"/>
    <n v="3"/>
    <n v="3"/>
    <n v="80"/>
    <n v="1"/>
    <n v="1"/>
    <n v="2"/>
    <n v="3"/>
    <n v="1"/>
    <n v="0"/>
    <n v="0"/>
    <n v="0"/>
    <s v="OK"/>
    <s v="OK"/>
    <s v="OK"/>
    <s v="OK"/>
    <x v="0"/>
    <n v="0"/>
    <n v="2"/>
    <n v="0"/>
  </r>
  <r>
    <n v="30"/>
    <s v="No"/>
    <s v="Travel_Rarely"/>
    <n v="305"/>
    <x v="1"/>
    <n v="16"/>
    <n v="3"/>
    <s v="Life Sciences"/>
    <n v="1"/>
    <n v="1763"/>
    <n v="3"/>
    <s v="Male"/>
    <n v="58"/>
    <n v="4"/>
    <n v="2"/>
    <x v="4"/>
    <n v="3"/>
    <s v="Married"/>
    <n v="5294"/>
    <n v="9128"/>
    <n v="3"/>
    <s v="Y"/>
    <s v="No"/>
    <n v="16"/>
    <n v="3"/>
    <n v="3"/>
    <n v="80"/>
    <n v="1"/>
    <n v="10"/>
    <n v="3"/>
    <n v="3"/>
    <n v="7"/>
    <n v="0"/>
    <n v="1"/>
    <n v="7"/>
    <s v="OK"/>
    <s v="OK"/>
    <s v="OK"/>
    <s v="OK"/>
    <x v="20"/>
    <n v="0"/>
    <n v="0.42857142857142855"/>
    <n v="1"/>
  </r>
  <r>
    <n v="32"/>
    <s v="No"/>
    <s v="Non-Travel"/>
    <n v="953"/>
    <x v="1"/>
    <n v="5"/>
    <n v="4"/>
    <s v="Technical Degree"/>
    <n v="1"/>
    <n v="1764"/>
    <n v="2"/>
    <s v="Male"/>
    <n v="65"/>
    <n v="3"/>
    <n v="1"/>
    <x v="1"/>
    <n v="2"/>
    <s v="Single"/>
    <n v="2718"/>
    <n v="17674"/>
    <n v="2"/>
    <s v="Y"/>
    <s v="No"/>
    <n v="14"/>
    <n v="3"/>
    <n v="2"/>
    <n v="80"/>
    <n v="0"/>
    <n v="12"/>
    <n v="3"/>
    <n v="3"/>
    <n v="7"/>
    <n v="7"/>
    <n v="0"/>
    <n v="7"/>
    <s v="OK"/>
    <s v="OK"/>
    <s v="OK"/>
    <s v="OK"/>
    <x v="0"/>
    <n v="1"/>
    <n v="0.42857142857142855"/>
    <n v="1"/>
  </r>
  <r>
    <n v="38"/>
    <s v="No"/>
    <s v="Travel_Rarely"/>
    <n v="833"/>
    <x v="1"/>
    <n v="18"/>
    <n v="3"/>
    <s v="Medical"/>
    <n v="1"/>
    <n v="1766"/>
    <n v="2"/>
    <s v="Male"/>
    <n v="60"/>
    <n v="1"/>
    <n v="2"/>
    <x v="4"/>
    <n v="4"/>
    <s v="Married"/>
    <n v="5811"/>
    <n v="24539"/>
    <n v="3"/>
    <s v="Y"/>
    <s v="Yes"/>
    <n v="16"/>
    <n v="3"/>
    <n v="3"/>
    <n v="80"/>
    <n v="1"/>
    <n v="15"/>
    <n v="2"/>
    <n v="3"/>
    <n v="1"/>
    <n v="0"/>
    <n v="1"/>
    <n v="0"/>
    <s v="OK"/>
    <s v="OK"/>
    <s v="OK"/>
    <s v="OK"/>
    <x v="3"/>
    <n v="0"/>
    <n v="2"/>
    <n v="0"/>
  </r>
  <r>
    <n v="43"/>
    <s v="Yes"/>
    <s v="Travel_Frequently"/>
    <n v="807"/>
    <x v="1"/>
    <n v="17"/>
    <n v="3"/>
    <s v="Technical Degree"/>
    <n v="1"/>
    <n v="1767"/>
    <n v="3"/>
    <s v="Male"/>
    <n v="38"/>
    <n v="2"/>
    <n v="1"/>
    <x v="1"/>
    <n v="3"/>
    <s v="Married"/>
    <n v="2437"/>
    <n v="15587"/>
    <n v="9"/>
    <s v="Y"/>
    <s v="Yes"/>
    <n v="16"/>
    <n v="3"/>
    <n v="4"/>
    <n v="80"/>
    <n v="1"/>
    <n v="6"/>
    <n v="4"/>
    <n v="3"/>
    <n v="1"/>
    <n v="0"/>
    <n v="0"/>
    <n v="0"/>
    <s v="OK"/>
    <s v="OK"/>
    <s v="OK"/>
    <s v="OK"/>
    <x v="0"/>
    <n v="0"/>
    <n v="4"/>
    <n v="0"/>
  </r>
  <r>
    <n v="42"/>
    <s v="No"/>
    <s v="Travel_Rarely"/>
    <n v="855"/>
    <x v="1"/>
    <n v="12"/>
    <n v="3"/>
    <s v="Medical"/>
    <n v="1"/>
    <n v="1768"/>
    <n v="2"/>
    <s v="Male"/>
    <n v="57"/>
    <n v="3"/>
    <n v="1"/>
    <x v="2"/>
    <n v="2"/>
    <s v="Divorced"/>
    <n v="2766"/>
    <n v="8952"/>
    <n v="8"/>
    <s v="Y"/>
    <s v="No"/>
    <n v="22"/>
    <n v="4"/>
    <n v="2"/>
    <n v="80"/>
    <n v="3"/>
    <n v="7"/>
    <n v="6"/>
    <n v="2"/>
    <n v="5"/>
    <n v="3"/>
    <n v="0"/>
    <n v="4"/>
    <s v="OK"/>
    <s v="OK"/>
    <s v="OK"/>
    <s v="OK"/>
    <x v="0"/>
    <n v="0.6"/>
    <n v="1.2"/>
    <n v="0.8"/>
  </r>
  <r>
    <n v="55"/>
    <s v="No"/>
    <s v="Travel_Rarely"/>
    <n v="478"/>
    <x v="1"/>
    <n v="2"/>
    <n v="3"/>
    <s v="Medical"/>
    <n v="1"/>
    <n v="1770"/>
    <n v="3"/>
    <s v="Male"/>
    <n v="60"/>
    <n v="2"/>
    <n v="5"/>
    <x v="7"/>
    <n v="1"/>
    <s v="Married"/>
    <n v="19038"/>
    <n v="19805"/>
    <n v="8"/>
    <s v="Y"/>
    <s v="No"/>
    <n v="12"/>
    <n v="3"/>
    <n v="2"/>
    <n v="80"/>
    <n v="3"/>
    <n v="34"/>
    <n v="2"/>
    <n v="3"/>
    <n v="1"/>
    <n v="0"/>
    <n v="0"/>
    <n v="0"/>
    <s v="OK"/>
    <s v="OK"/>
    <s v="OK"/>
    <s v="OK"/>
    <x v="0"/>
    <n v="0"/>
    <n v="2"/>
    <n v="0"/>
  </r>
  <r>
    <n v="33"/>
    <s v="No"/>
    <s v="Non-Travel"/>
    <n v="775"/>
    <x v="1"/>
    <n v="4"/>
    <n v="3"/>
    <s v="Technical Degree"/>
    <n v="1"/>
    <n v="1771"/>
    <n v="4"/>
    <s v="Male"/>
    <n v="90"/>
    <n v="3"/>
    <n v="2"/>
    <x v="1"/>
    <n v="2"/>
    <s v="Divorced"/>
    <n v="3055"/>
    <n v="6194"/>
    <n v="5"/>
    <s v="Y"/>
    <s v="No"/>
    <n v="15"/>
    <n v="3"/>
    <n v="4"/>
    <n v="80"/>
    <n v="2"/>
    <n v="11"/>
    <n v="2"/>
    <n v="2"/>
    <n v="9"/>
    <n v="8"/>
    <n v="1"/>
    <n v="7"/>
    <s v="OK"/>
    <s v="OK"/>
    <s v="OK"/>
    <s v="OK"/>
    <x v="5"/>
    <n v="0.88888888888888884"/>
    <n v="0.22222222222222221"/>
    <n v="0.77777777777777779"/>
  </r>
  <r>
    <n v="41"/>
    <s v="No"/>
    <s v="Travel_Rarely"/>
    <n v="548"/>
    <x v="1"/>
    <n v="9"/>
    <n v="4"/>
    <s v="Life Sciences"/>
    <n v="1"/>
    <n v="1772"/>
    <n v="3"/>
    <s v="Male"/>
    <n v="94"/>
    <n v="3"/>
    <n v="1"/>
    <x v="2"/>
    <n v="1"/>
    <s v="Divorced"/>
    <n v="2289"/>
    <n v="20520"/>
    <n v="1"/>
    <s v="Y"/>
    <s v="No"/>
    <n v="20"/>
    <n v="4"/>
    <n v="2"/>
    <n v="80"/>
    <n v="2"/>
    <n v="5"/>
    <n v="2"/>
    <n v="3"/>
    <n v="5"/>
    <n v="3"/>
    <n v="0"/>
    <n v="4"/>
    <s v="OK"/>
    <s v="OK"/>
    <s v="OK"/>
    <s v="OK"/>
    <x v="0"/>
    <n v="0.6"/>
    <n v="0.4"/>
    <n v="0.8"/>
  </r>
  <r>
    <n v="34"/>
    <s v="No"/>
    <s v="Non-Travel"/>
    <n v="1375"/>
    <x v="0"/>
    <n v="10"/>
    <n v="3"/>
    <s v="Life Sciences"/>
    <n v="1"/>
    <n v="1774"/>
    <n v="4"/>
    <s v="Male"/>
    <n v="87"/>
    <n v="3"/>
    <n v="2"/>
    <x v="0"/>
    <n v="3"/>
    <s v="Divorced"/>
    <n v="4001"/>
    <n v="12313"/>
    <n v="1"/>
    <s v="Y"/>
    <s v="Yes"/>
    <n v="14"/>
    <n v="3"/>
    <n v="3"/>
    <n v="80"/>
    <n v="1"/>
    <n v="15"/>
    <n v="3"/>
    <n v="3"/>
    <n v="15"/>
    <n v="14"/>
    <n v="0"/>
    <n v="7"/>
    <s v="OK"/>
    <s v="OK"/>
    <s v="OK"/>
    <s v="OK"/>
    <x v="0"/>
    <n v="0.93333333333333335"/>
    <n v="0.2"/>
    <n v="0.46666666666666667"/>
  </r>
  <r>
    <n v="53"/>
    <s v="No"/>
    <s v="Non-Travel"/>
    <n v="661"/>
    <x v="1"/>
    <n v="1"/>
    <n v="4"/>
    <s v="Medical"/>
    <n v="1"/>
    <n v="1775"/>
    <n v="1"/>
    <s v="Female"/>
    <n v="60"/>
    <n v="2"/>
    <n v="4"/>
    <x v="3"/>
    <n v="3"/>
    <s v="Married"/>
    <n v="12965"/>
    <n v="22308"/>
    <n v="4"/>
    <s v="Y"/>
    <s v="Yes"/>
    <n v="20"/>
    <n v="4"/>
    <n v="4"/>
    <n v="80"/>
    <n v="3"/>
    <n v="27"/>
    <n v="2"/>
    <n v="2"/>
    <n v="3"/>
    <n v="2"/>
    <n v="0"/>
    <n v="2"/>
    <s v="OK"/>
    <s v="OK"/>
    <s v="OK"/>
    <s v="OK"/>
    <x v="0"/>
    <n v="0.66666666666666663"/>
    <n v="0.66666666666666663"/>
    <n v="0.66666666666666663"/>
  </r>
  <r>
    <n v="43"/>
    <s v="No"/>
    <s v="Travel_Rarely"/>
    <n v="244"/>
    <x v="2"/>
    <n v="2"/>
    <n v="3"/>
    <s v="Life Sciences"/>
    <n v="1"/>
    <n v="1778"/>
    <n v="2"/>
    <s v="Male"/>
    <n v="97"/>
    <n v="3"/>
    <n v="1"/>
    <x v="8"/>
    <n v="4"/>
    <s v="Single"/>
    <n v="3539"/>
    <n v="5033"/>
    <n v="0"/>
    <s v="Y"/>
    <s v="No"/>
    <n v="13"/>
    <n v="3"/>
    <n v="2"/>
    <n v="80"/>
    <n v="0"/>
    <n v="10"/>
    <n v="5"/>
    <n v="3"/>
    <n v="9"/>
    <n v="7"/>
    <n v="1"/>
    <n v="8"/>
    <s v="OK"/>
    <s v="OK"/>
    <s v="OK"/>
    <s v="OK"/>
    <x v="5"/>
    <n v="0.77777777777777779"/>
    <n v="0.55555555555555558"/>
    <n v="0.88888888888888884"/>
  </r>
  <r>
    <n v="34"/>
    <s v="No"/>
    <s v="Travel_Rarely"/>
    <n v="511"/>
    <x v="0"/>
    <n v="3"/>
    <n v="2"/>
    <s v="Life Sciences"/>
    <n v="1"/>
    <n v="1779"/>
    <n v="4"/>
    <s v="Female"/>
    <n v="32"/>
    <n v="1"/>
    <n v="2"/>
    <x v="0"/>
    <n v="4"/>
    <s v="Single"/>
    <n v="6029"/>
    <n v="25353"/>
    <n v="5"/>
    <s v="Y"/>
    <s v="No"/>
    <n v="12"/>
    <n v="3"/>
    <n v="1"/>
    <n v="80"/>
    <n v="0"/>
    <n v="6"/>
    <n v="3"/>
    <n v="3"/>
    <n v="2"/>
    <n v="2"/>
    <n v="2"/>
    <n v="2"/>
    <s v="OK"/>
    <s v="OK"/>
    <s v="OK"/>
    <s v="OK"/>
    <x v="3"/>
    <n v="1"/>
    <n v="1.5"/>
    <n v="1"/>
  </r>
  <r>
    <n v="21"/>
    <s v="Yes"/>
    <s v="Travel_Rarely"/>
    <n v="337"/>
    <x v="0"/>
    <n v="7"/>
    <n v="1"/>
    <s v="Marketing"/>
    <n v="1"/>
    <n v="1780"/>
    <n v="2"/>
    <s v="Male"/>
    <n v="31"/>
    <n v="3"/>
    <n v="1"/>
    <x v="6"/>
    <n v="2"/>
    <s v="Single"/>
    <n v="2679"/>
    <n v="4567"/>
    <n v="1"/>
    <s v="Y"/>
    <s v="No"/>
    <n v="13"/>
    <n v="3"/>
    <n v="2"/>
    <n v="80"/>
    <n v="0"/>
    <n v="1"/>
    <n v="3"/>
    <n v="3"/>
    <n v="1"/>
    <n v="0"/>
    <n v="1"/>
    <n v="0"/>
    <s v="OK"/>
    <s v="OK"/>
    <s v="OK"/>
    <s v="OK"/>
    <x v="3"/>
    <n v="0"/>
    <n v="3"/>
    <n v="0"/>
  </r>
  <r>
    <n v="38"/>
    <s v="No"/>
    <s v="Travel_Rarely"/>
    <n v="1153"/>
    <x v="1"/>
    <n v="6"/>
    <n v="2"/>
    <s v="Other"/>
    <n v="1"/>
    <n v="1782"/>
    <n v="4"/>
    <s v="Female"/>
    <n v="40"/>
    <n v="2"/>
    <n v="1"/>
    <x v="2"/>
    <n v="3"/>
    <s v="Married"/>
    <n v="3702"/>
    <n v="16376"/>
    <n v="1"/>
    <s v="Y"/>
    <s v="No"/>
    <n v="11"/>
    <n v="3"/>
    <n v="2"/>
    <n v="80"/>
    <n v="1"/>
    <n v="5"/>
    <n v="3"/>
    <n v="3"/>
    <n v="5"/>
    <n v="4"/>
    <n v="0"/>
    <n v="4"/>
    <s v="OK"/>
    <s v="OK"/>
    <s v="OK"/>
    <s v="OK"/>
    <x v="0"/>
    <n v="0.8"/>
    <n v="0.6"/>
    <n v="0.8"/>
  </r>
  <r>
    <n v="22"/>
    <s v="Yes"/>
    <s v="Travel_Rarely"/>
    <n v="1294"/>
    <x v="1"/>
    <n v="8"/>
    <n v="1"/>
    <s v="Medical"/>
    <n v="1"/>
    <n v="1783"/>
    <n v="3"/>
    <s v="Female"/>
    <n v="79"/>
    <n v="3"/>
    <n v="1"/>
    <x v="2"/>
    <n v="1"/>
    <s v="Married"/>
    <n v="2398"/>
    <n v="15999"/>
    <n v="1"/>
    <s v="Y"/>
    <s v="Yes"/>
    <n v="17"/>
    <n v="3"/>
    <n v="3"/>
    <n v="80"/>
    <n v="0"/>
    <n v="1"/>
    <n v="6"/>
    <n v="3"/>
    <n v="1"/>
    <n v="0"/>
    <n v="0"/>
    <n v="0"/>
    <s v="OK"/>
    <s v="OK"/>
    <s v="OK"/>
    <s v="OK"/>
    <x v="0"/>
    <n v="0"/>
    <n v="6"/>
    <n v="0"/>
  </r>
  <r>
    <n v="31"/>
    <s v="No"/>
    <s v="Travel_Rarely"/>
    <n v="196"/>
    <x v="0"/>
    <n v="29"/>
    <n v="4"/>
    <s v="Marketing"/>
    <n v="1"/>
    <n v="1784"/>
    <n v="1"/>
    <s v="Female"/>
    <n v="91"/>
    <n v="2"/>
    <n v="2"/>
    <x v="0"/>
    <n v="4"/>
    <s v="Married"/>
    <n v="5468"/>
    <n v="13402"/>
    <n v="1"/>
    <s v="Y"/>
    <s v="No"/>
    <n v="14"/>
    <n v="3"/>
    <n v="1"/>
    <n v="80"/>
    <n v="2"/>
    <n v="13"/>
    <n v="3"/>
    <n v="3"/>
    <n v="12"/>
    <n v="7"/>
    <n v="5"/>
    <n v="7"/>
    <s v="OK"/>
    <s v="OK"/>
    <s v="OK"/>
    <s v="OK"/>
    <x v="101"/>
    <n v="0.58333333333333337"/>
    <n v="0.25"/>
    <n v="0.58333333333333337"/>
  </r>
  <r>
    <n v="51"/>
    <s v="No"/>
    <s v="Travel_Rarely"/>
    <n v="942"/>
    <x v="1"/>
    <n v="3"/>
    <n v="3"/>
    <s v="Technical Degree"/>
    <n v="1"/>
    <n v="1786"/>
    <n v="1"/>
    <s v="Female"/>
    <n v="53"/>
    <n v="3"/>
    <n v="3"/>
    <x v="5"/>
    <n v="3"/>
    <s v="Married"/>
    <n v="13116"/>
    <n v="22984"/>
    <n v="2"/>
    <s v="Y"/>
    <s v="No"/>
    <n v="11"/>
    <n v="3"/>
    <n v="4"/>
    <n v="80"/>
    <n v="0"/>
    <n v="15"/>
    <n v="2"/>
    <n v="3"/>
    <n v="2"/>
    <n v="2"/>
    <n v="2"/>
    <n v="2"/>
    <s v="OK"/>
    <s v="OK"/>
    <s v="OK"/>
    <s v="OK"/>
    <x v="3"/>
    <n v="1"/>
    <n v="1"/>
    <n v="1"/>
  </r>
  <r>
    <n v="37"/>
    <s v="No"/>
    <s v="Travel_Rarely"/>
    <n v="589"/>
    <x v="0"/>
    <n v="9"/>
    <n v="2"/>
    <s v="Marketing"/>
    <n v="1"/>
    <n v="1787"/>
    <n v="2"/>
    <s v="Male"/>
    <n v="46"/>
    <n v="2"/>
    <n v="2"/>
    <x v="0"/>
    <n v="2"/>
    <s v="Married"/>
    <n v="4189"/>
    <n v="8800"/>
    <n v="1"/>
    <s v="Y"/>
    <s v="No"/>
    <n v="14"/>
    <n v="3"/>
    <n v="1"/>
    <n v="80"/>
    <n v="2"/>
    <n v="5"/>
    <n v="2"/>
    <n v="3"/>
    <n v="5"/>
    <n v="2"/>
    <n v="0"/>
    <n v="3"/>
    <s v="OK"/>
    <s v="OK"/>
    <s v="OK"/>
    <s v="OK"/>
    <x v="0"/>
    <n v="0.4"/>
    <n v="0.4"/>
    <n v="0.6"/>
  </r>
  <r>
    <n v="46"/>
    <s v="No"/>
    <s v="Travel_Rarely"/>
    <n v="734"/>
    <x v="1"/>
    <n v="2"/>
    <n v="4"/>
    <s v="Medical"/>
    <n v="1"/>
    <n v="1789"/>
    <n v="3"/>
    <s v="Male"/>
    <n v="46"/>
    <n v="3"/>
    <n v="5"/>
    <x v="7"/>
    <n v="4"/>
    <s v="Divorced"/>
    <n v="19328"/>
    <n v="14218"/>
    <n v="7"/>
    <s v="Y"/>
    <s v="Yes"/>
    <n v="17"/>
    <n v="3"/>
    <n v="3"/>
    <n v="80"/>
    <n v="1"/>
    <n v="24"/>
    <n v="3"/>
    <n v="3"/>
    <n v="2"/>
    <n v="1"/>
    <n v="2"/>
    <n v="2"/>
    <s v="OK"/>
    <s v="OK"/>
    <s v="OK"/>
    <s v="OK"/>
    <x v="3"/>
    <n v="0.5"/>
    <n v="1.5"/>
    <n v="1"/>
  </r>
  <r>
    <n v="36"/>
    <s v="No"/>
    <s v="Travel_Rarely"/>
    <n v="1383"/>
    <x v="1"/>
    <n v="10"/>
    <n v="3"/>
    <s v="Life Sciences"/>
    <n v="1"/>
    <n v="1790"/>
    <n v="4"/>
    <s v="Male"/>
    <n v="90"/>
    <n v="3"/>
    <n v="3"/>
    <x v="4"/>
    <n v="1"/>
    <s v="Married"/>
    <n v="8321"/>
    <n v="25949"/>
    <n v="7"/>
    <s v="Y"/>
    <s v="Yes"/>
    <n v="13"/>
    <n v="3"/>
    <n v="4"/>
    <n v="80"/>
    <n v="1"/>
    <n v="15"/>
    <n v="1"/>
    <n v="3"/>
    <n v="12"/>
    <n v="8"/>
    <n v="5"/>
    <n v="7"/>
    <s v="OK"/>
    <s v="OK"/>
    <s v="OK"/>
    <s v="OK"/>
    <x v="101"/>
    <n v="0.66666666666666663"/>
    <n v="8.3333333333333329E-2"/>
    <n v="0.58333333333333337"/>
  </r>
  <r>
    <n v="44"/>
    <s v="Yes"/>
    <s v="Travel_Frequently"/>
    <n v="429"/>
    <x v="1"/>
    <n v="1"/>
    <n v="2"/>
    <s v="Medical"/>
    <n v="1"/>
    <n v="1792"/>
    <n v="3"/>
    <s v="Male"/>
    <n v="99"/>
    <n v="3"/>
    <n v="1"/>
    <x v="1"/>
    <n v="2"/>
    <s v="Divorced"/>
    <n v="2342"/>
    <n v="11092"/>
    <n v="1"/>
    <s v="Y"/>
    <s v="Yes"/>
    <n v="12"/>
    <n v="3"/>
    <n v="3"/>
    <n v="80"/>
    <n v="3"/>
    <n v="6"/>
    <n v="2"/>
    <n v="2"/>
    <n v="5"/>
    <n v="3"/>
    <n v="2"/>
    <n v="3"/>
    <s v="OK"/>
    <s v="OK"/>
    <s v="OK"/>
    <s v="OK"/>
    <x v="46"/>
    <n v="0.6"/>
    <n v="0.4"/>
    <n v="0.6"/>
  </r>
  <r>
    <n v="37"/>
    <s v="No"/>
    <s v="Travel_Rarely"/>
    <n v="1239"/>
    <x v="2"/>
    <n v="8"/>
    <n v="2"/>
    <s v="Other"/>
    <n v="1"/>
    <n v="1794"/>
    <n v="3"/>
    <s v="Male"/>
    <n v="89"/>
    <n v="3"/>
    <n v="2"/>
    <x v="8"/>
    <n v="2"/>
    <s v="Divorced"/>
    <n v="4071"/>
    <n v="12832"/>
    <n v="2"/>
    <s v="Y"/>
    <s v="No"/>
    <n v="13"/>
    <n v="3"/>
    <n v="3"/>
    <n v="80"/>
    <n v="0"/>
    <n v="19"/>
    <n v="4"/>
    <n v="2"/>
    <n v="10"/>
    <n v="0"/>
    <n v="4"/>
    <n v="7"/>
    <s v="OK"/>
    <s v="OK"/>
    <s v="OK"/>
    <s v="OK"/>
    <x v="46"/>
    <n v="0"/>
    <n v="0.4"/>
    <n v="0.7"/>
  </r>
  <r>
    <n v="35"/>
    <s v="Yes"/>
    <s v="Travel_Rarely"/>
    <n v="303"/>
    <x v="0"/>
    <n v="27"/>
    <n v="3"/>
    <s v="Life Sciences"/>
    <n v="1"/>
    <n v="1797"/>
    <n v="3"/>
    <s v="Male"/>
    <n v="84"/>
    <n v="3"/>
    <n v="2"/>
    <x v="0"/>
    <n v="4"/>
    <s v="Single"/>
    <n v="5813"/>
    <n v="13492"/>
    <n v="1"/>
    <s v="Y"/>
    <s v="Yes"/>
    <n v="18"/>
    <n v="3"/>
    <n v="4"/>
    <n v="80"/>
    <n v="0"/>
    <n v="10"/>
    <n v="2"/>
    <n v="3"/>
    <n v="10"/>
    <n v="7"/>
    <n v="7"/>
    <n v="7"/>
    <s v="OK"/>
    <s v="OK"/>
    <s v="OK"/>
    <s v="OK"/>
    <x v="42"/>
    <n v="0.7"/>
    <n v="0.2"/>
    <n v="0.7"/>
  </r>
  <r>
    <n v="33"/>
    <s v="No"/>
    <s v="Travel_Rarely"/>
    <n v="867"/>
    <x v="1"/>
    <n v="8"/>
    <n v="4"/>
    <s v="Life Sciences"/>
    <n v="1"/>
    <n v="1798"/>
    <n v="4"/>
    <s v="Male"/>
    <n v="90"/>
    <n v="4"/>
    <n v="1"/>
    <x v="1"/>
    <n v="1"/>
    <s v="Married"/>
    <n v="3143"/>
    <n v="6076"/>
    <n v="6"/>
    <s v="Y"/>
    <s v="No"/>
    <n v="19"/>
    <n v="3"/>
    <n v="2"/>
    <n v="80"/>
    <n v="1"/>
    <n v="14"/>
    <n v="1"/>
    <n v="3"/>
    <n v="10"/>
    <n v="8"/>
    <n v="7"/>
    <n v="6"/>
    <s v="OK"/>
    <s v="OK"/>
    <s v="OK"/>
    <s v="OK"/>
    <x v="42"/>
    <n v="0.8"/>
    <n v="0.1"/>
    <n v="0.6"/>
  </r>
  <r>
    <n v="28"/>
    <s v="No"/>
    <s v="Travel_Rarely"/>
    <n v="1181"/>
    <x v="1"/>
    <n v="1"/>
    <n v="3"/>
    <s v="Life Sciences"/>
    <n v="1"/>
    <n v="1799"/>
    <n v="3"/>
    <s v="Male"/>
    <n v="82"/>
    <n v="3"/>
    <n v="1"/>
    <x v="1"/>
    <n v="4"/>
    <s v="Married"/>
    <n v="2044"/>
    <n v="5531"/>
    <n v="1"/>
    <s v="Y"/>
    <s v="No"/>
    <n v="11"/>
    <n v="3"/>
    <n v="3"/>
    <n v="80"/>
    <n v="1"/>
    <n v="5"/>
    <n v="6"/>
    <n v="4"/>
    <n v="5"/>
    <n v="3"/>
    <n v="0"/>
    <n v="3"/>
    <s v="OK"/>
    <s v="OK"/>
    <s v="OK"/>
    <s v="OK"/>
    <x v="0"/>
    <n v="0.6"/>
    <n v="1.2"/>
    <n v="0.6"/>
  </r>
  <r>
    <n v="39"/>
    <s v="No"/>
    <s v="Travel_Rarely"/>
    <n v="1253"/>
    <x v="1"/>
    <n v="10"/>
    <n v="1"/>
    <s v="Medical"/>
    <n v="1"/>
    <n v="1800"/>
    <n v="3"/>
    <s v="Male"/>
    <n v="65"/>
    <n v="3"/>
    <n v="3"/>
    <x v="7"/>
    <n v="3"/>
    <s v="Single"/>
    <n v="13464"/>
    <n v="7914"/>
    <n v="7"/>
    <s v="Y"/>
    <s v="No"/>
    <n v="21"/>
    <n v="4"/>
    <n v="3"/>
    <n v="80"/>
    <n v="0"/>
    <n v="9"/>
    <n v="3"/>
    <n v="3"/>
    <n v="4"/>
    <n v="3"/>
    <n v="2"/>
    <n v="2"/>
    <s v="OK"/>
    <s v="OK"/>
    <s v="OK"/>
    <s v="OK"/>
    <x v="7"/>
    <n v="0.75"/>
    <n v="0.75"/>
    <n v="0.5"/>
  </r>
  <r>
    <n v="46"/>
    <s v="No"/>
    <s v="Non-Travel"/>
    <n v="849"/>
    <x v="0"/>
    <n v="26"/>
    <n v="2"/>
    <s v="Life Sciences"/>
    <n v="1"/>
    <n v="1801"/>
    <n v="2"/>
    <s v="Male"/>
    <n v="98"/>
    <n v="2"/>
    <n v="2"/>
    <x v="0"/>
    <n v="2"/>
    <s v="Single"/>
    <n v="7991"/>
    <n v="25166"/>
    <n v="8"/>
    <s v="Y"/>
    <s v="No"/>
    <n v="15"/>
    <n v="3"/>
    <n v="3"/>
    <n v="80"/>
    <n v="0"/>
    <n v="6"/>
    <n v="3"/>
    <n v="3"/>
    <n v="2"/>
    <n v="2"/>
    <n v="2"/>
    <n v="2"/>
    <s v="OK"/>
    <s v="OK"/>
    <s v="OK"/>
    <s v="OK"/>
    <x v="3"/>
    <n v="1"/>
    <n v="1.5"/>
    <n v="1"/>
  </r>
  <r>
    <n v="40"/>
    <s v="No"/>
    <s v="Travel_Rarely"/>
    <n v="616"/>
    <x v="1"/>
    <n v="2"/>
    <n v="2"/>
    <s v="Life Sciences"/>
    <n v="1"/>
    <n v="1802"/>
    <n v="3"/>
    <s v="Female"/>
    <n v="99"/>
    <n v="3"/>
    <n v="1"/>
    <x v="2"/>
    <n v="1"/>
    <s v="Married"/>
    <n v="3377"/>
    <n v="25605"/>
    <n v="4"/>
    <s v="Y"/>
    <s v="No"/>
    <n v="17"/>
    <n v="3"/>
    <n v="4"/>
    <n v="80"/>
    <n v="1"/>
    <n v="7"/>
    <n v="5"/>
    <n v="2"/>
    <n v="4"/>
    <n v="3"/>
    <n v="0"/>
    <n v="2"/>
    <s v="OK"/>
    <s v="OK"/>
    <s v="OK"/>
    <s v="OK"/>
    <x v="0"/>
    <n v="0.75"/>
    <n v="1.25"/>
    <n v="0.5"/>
  </r>
  <r>
    <n v="42"/>
    <s v="No"/>
    <s v="Travel_Rarely"/>
    <n v="1128"/>
    <x v="1"/>
    <n v="13"/>
    <n v="3"/>
    <s v="Medical"/>
    <n v="1"/>
    <n v="1803"/>
    <n v="2"/>
    <s v="Male"/>
    <n v="95"/>
    <n v="4"/>
    <n v="2"/>
    <x v="4"/>
    <n v="1"/>
    <s v="Married"/>
    <n v="5538"/>
    <n v="5696"/>
    <n v="5"/>
    <s v="Y"/>
    <s v="No"/>
    <n v="18"/>
    <n v="3"/>
    <n v="3"/>
    <n v="80"/>
    <n v="2"/>
    <n v="10"/>
    <n v="2"/>
    <n v="2"/>
    <n v="0"/>
    <n v="0"/>
    <n v="0"/>
    <n v="0"/>
    <s v="OK"/>
    <s v="OK"/>
    <s v="OK"/>
    <s v="OK"/>
    <x v="0"/>
    <n v="0"/>
    <n v="0"/>
    <n v="0"/>
  </r>
  <r>
    <n v="35"/>
    <s v="No"/>
    <s v="Non-Travel"/>
    <n v="1180"/>
    <x v="1"/>
    <n v="2"/>
    <n v="2"/>
    <s v="Medical"/>
    <n v="1"/>
    <n v="1804"/>
    <n v="2"/>
    <s v="Male"/>
    <n v="90"/>
    <n v="3"/>
    <n v="2"/>
    <x v="3"/>
    <n v="4"/>
    <s v="Divorced"/>
    <n v="5762"/>
    <n v="24442"/>
    <n v="2"/>
    <s v="Y"/>
    <s v="No"/>
    <n v="14"/>
    <n v="3"/>
    <n v="3"/>
    <n v="80"/>
    <n v="1"/>
    <n v="15"/>
    <n v="6"/>
    <n v="3"/>
    <n v="7"/>
    <n v="7"/>
    <n v="1"/>
    <n v="7"/>
    <s v="OK"/>
    <s v="OK"/>
    <s v="OK"/>
    <s v="OK"/>
    <x v="20"/>
    <n v="1"/>
    <n v="0.8571428571428571"/>
    <n v="1"/>
  </r>
  <r>
    <n v="38"/>
    <s v="No"/>
    <s v="Non-Travel"/>
    <n v="1336"/>
    <x v="2"/>
    <n v="2"/>
    <n v="3"/>
    <s v="Human Resources"/>
    <n v="1"/>
    <n v="1805"/>
    <n v="1"/>
    <s v="Male"/>
    <n v="100"/>
    <n v="3"/>
    <n v="1"/>
    <x v="8"/>
    <n v="2"/>
    <s v="Divorced"/>
    <n v="2592"/>
    <n v="7129"/>
    <n v="5"/>
    <s v="Y"/>
    <s v="No"/>
    <n v="13"/>
    <n v="3"/>
    <n v="4"/>
    <n v="80"/>
    <n v="3"/>
    <n v="13"/>
    <n v="3"/>
    <n v="3"/>
    <n v="11"/>
    <n v="10"/>
    <n v="3"/>
    <n v="8"/>
    <s v="OK"/>
    <s v="OK"/>
    <s v="OK"/>
    <s v="OK"/>
    <x v="81"/>
    <n v="0.90909090909090906"/>
    <n v="0.27272727272727271"/>
    <n v="0.72727272727272729"/>
  </r>
  <r>
    <n v="34"/>
    <s v="Yes"/>
    <s v="Travel_Frequently"/>
    <n v="234"/>
    <x v="1"/>
    <n v="9"/>
    <n v="4"/>
    <s v="Life Sciences"/>
    <n v="1"/>
    <n v="1807"/>
    <n v="4"/>
    <s v="Male"/>
    <n v="93"/>
    <n v="3"/>
    <n v="2"/>
    <x v="2"/>
    <n v="1"/>
    <s v="Married"/>
    <n v="5346"/>
    <n v="6208"/>
    <n v="4"/>
    <s v="Y"/>
    <s v="No"/>
    <n v="17"/>
    <n v="3"/>
    <n v="3"/>
    <n v="80"/>
    <n v="1"/>
    <n v="11"/>
    <n v="3"/>
    <n v="2"/>
    <n v="7"/>
    <n v="1"/>
    <n v="0"/>
    <n v="7"/>
    <s v="OK"/>
    <s v="OK"/>
    <s v="OK"/>
    <s v="OK"/>
    <x v="0"/>
    <n v="0.14285714285714285"/>
    <n v="0.42857142857142855"/>
    <n v="1"/>
  </r>
  <r>
    <n v="37"/>
    <s v="Yes"/>
    <s v="Travel_Rarely"/>
    <n v="370"/>
    <x v="1"/>
    <n v="10"/>
    <n v="4"/>
    <s v="Medical"/>
    <n v="1"/>
    <n v="1809"/>
    <n v="4"/>
    <s v="Male"/>
    <n v="58"/>
    <n v="3"/>
    <n v="2"/>
    <x v="3"/>
    <n v="1"/>
    <s v="Single"/>
    <n v="4213"/>
    <n v="4992"/>
    <n v="1"/>
    <s v="Y"/>
    <s v="No"/>
    <n v="15"/>
    <n v="3"/>
    <n v="2"/>
    <n v="80"/>
    <n v="0"/>
    <n v="10"/>
    <n v="4"/>
    <n v="1"/>
    <n v="10"/>
    <n v="3"/>
    <n v="0"/>
    <n v="8"/>
    <s v="OK"/>
    <s v="OK"/>
    <s v="OK"/>
    <s v="OK"/>
    <x v="0"/>
    <n v="0.3"/>
    <n v="0.4"/>
    <n v="0.8"/>
  </r>
  <r>
    <n v="39"/>
    <s v="No"/>
    <s v="Travel_Frequently"/>
    <n v="766"/>
    <x v="0"/>
    <n v="20"/>
    <n v="3"/>
    <s v="Life Sciences"/>
    <n v="1"/>
    <n v="1812"/>
    <n v="3"/>
    <s v="Male"/>
    <n v="83"/>
    <n v="3"/>
    <n v="2"/>
    <x v="0"/>
    <n v="4"/>
    <s v="Divorced"/>
    <n v="4127"/>
    <n v="19188"/>
    <n v="2"/>
    <s v="Y"/>
    <s v="No"/>
    <n v="18"/>
    <n v="3"/>
    <n v="4"/>
    <n v="80"/>
    <n v="1"/>
    <n v="7"/>
    <n v="6"/>
    <n v="3"/>
    <n v="2"/>
    <n v="1"/>
    <n v="2"/>
    <n v="2"/>
    <s v="OK"/>
    <s v="OK"/>
    <s v="OK"/>
    <s v="OK"/>
    <x v="3"/>
    <n v="0.5"/>
    <n v="3"/>
    <n v="1"/>
  </r>
  <r>
    <n v="43"/>
    <s v="No"/>
    <s v="Non-Travel"/>
    <n v="343"/>
    <x v="1"/>
    <n v="9"/>
    <n v="3"/>
    <s v="Life Sciences"/>
    <n v="1"/>
    <n v="1813"/>
    <n v="1"/>
    <s v="Male"/>
    <n v="52"/>
    <n v="3"/>
    <n v="1"/>
    <x v="1"/>
    <n v="3"/>
    <s v="Single"/>
    <n v="2438"/>
    <n v="24978"/>
    <n v="4"/>
    <s v="Y"/>
    <s v="No"/>
    <n v="13"/>
    <n v="3"/>
    <n v="3"/>
    <n v="80"/>
    <n v="0"/>
    <n v="7"/>
    <n v="2"/>
    <n v="2"/>
    <n v="3"/>
    <n v="2"/>
    <n v="1"/>
    <n v="2"/>
    <s v="OK"/>
    <s v="OK"/>
    <s v="OK"/>
    <s v="OK"/>
    <x v="9"/>
    <n v="0.66666666666666663"/>
    <n v="0.66666666666666663"/>
    <n v="0.66666666666666663"/>
  </r>
  <r>
    <n v="41"/>
    <s v="No"/>
    <s v="Travel_Rarely"/>
    <n v="447"/>
    <x v="1"/>
    <n v="5"/>
    <n v="3"/>
    <s v="Life Sciences"/>
    <n v="1"/>
    <n v="1814"/>
    <n v="2"/>
    <s v="Male"/>
    <n v="85"/>
    <n v="4"/>
    <n v="2"/>
    <x v="4"/>
    <n v="2"/>
    <s v="Single"/>
    <n v="6870"/>
    <n v="15530"/>
    <n v="3"/>
    <s v="Y"/>
    <s v="No"/>
    <n v="12"/>
    <n v="3"/>
    <n v="1"/>
    <n v="80"/>
    <n v="0"/>
    <n v="11"/>
    <n v="3"/>
    <n v="1"/>
    <n v="3"/>
    <n v="2"/>
    <n v="1"/>
    <n v="2"/>
    <s v="OK"/>
    <s v="OK"/>
    <s v="OK"/>
    <s v="OK"/>
    <x v="9"/>
    <n v="0.66666666666666663"/>
    <n v="1"/>
    <n v="0.66666666666666663"/>
  </r>
  <r>
    <n v="41"/>
    <s v="No"/>
    <s v="Travel_Rarely"/>
    <n v="796"/>
    <x v="0"/>
    <n v="4"/>
    <n v="1"/>
    <s v="Marketing"/>
    <n v="1"/>
    <n v="1815"/>
    <n v="3"/>
    <s v="Female"/>
    <n v="81"/>
    <n v="3"/>
    <n v="3"/>
    <x v="0"/>
    <n v="3"/>
    <s v="Divorced"/>
    <n v="10447"/>
    <n v="26458"/>
    <n v="0"/>
    <s v="Y"/>
    <s v="Yes"/>
    <n v="13"/>
    <n v="3"/>
    <n v="4"/>
    <n v="80"/>
    <n v="1"/>
    <n v="23"/>
    <n v="3"/>
    <n v="4"/>
    <n v="22"/>
    <n v="14"/>
    <n v="13"/>
    <n v="5"/>
    <s v="OK"/>
    <s v="OK"/>
    <s v="OK"/>
    <s v="OK"/>
    <x v="91"/>
    <n v="0.63636363636363635"/>
    <n v="0.13636363636363635"/>
    <n v="0.22727272727272727"/>
  </r>
  <r>
    <n v="30"/>
    <s v="No"/>
    <s v="Travel_Rarely"/>
    <n v="1092"/>
    <x v="1"/>
    <n v="10"/>
    <n v="3"/>
    <s v="Medical"/>
    <n v="1"/>
    <n v="1816"/>
    <n v="1"/>
    <s v="Female"/>
    <n v="64"/>
    <n v="3"/>
    <n v="3"/>
    <x v="3"/>
    <n v="3"/>
    <s v="Single"/>
    <n v="9667"/>
    <n v="2739"/>
    <n v="9"/>
    <s v="Y"/>
    <s v="No"/>
    <n v="14"/>
    <n v="3"/>
    <n v="2"/>
    <n v="80"/>
    <n v="0"/>
    <n v="9"/>
    <n v="3"/>
    <n v="3"/>
    <n v="7"/>
    <n v="7"/>
    <n v="0"/>
    <n v="2"/>
    <s v="OK"/>
    <s v="OK"/>
    <s v="OK"/>
    <s v="OK"/>
    <x v="0"/>
    <n v="1"/>
    <n v="0.42857142857142855"/>
    <n v="0.2857142857142857"/>
  </r>
  <r>
    <n v="26"/>
    <s v="Yes"/>
    <s v="Travel_Rarely"/>
    <n v="920"/>
    <x v="2"/>
    <n v="20"/>
    <n v="2"/>
    <s v="Medical"/>
    <n v="1"/>
    <n v="1818"/>
    <n v="4"/>
    <s v="Female"/>
    <n v="69"/>
    <n v="3"/>
    <n v="1"/>
    <x v="8"/>
    <n v="2"/>
    <s v="Married"/>
    <n v="2148"/>
    <n v="6889"/>
    <n v="0"/>
    <s v="Y"/>
    <s v="Yes"/>
    <n v="11"/>
    <n v="3"/>
    <n v="3"/>
    <n v="80"/>
    <n v="0"/>
    <n v="6"/>
    <n v="3"/>
    <n v="3"/>
    <n v="5"/>
    <n v="1"/>
    <n v="1"/>
    <n v="4"/>
    <s v="OK"/>
    <s v="OK"/>
    <s v="OK"/>
    <s v="OK"/>
    <x v="16"/>
    <n v="0.2"/>
    <n v="0.6"/>
    <n v="0.8"/>
  </r>
  <r>
    <n v="46"/>
    <s v="Yes"/>
    <s v="Travel_Rarely"/>
    <n v="261"/>
    <x v="1"/>
    <n v="21"/>
    <n v="2"/>
    <s v="Medical"/>
    <n v="1"/>
    <n v="1821"/>
    <n v="4"/>
    <s v="Female"/>
    <n v="66"/>
    <n v="3"/>
    <n v="2"/>
    <x v="4"/>
    <n v="2"/>
    <s v="Married"/>
    <n v="8926"/>
    <n v="10842"/>
    <n v="4"/>
    <s v="Y"/>
    <s v="No"/>
    <n v="22"/>
    <n v="4"/>
    <n v="4"/>
    <n v="80"/>
    <n v="1"/>
    <n v="13"/>
    <n v="2"/>
    <n v="4"/>
    <n v="9"/>
    <n v="7"/>
    <n v="3"/>
    <n v="7"/>
    <s v="OK"/>
    <s v="OK"/>
    <s v="OK"/>
    <s v="OK"/>
    <x v="9"/>
    <n v="0.77777777777777779"/>
    <n v="0.22222222222222221"/>
    <n v="0.77777777777777779"/>
  </r>
  <r>
    <n v="40"/>
    <s v="No"/>
    <s v="Travel_Rarely"/>
    <n v="1194"/>
    <x v="1"/>
    <n v="1"/>
    <n v="3"/>
    <s v="Life Sciences"/>
    <n v="1"/>
    <n v="1822"/>
    <n v="3"/>
    <s v="Female"/>
    <n v="52"/>
    <n v="3"/>
    <n v="2"/>
    <x v="4"/>
    <n v="4"/>
    <s v="Divorced"/>
    <n v="6513"/>
    <n v="9060"/>
    <n v="4"/>
    <s v="Y"/>
    <s v="No"/>
    <n v="17"/>
    <n v="3"/>
    <n v="4"/>
    <n v="80"/>
    <n v="1"/>
    <n v="12"/>
    <n v="3"/>
    <n v="3"/>
    <n v="5"/>
    <n v="3"/>
    <n v="0"/>
    <n v="3"/>
    <s v="OK"/>
    <s v="OK"/>
    <s v="OK"/>
    <s v="OK"/>
    <x v="0"/>
    <n v="0.6"/>
    <n v="0.6"/>
    <n v="0.6"/>
  </r>
  <r>
    <n v="34"/>
    <s v="No"/>
    <s v="Travel_Rarely"/>
    <n v="810"/>
    <x v="0"/>
    <n v="8"/>
    <n v="2"/>
    <s v="Technical Degree"/>
    <n v="1"/>
    <n v="1823"/>
    <n v="2"/>
    <s v="Male"/>
    <n v="92"/>
    <n v="4"/>
    <n v="2"/>
    <x v="0"/>
    <n v="3"/>
    <s v="Married"/>
    <n v="6799"/>
    <n v="22128"/>
    <n v="1"/>
    <s v="Y"/>
    <s v="No"/>
    <n v="21"/>
    <n v="4"/>
    <n v="3"/>
    <n v="80"/>
    <n v="2"/>
    <n v="10"/>
    <n v="5"/>
    <n v="3"/>
    <n v="10"/>
    <n v="8"/>
    <n v="4"/>
    <n v="8"/>
    <s v="OK"/>
    <s v="OK"/>
    <s v="OK"/>
    <s v="OK"/>
    <x v="46"/>
    <n v="0.8"/>
    <n v="0.5"/>
    <n v="0.8"/>
  </r>
  <r>
    <n v="58"/>
    <s v="No"/>
    <s v="Non-Travel"/>
    <n v="350"/>
    <x v="0"/>
    <n v="2"/>
    <n v="3"/>
    <s v="Medical"/>
    <n v="1"/>
    <n v="1824"/>
    <n v="2"/>
    <s v="Male"/>
    <n v="52"/>
    <n v="3"/>
    <n v="4"/>
    <x v="5"/>
    <n v="2"/>
    <s v="Divorced"/>
    <n v="16291"/>
    <n v="22577"/>
    <n v="4"/>
    <s v="Y"/>
    <s v="No"/>
    <n v="22"/>
    <n v="4"/>
    <n v="4"/>
    <n v="80"/>
    <n v="1"/>
    <n v="37"/>
    <n v="0"/>
    <n v="2"/>
    <n v="16"/>
    <n v="9"/>
    <n v="14"/>
    <n v="14"/>
    <s v="OK"/>
    <s v="OK"/>
    <s v="OK"/>
    <s v="OK"/>
    <x v="43"/>
    <n v="0.5625"/>
    <n v="0"/>
    <n v="0.875"/>
  </r>
  <r>
    <n v="35"/>
    <s v="No"/>
    <s v="Travel_Rarely"/>
    <n v="185"/>
    <x v="1"/>
    <n v="23"/>
    <n v="4"/>
    <s v="Medical"/>
    <n v="1"/>
    <n v="1826"/>
    <n v="2"/>
    <s v="Male"/>
    <n v="91"/>
    <n v="1"/>
    <n v="1"/>
    <x v="2"/>
    <n v="3"/>
    <s v="Married"/>
    <n v="2705"/>
    <n v="9696"/>
    <n v="0"/>
    <s v="Y"/>
    <s v="No"/>
    <n v="16"/>
    <n v="3"/>
    <n v="2"/>
    <n v="80"/>
    <n v="1"/>
    <n v="6"/>
    <n v="2"/>
    <n v="4"/>
    <n v="5"/>
    <n v="4"/>
    <n v="0"/>
    <n v="3"/>
    <s v="OK"/>
    <s v="OK"/>
    <s v="OK"/>
    <s v="OK"/>
    <x v="0"/>
    <n v="0.8"/>
    <n v="0.4"/>
    <n v="0.6"/>
  </r>
  <r>
    <n v="47"/>
    <s v="No"/>
    <s v="Travel_Rarely"/>
    <n v="1001"/>
    <x v="1"/>
    <n v="4"/>
    <n v="3"/>
    <s v="Life Sciences"/>
    <n v="1"/>
    <n v="1827"/>
    <n v="3"/>
    <s v="Female"/>
    <n v="92"/>
    <n v="2"/>
    <n v="3"/>
    <x v="3"/>
    <n v="2"/>
    <s v="Divorced"/>
    <n v="10333"/>
    <n v="19271"/>
    <n v="8"/>
    <s v="Y"/>
    <s v="Yes"/>
    <n v="12"/>
    <n v="3"/>
    <n v="3"/>
    <n v="80"/>
    <n v="1"/>
    <n v="28"/>
    <n v="4"/>
    <n v="3"/>
    <n v="22"/>
    <n v="11"/>
    <n v="14"/>
    <n v="10"/>
    <s v="OK"/>
    <s v="OK"/>
    <s v="OK"/>
    <s v="OK"/>
    <x v="107"/>
    <n v="0.5"/>
    <n v="0.18181818181818182"/>
    <n v="0.45454545454545453"/>
  </r>
  <r>
    <n v="40"/>
    <s v="No"/>
    <s v="Travel_Rarely"/>
    <n v="750"/>
    <x v="1"/>
    <n v="12"/>
    <n v="3"/>
    <s v="Life Sciences"/>
    <n v="1"/>
    <n v="1829"/>
    <n v="2"/>
    <s v="Female"/>
    <n v="47"/>
    <n v="3"/>
    <n v="2"/>
    <x v="4"/>
    <n v="1"/>
    <s v="Divorced"/>
    <n v="4448"/>
    <n v="10748"/>
    <n v="2"/>
    <s v="Y"/>
    <s v="No"/>
    <n v="12"/>
    <n v="3"/>
    <n v="2"/>
    <n v="80"/>
    <n v="1"/>
    <n v="15"/>
    <n v="3"/>
    <n v="3"/>
    <n v="7"/>
    <n v="4"/>
    <n v="7"/>
    <n v="7"/>
    <s v="OK"/>
    <s v="OK"/>
    <s v="OK"/>
    <s v="OK"/>
    <x v="3"/>
    <n v="0.5714285714285714"/>
    <n v="0.42857142857142855"/>
    <n v="1"/>
  </r>
  <r>
    <n v="54"/>
    <s v="No"/>
    <s v="Travel_Rarely"/>
    <n v="431"/>
    <x v="1"/>
    <n v="7"/>
    <n v="4"/>
    <s v="Medical"/>
    <n v="1"/>
    <n v="1830"/>
    <n v="4"/>
    <s v="Female"/>
    <n v="68"/>
    <n v="3"/>
    <n v="2"/>
    <x v="1"/>
    <n v="4"/>
    <s v="Married"/>
    <n v="6854"/>
    <n v="15696"/>
    <n v="4"/>
    <s v="Y"/>
    <s v="No"/>
    <n v="15"/>
    <n v="3"/>
    <n v="2"/>
    <n v="80"/>
    <n v="1"/>
    <n v="14"/>
    <n v="2"/>
    <n v="2"/>
    <n v="7"/>
    <n v="1"/>
    <n v="1"/>
    <n v="7"/>
    <s v="OK"/>
    <s v="OK"/>
    <s v="OK"/>
    <s v="OK"/>
    <x v="20"/>
    <n v="0.14285714285714285"/>
    <n v="0.2857142857142857"/>
    <n v="1"/>
  </r>
  <r>
    <n v="31"/>
    <s v="No"/>
    <s v="Travel_Frequently"/>
    <n v="1125"/>
    <x v="0"/>
    <n v="7"/>
    <n v="4"/>
    <s v="Marketing"/>
    <n v="1"/>
    <n v="1833"/>
    <n v="1"/>
    <s v="Female"/>
    <n v="68"/>
    <n v="3"/>
    <n v="3"/>
    <x v="0"/>
    <n v="1"/>
    <s v="Married"/>
    <n v="9637"/>
    <n v="8277"/>
    <n v="2"/>
    <s v="Y"/>
    <s v="No"/>
    <n v="14"/>
    <n v="3"/>
    <n v="4"/>
    <n v="80"/>
    <n v="2"/>
    <n v="9"/>
    <n v="3"/>
    <n v="3"/>
    <n v="3"/>
    <n v="2"/>
    <n v="2"/>
    <n v="2"/>
    <s v="OK"/>
    <s v="OK"/>
    <s v="OK"/>
    <s v="OK"/>
    <x v="34"/>
    <n v="0.66666666666666663"/>
    <n v="1"/>
    <n v="0.66666666666666663"/>
  </r>
  <r>
    <n v="28"/>
    <s v="No"/>
    <s v="Travel_Rarely"/>
    <n v="1217"/>
    <x v="1"/>
    <n v="1"/>
    <n v="3"/>
    <s v="Medical"/>
    <n v="1"/>
    <n v="1834"/>
    <n v="3"/>
    <s v="Female"/>
    <n v="67"/>
    <n v="3"/>
    <n v="1"/>
    <x v="1"/>
    <n v="1"/>
    <s v="Married"/>
    <n v="3591"/>
    <n v="12719"/>
    <n v="1"/>
    <s v="Y"/>
    <s v="No"/>
    <n v="25"/>
    <n v="4"/>
    <n v="3"/>
    <n v="80"/>
    <n v="1"/>
    <n v="3"/>
    <n v="3"/>
    <n v="3"/>
    <n v="3"/>
    <n v="2"/>
    <n v="1"/>
    <n v="2"/>
    <s v="OK"/>
    <s v="OK"/>
    <s v="OK"/>
    <s v="OK"/>
    <x v="9"/>
    <n v="0.66666666666666663"/>
    <n v="1"/>
    <n v="0.66666666666666663"/>
  </r>
  <r>
    <n v="38"/>
    <s v="No"/>
    <s v="Travel_Rarely"/>
    <n v="723"/>
    <x v="0"/>
    <n v="2"/>
    <n v="4"/>
    <s v="Marketing"/>
    <n v="1"/>
    <n v="1835"/>
    <n v="2"/>
    <s v="Female"/>
    <n v="77"/>
    <n v="1"/>
    <n v="2"/>
    <x v="6"/>
    <n v="4"/>
    <s v="Married"/>
    <n v="5405"/>
    <n v="4244"/>
    <n v="2"/>
    <s v="Y"/>
    <s v="Yes"/>
    <n v="20"/>
    <n v="4"/>
    <n v="1"/>
    <n v="80"/>
    <n v="2"/>
    <n v="20"/>
    <n v="4"/>
    <n v="2"/>
    <n v="4"/>
    <n v="2"/>
    <n v="0"/>
    <n v="3"/>
    <s v="OK"/>
    <s v="OK"/>
    <s v="OK"/>
    <s v="OK"/>
    <x v="0"/>
    <n v="0.5"/>
    <n v="1"/>
    <n v="0.75"/>
  </r>
  <r>
    <n v="26"/>
    <s v="No"/>
    <s v="Travel_Rarely"/>
    <n v="572"/>
    <x v="0"/>
    <n v="10"/>
    <n v="3"/>
    <s v="Medical"/>
    <n v="1"/>
    <n v="1836"/>
    <n v="3"/>
    <s v="Male"/>
    <n v="46"/>
    <n v="3"/>
    <n v="2"/>
    <x v="0"/>
    <n v="4"/>
    <s v="Single"/>
    <n v="4684"/>
    <n v="9125"/>
    <n v="1"/>
    <s v="Y"/>
    <s v="No"/>
    <n v="13"/>
    <n v="3"/>
    <n v="1"/>
    <n v="80"/>
    <n v="0"/>
    <n v="5"/>
    <n v="4"/>
    <n v="3"/>
    <n v="5"/>
    <n v="3"/>
    <n v="1"/>
    <n v="2"/>
    <s v="OK"/>
    <s v="OK"/>
    <s v="OK"/>
    <s v="OK"/>
    <x v="16"/>
    <n v="0.6"/>
    <n v="0.8"/>
    <n v="0.4"/>
  </r>
  <r>
    <n v="58"/>
    <s v="No"/>
    <s v="Travel_Frequently"/>
    <n v="1216"/>
    <x v="1"/>
    <n v="15"/>
    <n v="4"/>
    <s v="Life Sciences"/>
    <n v="1"/>
    <n v="1837"/>
    <n v="1"/>
    <s v="Male"/>
    <n v="87"/>
    <n v="3"/>
    <n v="4"/>
    <x v="7"/>
    <n v="3"/>
    <s v="Married"/>
    <n v="15787"/>
    <n v="21624"/>
    <n v="2"/>
    <s v="Y"/>
    <s v="Yes"/>
    <n v="14"/>
    <n v="3"/>
    <n v="2"/>
    <n v="80"/>
    <n v="0"/>
    <n v="23"/>
    <n v="3"/>
    <n v="3"/>
    <n v="2"/>
    <n v="2"/>
    <n v="2"/>
    <n v="2"/>
    <s v="OK"/>
    <s v="OK"/>
    <s v="OK"/>
    <s v="OK"/>
    <x v="3"/>
    <n v="1"/>
    <n v="1.5"/>
    <n v="1"/>
  </r>
  <r>
    <n v="18"/>
    <s v="No"/>
    <s v="Non-Travel"/>
    <n v="1431"/>
    <x v="1"/>
    <n v="14"/>
    <n v="3"/>
    <s v="Medical"/>
    <n v="1"/>
    <n v="1839"/>
    <n v="2"/>
    <s v="Female"/>
    <n v="33"/>
    <n v="3"/>
    <n v="1"/>
    <x v="1"/>
    <n v="3"/>
    <s v="Single"/>
    <n v="1514"/>
    <n v="8018"/>
    <n v="1"/>
    <s v="Y"/>
    <s v="No"/>
    <n v="16"/>
    <n v="3"/>
    <n v="3"/>
    <n v="80"/>
    <n v="0"/>
    <n v="0"/>
    <n v="4"/>
    <n v="1"/>
    <n v="0"/>
    <n v="0"/>
    <n v="0"/>
    <n v="0"/>
    <s v="OK"/>
    <s v="OK"/>
    <s v="OK"/>
    <s v="OK"/>
    <x v="0"/>
    <n v="0"/>
    <n v="0"/>
    <n v="0"/>
  </r>
  <r>
    <n v="31"/>
    <s v="Yes"/>
    <s v="Travel_Rarely"/>
    <n v="359"/>
    <x v="2"/>
    <n v="18"/>
    <n v="5"/>
    <s v="Human Resources"/>
    <n v="1"/>
    <n v="1842"/>
    <n v="4"/>
    <s v="Male"/>
    <n v="89"/>
    <n v="4"/>
    <n v="1"/>
    <x v="8"/>
    <n v="1"/>
    <s v="Married"/>
    <n v="2956"/>
    <n v="21495"/>
    <n v="0"/>
    <s v="Y"/>
    <s v="No"/>
    <n v="17"/>
    <n v="3"/>
    <n v="3"/>
    <n v="80"/>
    <n v="0"/>
    <n v="2"/>
    <n v="4"/>
    <n v="3"/>
    <n v="1"/>
    <n v="0"/>
    <n v="0"/>
    <n v="0"/>
    <s v="OK"/>
    <s v="OK"/>
    <s v="OK"/>
    <s v="OK"/>
    <x v="0"/>
    <n v="0"/>
    <n v="4"/>
    <n v="0"/>
  </r>
  <r>
    <n v="29"/>
    <s v="Yes"/>
    <s v="Travel_Rarely"/>
    <n v="350"/>
    <x v="2"/>
    <n v="13"/>
    <n v="3"/>
    <s v="Human Resources"/>
    <n v="1"/>
    <n v="1844"/>
    <n v="1"/>
    <s v="Male"/>
    <n v="56"/>
    <n v="2"/>
    <n v="1"/>
    <x v="8"/>
    <n v="1"/>
    <s v="Divorced"/>
    <n v="2335"/>
    <n v="3157"/>
    <n v="4"/>
    <s v="Y"/>
    <s v="Yes"/>
    <n v="15"/>
    <n v="3"/>
    <n v="4"/>
    <n v="80"/>
    <n v="3"/>
    <n v="4"/>
    <n v="3"/>
    <n v="3"/>
    <n v="2"/>
    <n v="2"/>
    <n v="2"/>
    <n v="0"/>
    <s v="OK"/>
    <s v="OK"/>
    <s v="OK"/>
    <s v="OK"/>
    <x v="3"/>
    <n v="1"/>
    <n v="1.5"/>
    <n v="0"/>
  </r>
  <r>
    <n v="45"/>
    <s v="No"/>
    <s v="Non-Travel"/>
    <n v="589"/>
    <x v="0"/>
    <n v="2"/>
    <n v="4"/>
    <s v="Life Sciences"/>
    <n v="1"/>
    <n v="1845"/>
    <n v="3"/>
    <s v="Female"/>
    <n v="67"/>
    <n v="3"/>
    <n v="2"/>
    <x v="0"/>
    <n v="3"/>
    <s v="Married"/>
    <n v="5154"/>
    <n v="19665"/>
    <n v="4"/>
    <s v="Y"/>
    <s v="No"/>
    <n v="22"/>
    <n v="4"/>
    <n v="2"/>
    <n v="80"/>
    <n v="2"/>
    <n v="10"/>
    <n v="3"/>
    <n v="4"/>
    <n v="8"/>
    <n v="7"/>
    <n v="5"/>
    <n v="7"/>
    <s v="OK"/>
    <s v="OK"/>
    <s v="OK"/>
    <s v="OK"/>
    <x v="39"/>
    <n v="0.875"/>
    <n v="0.375"/>
    <n v="0.875"/>
  </r>
  <r>
    <n v="36"/>
    <s v="No"/>
    <s v="Travel_Rarely"/>
    <n v="430"/>
    <x v="1"/>
    <n v="2"/>
    <n v="4"/>
    <s v="Other"/>
    <n v="1"/>
    <n v="1847"/>
    <n v="4"/>
    <s v="Female"/>
    <n v="73"/>
    <n v="3"/>
    <n v="2"/>
    <x v="1"/>
    <n v="2"/>
    <s v="Married"/>
    <n v="6962"/>
    <n v="19573"/>
    <n v="4"/>
    <s v="Y"/>
    <s v="Yes"/>
    <n v="22"/>
    <n v="4"/>
    <n v="4"/>
    <n v="80"/>
    <n v="1"/>
    <n v="15"/>
    <n v="2"/>
    <n v="3"/>
    <n v="1"/>
    <n v="0"/>
    <n v="0"/>
    <n v="0"/>
    <s v="OK"/>
    <s v="OK"/>
    <s v="OK"/>
    <s v="OK"/>
    <x v="0"/>
    <n v="0"/>
    <n v="2"/>
    <n v="0"/>
  </r>
  <r>
    <n v="43"/>
    <s v="No"/>
    <s v="Travel_Frequently"/>
    <n v="1422"/>
    <x v="0"/>
    <n v="2"/>
    <n v="4"/>
    <s v="Life Sciences"/>
    <n v="1"/>
    <n v="1849"/>
    <n v="1"/>
    <s v="Male"/>
    <n v="92"/>
    <n v="3"/>
    <n v="2"/>
    <x v="0"/>
    <n v="4"/>
    <s v="Married"/>
    <n v="5675"/>
    <n v="19246"/>
    <n v="1"/>
    <s v="Y"/>
    <s v="No"/>
    <n v="20"/>
    <n v="4"/>
    <n v="3"/>
    <n v="80"/>
    <n v="1"/>
    <n v="7"/>
    <n v="5"/>
    <n v="3"/>
    <n v="7"/>
    <n v="7"/>
    <n v="7"/>
    <n v="7"/>
    <s v="OK"/>
    <s v="OK"/>
    <s v="OK"/>
    <s v="OK"/>
    <x v="3"/>
    <n v="1"/>
    <n v="0.7142857142857143"/>
    <n v="1"/>
  </r>
  <r>
    <n v="27"/>
    <s v="No"/>
    <s v="Travel_Frequently"/>
    <n v="1297"/>
    <x v="1"/>
    <n v="5"/>
    <n v="2"/>
    <s v="Life Sciences"/>
    <n v="1"/>
    <n v="1850"/>
    <n v="4"/>
    <s v="Female"/>
    <n v="53"/>
    <n v="3"/>
    <n v="1"/>
    <x v="2"/>
    <n v="4"/>
    <s v="Single"/>
    <n v="2379"/>
    <n v="19826"/>
    <n v="0"/>
    <s v="Y"/>
    <s v="Yes"/>
    <n v="14"/>
    <n v="3"/>
    <n v="3"/>
    <n v="80"/>
    <n v="0"/>
    <n v="6"/>
    <n v="3"/>
    <n v="2"/>
    <n v="5"/>
    <n v="4"/>
    <n v="0"/>
    <n v="2"/>
    <s v="OK"/>
    <s v="OK"/>
    <s v="OK"/>
    <s v="OK"/>
    <x v="0"/>
    <n v="0.8"/>
    <n v="0.6"/>
    <n v="0.4"/>
  </r>
  <r>
    <n v="29"/>
    <s v="No"/>
    <s v="Travel_Frequently"/>
    <n v="574"/>
    <x v="1"/>
    <n v="20"/>
    <n v="1"/>
    <s v="Medical"/>
    <n v="1"/>
    <n v="1852"/>
    <n v="4"/>
    <s v="Male"/>
    <n v="40"/>
    <n v="3"/>
    <n v="1"/>
    <x v="2"/>
    <n v="4"/>
    <s v="Married"/>
    <n v="3812"/>
    <n v="7003"/>
    <n v="1"/>
    <s v="Y"/>
    <s v="No"/>
    <n v="13"/>
    <n v="3"/>
    <n v="2"/>
    <n v="80"/>
    <n v="0"/>
    <n v="11"/>
    <n v="3"/>
    <n v="4"/>
    <n v="11"/>
    <n v="8"/>
    <n v="3"/>
    <n v="10"/>
    <s v="OK"/>
    <s v="OK"/>
    <s v="OK"/>
    <s v="OK"/>
    <x v="81"/>
    <n v="0.72727272727272729"/>
    <n v="0.27272727272727271"/>
    <n v="0.90909090909090906"/>
  </r>
  <r>
    <n v="32"/>
    <s v="No"/>
    <s v="Travel_Frequently"/>
    <n v="1318"/>
    <x v="0"/>
    <n v="10"/>
    <n v="4"/>
    <s v="Marketing"/>
    <n v="1"/>
    <n v="1853"/>
    <n v="4"/>
    <s v="Male"/>
    <n v="79"/>
    <n v="3"/>
    <n v="2"/>
    <x v="0"/>
    <n v="4"/>
    <s v="Single"/>
    <n v="4648"/>
    <n v="26075"/>
    <n v="8"/>
    <s v="Y"/>
    <s v="No"/>
    <n v="13"/>
    <n v="3"/>
    <n v="3"/>
    <n v="80"/>
    <n v="0"/>
    <n v="4"/>
    <n v="2"/>
    <n v="4"/>
    <n v="0"/>
    <n v="0"/>
    <n v="0"/>
    <n v="0"/>
    <s v="OK"/>
    <s v="OK"/>
    <s v="OK"/>
    <s v="OK"/>
    <x v="0"/>
    <n v="0"/>
    <n v="0"/>
    <n v="0"/>
  </r>
  <r>
    <n v="42"/>
    <s v="No"/>
    <s v="Non-Travel"/>
    <n v="355"/>
    <x v="1"/>
    <n v="10"/>
    <n v="4"/>
    <s v="Technical Degree"/>
    <n v="1"/>
    <n v="1854"/>
    <n v="3"/>
    <s v="Male"/>
    <n v="38"/>
    <n v="3"/>
    <n v="1"/>
    <x v="1"/>
    <n v="3"/>
    <s v="Married"/>
    <n v="2936"/>
    <n v="6161"/>
    <n v="3"/>
    <s v="Y"/>
    <s v="No"/>
    <n v="22"/>
    <n v="4"/>
    <n v="2"/>
    <n v="80"/>
    <n v="2"/>
    <n v="10"/>
    <n v="1"/>
    <n v="2"/>
    <n v="6"/>
    <n v="3"/>
    <n v="3"/>
    <n v="3"/>
    <s v="OK"/>
    <s v="OK"/>
    <s v="OK"/>
    <s v="OK"/>
    <x v="7"/>
    <n v="0.5"/>
    <n v="0.16666666666666666"/>
    <n v="0.5"/>
  </r>
  <r>
    <n v="47"/>
    <s v="No"/>
    <s v="Travel_Rarely"/>
    <n v="207"/>
    <x v="1"/>
    <n v="9"/>
    <n v="4"/>
    <s v="Life Sciences"/>
    <n v="1"/>
    <n v="1856"/>
    <n v="2"/>
    <s v="Female"/>
    <n v="64"/>
    <n v="3"/>
    <n v="1"/>
    <x v="2"/>
    <n v="3"/>
    <s v="Single"/>
    <n v="2105"/>
    <n v="5411"/>
    <n v="4"/>
    <s v="Y"/>
    <s v="No"/>
    <n v="12"/>
    <n v="3"/>
    <n v="3"/>
    <n v="80"/>
    <n v="0"/>
    <n v="7"/>
    <n v="2"/>
    <n v="3"/>
    <n v="2"/>
    <n v="2"/>
    <n v="2"/>
    <n v="0"/>
    <s v="OK"/>
    <s v="OK"/>
    <s v="OK"/>
    <s v="OK"/>
    <x v="3"/>
    <n v="1"/>
    <n v="1"/>
    <n v="0"/>
  </r>
  <r>
    <n v="46"/>
    <s v="No"/>
    <s v="Travel_Rarely"/>
    <n v="706"/>
    <x v="1"/>
    <n v="2"/>
    <n v="2"/>
    <s v="Life Sciences"/>
    <n v="1"/>
    <n v="1857"/>
    <n v="4"/>
    <s v="Male"/>
    <n v="82"/>
    <n v="3"/>
    <n v="3"/>
    <x v="3"/>
    <n v="4"/>
    <s v="Divorced"/>
    <n v="8578"/>
    <n v="19989"/>
    <n v="3"/>
    <s v="Y"/>
    <s v="No"/>
    <n v="14"/>
    <n v="3"/>
    <n v="3"/>
    <n v="80"/>
    <n v="1"/>
    <n v="12"/>
    <n v="4"/>
    <n v="2"/>
    <n v="9"/>
    <n v="8"/>
    <n v="4"/>
    <n v="7"/>
    <s v="OK"/>
    <s v="OK"/>
    <s v="OK"/>
    <s v="OK"/>
    <x v="14"/>
    <n v="0.88888888888888884"/>
    <n v="0.44444444444444442"/>
    <n v="0.77777777777777779"/>
  </r>
  <r>
    <n v="28"/>
    <s v="No"/>
    <s v="Non-Travel"/>
    <n v="280"/>
    <x v="2"/>
    <n v="1"/>
    <n v="2"/>
    <s v="Life Sciences"/>
    <n v="1"/>
    <n v="1858"/>
    <n v="3"/>
    <s v="Male"/>
    <n v="43"/>
    <n v="3"/>
    <n v="1"/>
    <x v="8"/>
    <n v="4"/>
    <s v="Divorced"/>
    <n v="2706"/>
    <n v="10494"/>
    <n v="1"/>
    <s v="Y"/>
    <s v="No"/>
    <n v="15"/>
    <n v="3"/>
    <n v="2"/>
    <n v="80"/>
    <n v="1"/>
    <n v="3"/>
    <n v="2"/>
    <n v="3"/>
    <n v="3"/>
    <n v="2"/>
    <n v="2"/>
    <n v="2"/>
    <s v="OK"/>
    <s v="OK"/>
    <s v="OK"/>
    <s v="OK"/>
    <x v="34"/>
    <n v="0.66666666666666663"/>
    <n v="0.66666666666666663"/>
    <n v="0.66666666666666663"/>
  </r>
  <r>
    <n v="29"/>
    <s v="No"/>
    <s v="Travel_Rarely"/>
    <n v="726"/>
    <x v="1"/>
    <n v="29"/>
    <n v="1"/>
    <s v="Life Sciences"/>
    <n v="1"/>
    <n v="1859"/>
    <n v="4"/>
    <s v="Male"/>
    <n v="93"/>
    <n v="1"/>
    <n v="2"/>
    <x v="4"/>
    <n v="3"/>
    <s v="Divorced"/>
    <n v="6384"/>
    <n v="21143"/>
    <n v="8"/>
    <s v="Y"/>
    <s v="No"/>
    <n v="17"/>
    <n v="3"/>
    <n v="4"/>
    <n v="80"/>
    <n v="2"/>
    <n v="11"/>
    <n v="3"/>
    <n v="3"/>
    <n v="7"/>
    <n v="0"/>
    <n v="1"/>
    <n v="6"/>
    <s v="OK"/>
    <s v="OK"/>
    <s v="OK"/>
    <s v="OK"/>
    <x v="20"/>
    <n v="0"/>
    <n v="0.42857142857142855"/>
    <n v="0.8571428571428571"/>
  </r>
  <r>
    <n v="42"/>
    <s v="No"/>
    <s v="Travel_Rarely"/>
    <n v="1142"/>
    <x v="1"/>
    <n v="8"/>
    <n v="3"/>
    <s v="Life Sciences"/>
    <n v="1"/>
    <n v="1860"/>
    <n v="4"/>
    <s v="Male"/>
    <n v="81"/>
    <n v="3"/>
    <n v="1"/>
    <x v="2"/>
    <n v="3"/>
    <s v="Single"/>
    <n v="3968"/>
    <n v="13624"/>
    <n v="4"/>
    <s v="Y"/>
    <s v="No"/>
    <n v="13"/>
    <n v="3"/>
    <n v="4"/>
    <n v="80"/>
    <n v="0"/>
    <n v="8"/>
    <n v="3"/>
    <n v="3"/>
    <n v="0"/>
    <n v="0"/>
    <n v="0"/>
    <n v="0"/>
    <s v="OK"/>
    <s v="OK"/>
    <s v="OK"/>
    <s v="OK"/>
    <x v="0"/>
    <n v="0"/>
    <n v="0"/>
    <n v="0"/>
  </r>
  <r>
    <n v="32"/>
    <s v="Yes"/>
    <s v="Travel_Rarely"/>
    <n v="414"/>
    <x v="0"/>
    <n v="2"/>
    <n v="4"/>
    <s v="Marketing"/>
    <n v="1"/>
    <n v="1862"/>
    <n v="3"/>
    <s v="Male"/>
    <n v="82"/>
    <n v="2"/>
    <n v="2"/>
    <x v="0"/>
    <n v="2"/>
    <s v="Single"/>
    <n v="9907"/>
    <n v="26186"/>
    <n v="7"/>
    <s v="Y"/>
    <s v="Yes"/>
    <n v="12"/>
    <n v="3"/>
    <n v="3"/>
    <n v="80"/>
    <n v="0"/>
    <n v="7"/>
    <n v="3"/>
    <n v="2"/>
    <n v="2"/>
    <n v="2"/>
    <n v="2"/>
    <n v="2"/>
    <s v="OK"/>
    <s v="OK"/>
    <s v="OK"/>
    <s v="OK"/>
    <x v="3"/>
    <n v="1"/>
    <n v="1.5"/>
    <n v="1"/>
  </r>
  <r>
    <n v="46"/>
    <s v="No"/>
    <s v="Travel_Rarely"/>
    <n v="1319"/>
    <x v="0"/>
    <n v="3"/>
    <n v="3"/>
    <s v="Technical Degree"/>
    <n v="1"/>
    <n v="1863"/>
    <n v="1"/>
    <s v="Female"/>
    <n v="45"/>
    <n v="4"/>
    <n v="4"/>
    <x v="0"/>
    <n v="1"/>
    <s v="Divorced"/>
    <n v="13225"/>
    <n v="7739"/>
    <n v="2"/>
    <s v="Y"/>
    <s v="No"/>
    <n v="12"/>
    <n v="3"/>
    <n v="4"/>
    <n v="80"/>
    <n v="1"/>
    <n v="25"/>
    <n v="5"/>
    <n v="3"/>
    <n v="19"/>
    <n v="17"/>
    <n v="2"/>
    <n v="8"/>
    <s v="OK"/>
    <s v="OK"/>
    <s v="OK"/>
    <s v="OK"/>
    <x v="85"/>
    <n v="0.89473684210526316"/>
    <n v="0.26315789473684209"/>
    <n v="0.42105263157894735"/>
  </r>
  <r>
    <n v="27"/>
    <s v="No"/>
    <s v="Travel_Rarely"/>
    <n v="728"/>
    <x v="0"/>
    <n v="23"/>
    <n v="1"/>
    <s v="Medical"/>
    <n v="1"/>
    <n v="1864"/>
    <n v="2"/>
    <s v="Female"/>
    <n v="36"/>
    <n v="2"/>
    <n v="2"/>
    <x v="6"/>
    <n v="3"/>
    <s v="Married"/>
    <n v="3540"/>
    <n v="7018"/>
    <n v="1"/>
    <s v="Y"/>
    <s v="No"/>
    <n v="21"/>
    <n v="4"/>
    <n v="4"/>
    <n v="80"/>
    <n v="1"/>
    <n v="9"/>
    <n v="5"/>
    <n v="3"/>
    <n v="9"/>
    <n v="8"/>
    <n v="5"/>
    <n v="8"/>
    <s v="OK"/>
    <s v="OK"/>
    <s v="OK"/>
    <s v="OK"/>
    <x v="52"/>
    <n v="0.88888888888888884"/>
    <n v="0.55555555555555558"/>
    <n v="0.88888888888888884"/>
  </r>
  <r>
    <n v="29"/>
    <s v="No"/>
    <s v="Travel_Rarely"/>
    <n v="352"/>
    <x v="2"/>
    <n v="6"/>
    <n v="1"/>
    <s v="Medical"/>
    <n v="1"/>
    <n v="1865"/>
    <n v="4"/>
    <s v="Male"/>
    <n v="87"/>
    <n v="2"/>
    <n v="1"/>
    <x v="8"/>
    <n v="2"/>
    <s v="Married"/>
    <n v="2804"/>
    <n v="15434"/>
    <n v="1"/>
    <s v="Y"/>
    <s v="No"/>
    <n v="11"/>
    <n v="3"/>
    <n v="4"/>
    <n v="80"/>
    <n v="0"/>
    <n v="1"/>
    <n v="3"/>
    <n v="3"/>
    <n v="1"/>
    <n v="0"/>
    <n v="0"/>
    <n v="0"/>
    <s v="OK"/>
    <s v="OK"/>
    <s v="OK"/>
    <s v="OK"/>
    <x v="0"/>
    <n v="0"/>
    <n v="3"/>
    <n v="0"/>
  </r>
  <r>
    <n v="43"/>
    <s v="No"/>
    <s v="Travel_Rarely"/>
    <n v="823"/>
    <x v="1"/>
    <n v="6"/>
    <n v="3"/>
    <s v="Medical"/>
    <n v="1"/>
    <n v="1866"/>
    <n v="1"/>
    <s v="Female"/>
    <n v="81"/>
    <n v="2"/>
    <n v="5"/>
    <x v="5"/>
    <n v="3"/>
    <s v="Married"/>
    <n v="19392"/>
    <n v="22539"/>
    <n v="7"/>
    <s v="Y"/>
    <s v="No"/>
    <n v="13"/>
    <n v="3"/>
    <n v="4"/>
    <n v="80"/>
    <n v="0"/>
    <n v="21"/>
    <n v="2"/>
    <n v="3"/>
    <n v="16"/>
    <n v="12"/>
    <n v="6"/>
    <n v="14"/>
    <s v="OK"/>
    <s v="OK"/>
    <s v="OK"/>
    <s v="OK"/>
    <x v="2"/>
    <n v="0.75"/>
    <n v="0.125"/>
    <n v="0.875"/>
  </r>
  <r>
    <n v="48"/>
    <s v="No"/>
    <s v="Travel_Rarely"/>
    <n v="1224"/>
    <x v="1"/>
    <n v="10"/>
    <n v="3"/>
    <s v="Life Sciences"/>
    <n v="1"/>
    <n v="1867"/>
    <n v="4"/>
    <s v="Male"/>
    <n v="91"/>
    <n v="2"/>
    <n v="5"/>
    <x v="7"/>
    <n v="2"/>
    <s v="Married"/>
    <n v="19665"/>
    <n v="13583"/>
    <n v="4"/>
    <s v="Y"/>
    <s v="No"/>
    <n v="12"/>
    <n v="3"/>
    <n v="4"/>
    <n v="80"/>
    <n v="0"/>
    <n v="29"/>
    <n v="3"/>
    <n v="3"/>
    <n v="22"/>
    <n v="10"/>
    <n v="12"/>
    <n v="9"/>
    <s v="OK"/>
    <s v="OK"/>
    <s v="OK"/>
    <s v="OK"/>
    <x v="58"/>
    <n v="0.45454545454545453"/>
    <n v="0.13636363636363635"/>
    <n v="0.40909090909090912"/>
  </r>
  <r>
    <n v="29"/>
    <s v="Yes"/>
    <s v="Travel_Frequently"/>
    <n v="459"/>
    <x v="1"/>
    <n v="24"/>
    <n v="2"/>
    <s v="Life Sciences"/>
    <n v="1"/>
    <n v="1868"/>
    <n v="4"/>
    <s v="Male"/>
    <n v="73"/>
    <n v="2"/>
    <n v="1"/>
    <x v="1"/>
    <n v="4"/>
    <s v="Single"/>
    <n v="2439"/>
    <n v="14753"/>
    <n v="1"/>
    <s v="Y"/>
    <s v="Yes"/>
    <n v="24"/>
    <n v="4"/>
    <n v="2"/>
    <n v="80"/>
    <n v="0"/>
    <n v="1"/>
    <n v="3"/>
    <n v="2"/>
    <n v="1"/>
    <n v="0"/>
    <n v="1"/>
    <n v="0"/>
    <s v="OK"/>
    <s v="OK"/>
    <s v="OK"/>
    <s v="OK"/>
    <x v="3"/>
    <n v="0"/>
    <n v="3"/>
    <n v="0"/>
  </r>
  <r>
    <n v="46"/>
    <s v="Yes"/>
    <s v="Travel_Rarely"/>
    <n v="1254"/>
    <x v="0"/>
    <n v="10"/>
    <n v="3"/>
    <s v="Life Sciences"/>
    <n v="1"/>
    <n v="1869"/>
    <n v="3"/>
    <s v="Female"/>
    <n v="64"/>
    <n v="3"/>
    <n v="3"/>
    <x v="0"/>
    <n v="2"/>
    <s v="Married"/>
    <n v="7314"/>
    <n v="14011"/>
    <n v="5"/>
    <s v="Y"/>
    <s v="No"/>
    <n v="21"/>
    <n v="4"/>
    <n v="3"/>
    <n v="80"/>
    <n v="3"/>
    <n v="14"/>
    <n v="2"/>
    <n v="3"/>
    <n v="8"/>
    <n v="7"/>
    <n v="0"/>
    <n v="7"/>
    <s v="OK"/>
    <s v="OK"/>
    <s v="OK"/>
    <s v="OK"/>
    <x v="0"/>
    <n v="0.875"/>
    <n v="0.25"/>
    <n v="0.875"/>
  </r>
  <r>
    <n v="27"/>
    <s v="No"/>
    <s v="Travel_Frequently"/>
    <n v="1131"/>
    <x v="1"/>
    <n v="15"/>
    <n v="3"/>
    <s v="Life Sciences"/>
    <n v="1"/>
    <n v="1870"/>
    <n v="4"/>
    <s v="Female"/>
    <n v="77"/>
    <n v="2"/>
    <n v="1"/>
    <x v="1"/>
    <n v="1"/>
    <s v="Married"/>
    <n v="4774"/>
    <n v="23844"/>
    <n v="0"/>
    <s v="Y"/>
    <s v="No"/>
    <n v="19"/>
    <n v="3"/>
    <n v="4"/>
    <n v="80"/>
    <n v="1"/>
    <n v="8"/>
    <n v="2"/>
    <n v="2"/>
    <n v="7"/>
    <n v="6"/>
    <n v="7"/>
    <n v="3"/>
    <s v="OK"/>
    <s v="OK"/>
    <s v="OK"/>
    <s v="OK"/>
    <x v="3"/>
    <n v="0.8571428571428571"/>
    <n v="0.2857142857142857"/>
    <n v="0.42857142857142855"/>
  </r>
  <r>
    <n v="39"/>
    <s v="No"/>
    <s v="Travel_Rarely"/>
    <n v="835"/>
    <x v="1"/>
    <n v="19"/>
    <n v="4"/>
    <s v="Other"/>
    <n v="1"/>
    <n v="1871"/>
    <n v="4"/>
    <s v="Male"/>
    <n v="41"/>
    <n v="3"/>
    <n v="2"/>
    <x v="1"/>
    <n v="4"/>
    <s v="Divorced"/>
    <n v="3902"/>
    <n v="5141"/>
    <n v="8"/>
    <s v="Y"/>
    <s v="No"/>
    <n v="14"/>
    <n v="3"/>
    <n v="2"/>
    <n v="80"/>
    <n v="3"/>
    <n v="7"/>
    <n v="2"/>
    <n v="3"/>
    <n v="2"/>
    <n v="2"/>
    <n v="2"/>
    <n v="2"/>
    <s v="OK"/>
    <s v="OK"/>
    <s v="OK"/>
    <s v="OK"/>
    <x v="3"/>
    <n v="1"/>
    <n v="1"/>
    <n v="1"/>
  </r>
  <r>
    <n v="55"/>
    <s v="No"/>
    <s v="Travel_Rarely"/>
    <n v="836"/>
    <x v="1"/>
    <n v="2"/>
    <n v="4"/>
    <s v="Technical Degree"/>
    <n v="1"/>
    <n v="1873"/>
    <n v="2"/>
    <s v="Male"/>
    <n v="98"/>
    <n v="2"/>
    <n v="1"/>
    <x v="1"/>
    <n v="4"/>
    <s v="Married"/>
    <n v="2662"/>
    <n v="7975"/>
    <n v="8"/>
    <s v="Y"/>
    <s v="No"/>
    <n v="20"/>
    <n v="4"/>
    <n v="2"/>
    <n v="80"/>
    <n v="1"/>
    <n v="19"/>
    <n v="2"/>
    <n v="4"/>
    <n v="5"/>
    <n v="2"/>
    <n v="0"/>
    <n v="4"/>
    <s v="OK"/>
    <s v="OK"/>
    <s v="OK"/>
    <s v="OK"/>
    <x v="0"/>
    <n v="0.4"/>
    <n v="0.4"/>
    <n v="0.8"/>
  </r>
  <r>
    <n v="28"/>
    <s v="No"/>
    <s v="Travel_Rarely"/>
    <n v="1172"/>
    <x v="0"/>
    <n v="3"/>
    <n v="3"/>
    <s v="Medical"/>
    <n v="1"/>
    <n v="1875"/>
    <n v="2"/>
    <s v="Female"/>
    <n v="78"/>
    <n v="3"/>
    <n v="1"/>
    <x v="6"/>
    <n v="2"/>
    <s v="Married"/>
    <n v="2856"/>
    <n v="3692"/>
    <n v="1"/>
    <s v="Y"/>
    <s v="No"/>
    <n v="19"/>
    <n v="3"/>
    <n v="4"/>
    <n v="80"/>
    <n v="1"/>
    <n v="1"/>
    <n v="3"/>
    <n v="3"/>
    <n v="1"/>
    <n v="0"/>
    <n v="0"/>
    <n v="0"/>
    <s v="OK"/>
    <s v="OK"/>
    <s v="OK"/>
    <s v="OK"/>
    <x v="0"/>
    <n v="0"/>
    <n v="3"/>
    <n v="0"/>
  </r>
  <r>
    <n v="30"/>
    <s v="Yes"/>
    <s v="Travel_Rarely"/>
    <n v="945"/>
    <x v="0"/>
    <n v="9"/>
    <n v="3"/>
    <s v="Medical"/>
    <n v="1"/>
    <n v="1876"/>
    <n v="2"/>
    <s v="Male"/>
    <n v="89"/>
    <n v="3"/>
    <n v="1"/>
    <x v="6"/>
    <n v="4"/>
    <s v="Single"/>
    <n v="1081"/>
    <n v="16019"/>
    <n v="1"/>
    <s v="Y"/>
    <s v="No"/>
    <n v="13"/>
    <n v="3"/>
    <n v="3"/>
    <n v="80"/>
    <n v="0"/>
    <n v="1"/>
    <n v="3"/>
    <n v="2"/>
    <n v="1"/>
    <n v="0"/>
    <n v="0"/>
    <n v="0"/>
    <s v="OK"/>
    <s v="OK"/>
    <s v="OK"/>
    <s v="OK"/>
    <x v="0"/>
    <n v="0"/>
    <n v="3"/>
    <n v="0"/>
  </r>
  <r>
    <n v="22"/>
    <s v="Yes"/>
    <s v="Travel_Rarely"/>
    <n v="391"/>
    <x v="1"/>
    <n v="7"/>
    <n v="1"/>
    <s v="Life Sciences"/>
    <n v="1"/>
    <n v="1878"/>
    <n v="4"/>
    <s v="Male"/>
    <n v="75"/>
    <n v="3"/>
    <n v="1"/>
    <x v="1"/>
    <n v="2"/>
    <s v="Single"/>
    <n v="2472"/>
    <n v="26092"/>
    <n v="1"/>
    <s v="Y"/>
    <s v="Yes"/>
    <n v="23"/>
    <n v="4"/>
    <n v="1"/>
    <n v="80"/>
    <n v="0"/>
    <n v="1"/>
    <n v="2"/>
    <n v="3"/>
    <n v="1"/>
    <n v="0"/>
    <n v="0"/>
    <n v="0"/>
    <s v="OK"/>
    <s v="OK"/>
    <s v="OK"/>
    <s v="OK"/>
    <x v="0"/>
    <n v="0"/>
    <n v="2"/>
    <n v="0"/>
  </r>
  <r>
    <n v="36"/>
    <s v="No"/>
    <s v="Travel_Rarely"/>
    <n v="1266"/>
    <x v="0"/>
    <n v="10"/>
    <n v="4"/>
    <s v="Technical Degree"/>
    <n v="1"/>
    <n v="1880"/>
    <n v="2"/>
    <s v="Female"/>
    <n v="63"/>
    <n v="2"/>
    <n v="2"/>
    <x v="0"/>
    <n v="3"/>
    <s v="Married"/>
    <n v="5673"/>
    <n v="6060"/>
    <n v="1"/>
    <s v="Y"/>
    <s v="Yes"/>
    <n v="13"/>
    <n v="3"/>
    <n v="1"/>
    <n v="80"/>
    <n v="1"/>
    <n v="10"/>
    <n v="4"/>
    <n v="3"/>
    <n v="10"/>
    <n v="9"/>
    <n v="1"/>
    <n v="7"/>
    <s v="OK"/>
    <s v="OK"/>
    <s v="OK"/>
    <s v="OK"/>
    <x v="1"/>
    <n v="0.9"/>
    <n v="0.4"/>
    <n v="0.7"/>
  </r>
  <r>
    <n v="31"/>
    <s v="No"/>
    <s v="Travel_Rarely"/>
    <n v="311"/>
    <x v="1"/>
    <n v="20"/>
    <n v="3"/>
    <s v="Life Sciences"/>
    <n v="1"/>
    <n v="1881"/>
    <n v="2"/>
    <s v="Male"/>
    <n v="89"/>
    <n v="3"/>
    <n v="2"/>
    <x v="2"/>
    <n v="3"/>
    <s v="Divorced"/>
    <n v="4197"/>
    <n v="18624"/>
    <n v="1"/>
    <s v="Y"/>
    <s v="No"/>
    <n v="11"/>
    <n v="3"/>
    <n v="1"/>
    <n v="80"/>
    <n v="1"/>
    <n v="10"/>
    <n v="2"/>
    <n v="3"/>
    <n v="10"/>
    <n v="8"/>
    <n v="0"/>
    <n v="2"/>
    <s v="OK"/>
    <s v="OK"/>
    <s v="OK"/>
    <s v="OK"/>
    <x v="0"/>
    <n v="0.8"/>
    <n v="0.2"/>
    <n v="0.2"/>
  </r>
  <r>
    <n v="34"/>
    <s v="No"/>
    <s v="Travel_Rarely"/>
    <n v="1480"/>
    <x v="0"/>
    <n v="4"/>
    <n v="3"/>
    <s v="Life Sciences"/>
    <n v="1"/>
    <n v="1882"/>
    <n v="3"/>
    <s v="Male"/>
    <n v="64"/>
    <n v="3"/>
    <n v="3"/>
    <x v="0"/>
    <n v="4"/>
    <s v="Married"/>
    <n v="9713"/>
    <n v="24444"/>
    <n v="2"/>
    <s v="Y"/>
    <s v="Yes"/>
    <n v="13"/>
    <n v="3"/>
    <n v="4"/>
    <n v="80"/>
    <n v="3"/>
    <n v="9"/>
    <n v="3"/>
    <n v="3"/>
    <n v="5"/>
    <n v="3"/>
    <n v="1"/>
    <n v="0"/>
    <s v="OK"/>
    <s v="OK"/>
    <s v="OK"/>
    <s v="OK"/>
    <x v="16"/>
    <n v="0.6"/>
    <n v="0.6"/>
    <n v="0"/>
  </r>
  <r>
    <n v="29"/>
    <s v="No"/>
    <s v="Travel_Rarely"/>
    <n v="592"/>
    <x v="1"/>
    <n v="7"/>
    <n v="3"/>
    <s v="Life Sciences"/>
    <n v="1"/>
    <n v="1883"/>
    <n v="4"/>
    <s v="Male"/>
    <n v="59"/>
    <n v="3"/>
    <n v="1"/>
    <x v="2"/>
    <n v="1"/>
    <s v="Single"/>
    <n v="2062"/>
    <n v="19384"/>
    <n v="3"/>
    <s v="Y"/>
    <s v="No"/>
    <n v="14"/>
    <n v="3"/>
    <n v="2"/>
    <n v="80"/>
    <n v="0"/>
    <n v="11"/>
    <n v="2"/>
    <n v="3"/>
    <n v="3"/>
    <n v="2"/>
    <n v="1"/>
    <n v="2"/>
    <s v="OK"/>
    <s v="OK"/>
    <s v="OK"/>
    <s v="OK"/>
    <x v="9"/>
    <n v="0.66666666666666663"/>
    <n v="0.66666666666666663"/>
    <n v="0.66666666666666663"/>
  </r>
  <r>
    <n v="37"/>
    <s v="No"/>
    <s v="Travel_Rarely"/>
    <n v="783"/>
    <x v="1"/>
    <n v="7"/>
    <n v="4"/>
    <s v="Medical"/>
    <n v="1"/>
    <n v="1885"/>
    <n v="4"/>
    <s v="Male"/>
    <n v="78"/>
    <n v="3"/>
    <n v="2"/>
    <x v="1"/>
    <n v="1"/>
    <s v="Married"/>
    <n v="4284"/>
    <n v="13588"/>
    <n v="5"/>
    <s v="Y"/>
    <s v="Yes"/>
    <n v="22"/>
    <n v="4"/>
    <n v="3"/>
    <n v="80"/>
    <n v="1"/>
    <n v="16"/>
    <n v="2"/>
    <n v="3"/>
    <n v="5"/>
    <n v="3"/>
    <n v="0"/>
    <n v="4"/>
    <s v="OK"/>
    <s v="OK"/>
    <s v="OK"/>
    <s v="OK"/>
    <x v="0"/>
    <n v="0.6"/>
    <n v="0.4"/>
    <n v="0.8"/>
  </r>
  <r>
    <n v="35"/>
    <s v="No"/>
    <s v="Travel_Rarely"/>
    <n v="219"/>
    <x v="1"/>
    <n v="16"/>
    <n v="2"/>
    <s v="Other"/>
    <n v="1"/>
    <n v="1886"/>
    <n v="4"/>
    <s v="Female"/>
    <n v="44"/>
    <n v="2"/>
    <n v="2"/>
    <x v="3"/>
    <n v="2"/>
    <s v="Married"/>
    <n v="4788"/>
    <n v="25388"/>
    <n v="0"/>
    <s v="Y"/>
    <s v="Yes"/>
    <n v="11"/>
    <n v="3"/>
    <n v="4"/>
    <n v="80"/>
    <n v="0"/>
    <n v="4"/>
    <n v="2"/>
    <n v="3"/>
    <n v="3"/>
    <n v="2"/>
    <n v="0"/>
    <n v="2"/>
    <s v="OK"/>
    <s v="OK"/>
    <s v="OK"/>
    <s v="OK"/>
    <x v="0"/>
    <n v="0.66666666666666663"/>
    <n v="0.66666666666666663"/>
    <n v="0.66666666666666663"/>
  </r>
  <r>
    <n v="45"/>
    <s v="No"/>
    <s v="Travel_Rarely"/>
    <n v="556"/>
    <x v="1"/>
    <n v="25"/>
    <n v="2"/>
    <s v="Life Sciences"/>
    <n v="1"/>
    <n v="1888"/>
    <n v="2"/>
    <s v="Female"/>
    <n v="93"/>
    <n v="2"/>
    <n v="2"/>
    <x v="3"/>
    <n v="4"/>
    <s v="Married"/>
    <n v="5906"/>
    <n v="23888"/>
    <n v="0"/>
    <s v="Y"/>
    <s v="No"/>
    <n v="13"/>
    <n v="3"/>
    <n v="4"/>
    <n v="80"/>
    <n v="2"/>
    <n v="10"/>
    <n v="2"/>
    <n v="2"/>
    <n v="9"/>
    <n v="8"/>
    <n v="3"/>
    <n v="8"/>
    <s v="OK"/>
    <s v="OK"/>
    <s v="OK"/>
    <s v="OK"/>
    <x v="9"/>
    <n v="0.88888888888888884"/>
    <n v="0.22222222222222221"/>
    <n v="0.88888888888888884"/>
  </r>
  <r>
    <n v="36"/>
    <s v="No"/>
    <s v="Travel_Frequently"/>
    <n v="1213"/>
    <x v="2"/>
    <n v="2"/>
    <n v="1"/>
    <s v="Human Resources"/>
    <n v="1"/>
    <n v="1890"/>
    <n v="2"/>
    <s v="Male"/>
    <n v="94"/>
    <n v="2"/>
    <n v="2"/>
    <x v="8"/>
    <n v="4"/>
    <s v="Single"/>
    <n v="3886"/>
    <n v="4223"/>
    <n v="1"/>
    <s v="Y"/>
    <s v="No"/>
    <n v="21"/>
    <n v="4"/>
    <n v="4"/>
    <n v="80"/>
    <n v="0"/>
    <n v="10"/>
    <n v="2"/>
    <n v="2"/>
    <n v="10"/>
    <n v="1"/>
    <n v="0"/>
    <n v="8"/>
    <s v="OK"/>
    <s v="OK"/>
    <s v="OK"/>
    <s v="OK"/>
    <x v="0"/>
    <n v="0.1"/>
    <n v="0.2"/>
    <n v="0.8"/>
  </r>
  <r>
    <n v="40"/>
    <s v="No"/>
    <s v="Travel_Rarely"/>
    <n v="1137"/>
    <x v="1"/>
    <n v="1"/>
    <n v="4"/>
    <s v="Life Sciences"/>
    <n v="1"/>
    <n v="1892"/>
    <n v="1"/>
    <s v="Male"/>
    <n v="98"/>
    <n v="3"/>
    <n v="4"/>
    <x v="5"/>
    <n v="1"/>
    <s v="Divorced"/>
    <n v="16823"/>
    <n v="18991"/>
    <n v="2"/>
    <s v="Y"/>
    <s v="No"/>
    <n v="11"/>
    <n v="3"/>
    <n v="1"/>
    <n v="80"/>
    <n v="1"/>
    <n v="22"/>
    <n v="3"/>
    <n v="3"/>
    <n v="19"/>
    <n v="7"/>
    <n v="11"/>
    <n v="16"/>
    <s v="OK"/>
    <s v="OK"/>
    <s v="OK"/>
    <s v="OK"/>
    <x v="55"/>
    <n v="0.36842105263157893"/>
    <n v="0.15789473684210525"/>
    <n v="0.84210526315789469"/>
  </r>
  <r>
    <n v="26"/>
    <s v="No"/>
    <s v="Travel_Rarely"/>
    <n v="482"/>
    <x v="1"/>
    <n v="1"/>
    <n v="2"/>
    <s v="Life Sciences"/>
    <n v="1"/>
    <n v="1893"/>
    <n v="2"/>
    <s v="Female"/>
    <n v="90"/>
    <n v="2"/>
    <n v="1"/>
    <x v="1"/>
    <n v="3"/>
    <s v="Married"/>
    <n v="2933"/>
    <n v="14908"/>
    <n v="1"/>
    <s v="Y"/>
    <s v="Yes"/>
    <n v="13"/>
    <n v="3"/>
    <n v="3"/>
    <n v="80"/>
    <n v="1"/>
    <n v="1"/>
    <n v="3"/>
    <n v="2"/>
    <n v="1"/>
    <n v="0"/>
    <n v="1"/>
    <n v="0"/>
    <s v="OK"/>
    <s v="OK"/>
    <s v="OK"/>
    <s v="OK"/>
    <x v="3"/>
    <n v="0"/>
    <n v="3"/>
    <n v="0"/>
  </r>
  <r>
    <n v="27"/>
    <s v="No"/>
    <s v="Travel_Rarely"/>
    <n v="511"/>
    <x v="0"/>
    <n v="2"/>
    <n v="2"/>
    <s v="Medical"/>
    <n v="1"/>
    <n v="1898"/>
    <n v="1"/>
    <s v="Female"/>
    <n v="89"/>
    <n v="4"/>
    <n v="2"/>
    <x v="0"/>
    <n v="3"/>
    <s v="Single"/>
    <n v="6500"/>
    <n v="26997"/>
    <n v="0"/>
    <s v="Y"/>
    <s v="No"/>
    <n v="14"/>
    <n v="3"/>
    <n v="2"/>
    <n v="80"/>
    <n v="0"/>
    <n v="9"/>
    <n v="5"/>
    <n v="2"/>
    <n v="8"/>
    <n v="7"/>
    <n v="0"/>
    <n v="7"/>
    <s v="OK"/>
    <s v="OK"/>
    <s v="OK"/>
    <s v="OK"/>
    <x v="0"/>
    <n v="0.875"/>
    <n v="0.625"/>
    <n v="0.875"/>
  </r>
  <r>
    <n v="48"/>
    <s v="No"/>
    <s v="Travel_Frequently"/>
    <n v="117"/>
    <x v="1"/>
    <n v="22"/>
    <n v="3"/>
    <s v="Medical"/>
    <n v="1"/>
    <n v="1900"/>
    <n v="4"/>
    <s v="Female"/>
    <n v="58"/>
    <n v="3"/>
    <n v="4"/>
    <x v="5"/>
    <n v="4"/>
    <s v="Divorced"/>
    <n v="17174"/>
    <n v="2437"/>
    <n v="3"/>
    <s v="Y"/>
    <s v="No"/>
    <n v="11"/>
    <n v="3"/>
    <n v="2"/>
    <n v="80"/>
    <n v="1"/>
    <n v="24"/>
    <n v="3"/>
    <n v="3"/>
    <n v="22"/>
    <n v="17"/>
    <n v="4"/>
    <n v="7"/>
    <s v="OK"/>
    <s v="OK"/>
    <s v="OK"/>
    <s v="OK"/>
    <x v="30"/>
    <n v="0.77272727272727271"/>
    <n v="0.13636363636363635"/>
    <n v="0.31818181818181818"/>
  </r>
  <r>
    <n v="44"/>
    <s v="No"/>
    <s v="Travel_Rarely"/>
    <n v="170"/>
    <x v="1"/>
    <n v="1"/>
    <n v="4"/>
    <s v="Life Sciences"/>
    <n v="1"/>
    <n v="1903"/>
    <n v="2"/>
    <s v="Male"/>
    <n v="78"/>
    <n v="4"/>
    <n v="2"/>
    <x v="4"/>
    <n v="1"/>
    <s v="Married"/>
    <n v="5033"/>
    <n v="9364"/>
    <n v="2"/>
    <s v="Y"/>
    <s v="No"/>
    <n v="15"/>
    <n v="3"/>
    <n v="4"/>
    <n v="80"/>
    <n v="1"/>
    <n v="10"/>
    <n v="5"/>
    <n v="3"/>
    <n v="2"/>
    <n v="0"/>
    <n v="2"/>
    <n v="2"/>
    <s v="OK"/>
    <s v="OK"/>
    <s v="OK"/>
    <s v="OK"/>
    <x v="3"/>
    <n v="0"/>
    <n v="2.5"/>
    <n v="1"/>
  </r>
  <r>
    <n v="34"/>
    <s v="Yes"/>
    <s v="Non-Travel"/>
    <n v="967"/>
    <x v="1"/>
    <n v="16"/>
    <n v="4"/>
    <s v="Technical Degree"/>
    <n v="1"/>
    <n v="1905"/>
    <n v="4"/>
    <s v="Male"/>
    <n v="85"/>
    <n v="1"/>
    <n v="1"/>
    <x v="1"/>
    <n v="1"/>
    <s v="Married"/>
    <n v="2307"/>
    <n v="14460"/>
    <n v="1"/>
    <s v="Y"/>
    <s v="Yes"/>
    <n v="23"/>
    <n v="4"/>
    <n v="2"/>
    <n v="80"/>
    <n v="1"/>
    <n v="5"/>
    <n v="2"/>
    <n v="3"/>
    <n v="5"/>
    <n v="2"/>
    <n v="3"/>
    <n v="0"/>
    <s v="OK"/>
    <s v="OK"/>
    <s v="OK"/>
    <s v="OK"/>
    <x v="13"/>
    <n v="0.4"/>
    <n v="0.4"/>
    <n v="0"/>
  </r>
  <r>
    <n v="56"/>
    <s v="Yes"/>
    <s v="Travel_Rarely"/>
    <n v="1162"/>
    <x v="1"/>
    <n v="24"/>
    <n v="2"/>
    <s v="Life Sciences"/>
    <n v="1"/>
    <n v="1907"/>
    <n v="1"/>
    <s v="Male"/>
    <n v="97"/>
    <n v="3"/>
    <n v="1"/>
    <x v="2"/>
    <n v="4"/>
    <s v="Single"/>
    <n v="2587"/>
    <n v="10261"/>
    <n v="1"/>
    <s v="Y"/>
    <s v="No"/>
    <n v="16"/>
    <n v="3"/>
    <n v="4"/>
    <n v="80"/>
    <n v="0"/>
    <n v="5"/>
    <n v="3"/>
    <n v="3"/>
    <n v="4"/>
    <n v="2"/>
    <n v="1"/>
    <n v="0"/>
    <s v="OK"/>
    <s v="OK"/>
    <s v="OK"/>
    <s v="OK"/>
    <x v="10"/>
    <n v="0.5"/>
    <n v="0.75"/>
    <n v="0"/>
  </r>
  <r>
    <n v="36"/>
    <s v="No"/>
    <s v="Travel_Rarely"/>
    <n v="335"/>
    <x v="0"/>
    <n v="17"/>
    <n v="2"/>
    <s v="Marketing"/>
    <n v="1"/>
    <n v="1908"/>
    <n v="3"/>
    <s v="Male"/>
    <n v="33"/>
    <n v="2"/>
    <n v="2"/>
    <x v="0"/>
    <n v="2"/>
    <s v="Married"/>
    <n v="5507"/>
    <n v="16822"/>
    <n v="2"/>
    <s v="Y"/>
    <s v="No"/>
    <n v="16"/>
    <n v="3"/>
    <n v="3"/>
    <n v="80"/>
    <n v="2"/>
    <n v="12"/>
    <n v="1"/>
    <n v="1"/>
    <n v="4"/>
    <n v="2"/>
    <n v="1"/>
    <n v="3"/>
    <s v="OK"/>
    <s v="OK"/>
    <s v="OK"/>
    <s v="OK"/>
    <x v="10"/>
    <n v="0.5"/>
    <n v="0.25"/>
    <n v="0.75"/>
  </r>
  <r>
    <n v="41"/>
    <s v="No"/>
    <s v="Travel_Rarely"/>
    <n v="337"/>
    <x v="0"/>
    <n v="8"/>
    <n v="3"/>
    <s v="Marketing"/>
    <n v="1"/>
    <n v="1909"/>
    <n v="3"/>
    <s v="Female"/>
    <n v="54"/>
    <n v="3"/>
    <n v="2"/>
    <x v="0"/>
    <n v="2"/>
    <s v="Married"/>
    <n v="4393"/>
    <n v="26841"/>
    <n v="5"/>
    <s v="Y"/>
    <s v="No"/>
    <n v="21"/>
    <n v="4"/>
    <n v="3"/>
    <n v="80"/>
    <n v="1"/>
    <n v="14"/>
    <n v="3"/>
    <n v="3"/>
    <n v="5"/>
    <n v="4"/>
    <n v="1"/>
    <n v="4"/>
    <s v="OK"/>
    <s v="OK"/>
    <s v="OK"/>
    <s v="OK"/>
    <x v="16"/>
    <n v="0.8"/>
    <n v="0.6"/>
    <n v="0.8"/>
  </r>
  <r>
    <n v="42"/>
    <s v="No"/>
    <s v="Travel_Rarely"/>
    <n v="1396"/>
    <x v="1"/>
    <n v="6"/>
    <n v="3"/>
    <s v="Medical"/>
    <n v="1"/>
    <n v="1911"/>
    <n v="3"/>
    <s v="Male"/>
    <n v="83"/>
    <n v="3"/>
    <n v="3"/>
    <x v="7"/>
    <n v="1"/>
    <s v="Married"/>
    <n v="13348"/>
    <n v="14842"/>
    <n v="9"/>
    <s v="Y"/>
    <s v="No"/>
    <n v="13"/>
    <n v="3"/>
    <n v="2"/>
    <n v="80"/>
    <n v="1"/>
    <n v="18"/>
    <n v="3"/>
    <n v="4"/>
    <n v="13"/>
    <n v="7"/>
    <n v="5"/>
    <n v="7"/>
    <s v="OK"/>
    <s v="OK"/>
    <s v="OK"/>
    <s v="OK"/>
    <x v="102"/>
    <n v="0.53846153846153844"/>
    <n v="0.23076923076923078"/>
    <n v="0.53846153846153844"/>
  </r>
  <r>
    <n v="31"/>
    <s v="No"/>
    <s v="Travel_Rarely"/>
    <n v="1079"/>
    <x v="0"/>
    <n v="10"/>
    <n v="2"/>
    <s v="Medical"/>
    <n v="1"/>
    <n v="1912"/>
    <n v="3"/>
    <s v="Female"/>
    <n v="86"/>
    <n v="3"/>
    <n v="2"/>
    <x v="0"/>
    <n v="4"/>
    <s v="Divorced"/>
    <n v="6583"/>
    <n v="20115"/>
    <n v="2"/>
    <s v="Y"/>
    <s v="Yes"/>
    <n v="11"/>
    <n v="3"/>
    <n v="4"/>
    <n v="80"/>
    <n v="1"/>
    <n v="8"/>
    <n v="2"/>
    <n v="3"/>
    <n v="5"/>
    <n v="2"/>
    <n v="1"/>
    <n v="4"/>
    <s v="OK"/>
    <s v="OK"/>
    <s v="OK"/>
    <s v="OK"/>
    <x v="16"/>
    <n v="0.4"/>
    <n v="0.4"/>
    <n v="0.8"/>
  </r>
  <r>
    <n v="34"/>
    <s v="No"/>
    <s v="Travel_Rarely"/>
    <n v="735"/>
    <x v="0"/>
    <n v="3"/>
    <n v="1"/>
    <s v="Medical"/>
    <n v="1"/>
    <n v="1915"/>
    <n v="4"/>
    <s v="Female"/>
    <n v="75"/>
    <n v="2"/>
    <n v="2"/>
    <x v="0"/>
    <n v="4"/>
    <s v="Married"/>
    <n v="8103"/>
    <n v="16495"/>
    <n v="3"/>
    <s v="Y"/>
    <s v="Yes"/>
    <n v="12"/>
    <n v="3"/>
    <n v="3"/>
    <n v="80"/>
    <n v="0"/>
    <n v="9"/>
    <n v="3"/>
    <n v="2"/>
    <n v="4"/>
    <n v="2"/>
    <n v="0"/>
    <n v="1"/>
    <s v="OK"/>
    <s v="OK"/>
    <s v="OK"/>
    <s v="OK"/>
    <x v="0"/>
    <n v="0.5"/>
    <n v="0.75"/>
    <n v="0.25"/>
  </r>
  <r>
    <n v="31"/>
    <s v="No"/>
    <s v="Travel_Rarely"/>
    <n v="471"/>
    <x v="1"/>
    <n v="4"/>
    <n v="3"/>
    <s v="Medical"/>
    <n v="1"/>
    <n v="1916"/>
    <n v="1"/>
    <s v="Female"/>
    <n v="62"/>
    <n v="4"/>
    <n v="1"/>
    <x v="2"/>
    <n v="3"/>
    <s v="Divorced"/>
    <n v="3978"/>
    <n v="16031"/>
    <n v="8"/>
    <s v="Y"/>
    <s v="No"/>
    <n v="12"/>
    <n v="3"/>
    <n v="2"/>
    <n v="80"/>
    <n v="1"/>
    <n v="4"/>
    <n v="0"/>
    <n v="2"/>
    <n v="2"/>
    <n v="2"/>
    <n v="2"/>
    <n v="2"/>
    <s v="OK"/>
    <s v="OK"/>
    <s v="OK"/>
    <s v="OK"/>
    <x v="3"/>
    <n v="1"/>
    <n v="0"/>
    <n v="1"/>
  </r>
  <r>
    <n v="26"/>
    <s v="No"/>
    <s v="Travel_Frequently"/>
    <n v="1096"/>
    <x v="1"/>
    <n v="6"/>
    <n v="3"/>
    <s v="Other"/>
    <n v="1"/>
    <n v="1918"/>
    <n v="3"/>
    <s v="Male"/>
    <n v="61"/>
    <n v="4"/>
    <n v="1"/>
    <x v="2"/>
    <n v="4"/>
    <s v="Married"/>
    <n v="2544"/>
    <n v="7102"/>
    <n v="0"/>
    <s v="Y"/>
    <s v="No"/>
    <n v="18"/>
    <n v="3"/>
    <n v="1"/>
    <n v="80"/>
    <n v="1"/>
    <n v="8"/>
    <n v="3"/>
    <n v="3"/>
    <n v="7"/>
    <n v="7"/>
    <n v="7"/>
    <n v="7"/>
    <s v="OK"/>
    <s v="OK"/>
    <s v="OK"/>
    <s v="OK"/>
    <x v="3"/>
    <n v="1"/>
    <n v="0.42857142857142855"/>
    <n v="1"/>
  </r>
  <r>
    <n v="45"/>
    <s v="No"/>
    <s v="Travel_Frequently"/>
    <n v="1297"/>
    <x v="1"/>
    <n v="1"/>
    <n v="4"/>
    <s v="Medical"/>
    <n v="1"/>
    <n v="1922"/>
    <n v="2"/>
    <s v="Male"/>
    <n v="44"/>
    <n v="3"/>
    <n v="2"/>
    <x v="4"/>
    <n v="3"/>
    <s v="Single"/>
    <n v="5399"/>
    <n v="14511"/>
    <n v="4"/>
    <s v="Y"/>
    <s v="No"/>
    <n v="12"/>
    <n v="3"/>
    <n v="3"/>
    <n v="80"/>
    <n v="0"/>
    <n v="12"/>
    <n v="3"/>
    <n v="3"/>
    <n v="4"/>
    <n v="2"/>
    <n v="0"/>
    <n v="3"/>
    <s v="OK"/>
    <s v="OK"/>
    <s v="OK"/>
    <s v="OK"/>
    <x v="0"/>
    <n v="0.5"/>
    <n v="0.75"/>
    <n v="0.75"/>
  </r>
  <r>
    <n v="33"/>
    <s v="No"/>
    <s v="Travel_Rarely"/>
    <n v="217"/>
    <x v="0"/>
    <n v="10"/>
    <n v="4"/>
    <s v="Marketing"/>
    <n v="1"/>
    <n v="1924"/>
    <n v="2"/>
    <s v="Male"/>
    <n v="43"/>
    <n v="3"/>
    <n v="2"/>
    <x v="0"/>
    <n v="3"/>
    <s v="Single"/>
    <n v="5487"/>
    <n v="10410"/>
    <n v="1"/>
    <s v="Y"/>
    <s v="No"/>
    <n v="14"/>
    <n v="3"/>
    <n v="2"/>
    <n v="80"/>
    <n v="0"/>
    <n v="10"/>
    <n v="2"/>
    <n v="2"/>
    <n v="10"/>
    <n v="4"/>
    <n v="0"/>
    <n v="9"/>
    <s v="OK"/>
    <s v="OK"/>
    <s v="OK"/>
    <s v="OK"/>
    <x v="0"/>
    <n v="0.4"/>
    <n v="0.2"/>
    <n v="0.9"/>
  </r>
  <r>
    <n v="28"/>
    <s v="No"/>
    <s v="Travel_Frequently"/>
    <n v="783"/>
    <x v="0"/>
    <n v="1"/>
    <n v="2"/>
    <s v="Life Sciences"/>
    <n v="1"/>
    <n v="1927"/>
    <n v="3"/>
    <s v="Male"/>
    <n v="42"/>
    <n v="2"/>
    <n v="2"/>
    <x v="0"/>
    <n v="4"/>
    <s v="Married"/>
    <n v="6834"/>
    <n v="19255"/>
    <n v="1"/>
    <s v="Y"/>
    <s v="Yes"/>
    <n v="12"/>
    <n v="3"/>
    <n v="3"/>
    <n v="80"/>
    <n v="1"/>
    <n v="7"/>
    <n v="2"/>
    <n v="3"/>
    <n v="7"/>
    <n v="7"/>
    <n v="0"/>
    <n v="7"/>
    <s v="OK"/>
    <s v="OK"/>
    <s v="OK"/>
    <s v="OK"/>
    <x v="0"/>
    <n v="1"/>
    <n v="0.2857142857142857"/>
    <n v="1"/>
  </r>
  <r>
    <n v="29"/>
    <s v="Yes"/>
    <s v="Travel_Frequently"/>
    <n v="746"/>
    <x v="0"/>
    <n v="24"/>
    <n v="3"/>
    <s v="Technical Degree"/>
    <n v="1"/>
    <n v="1928"/>
    <n v="3"/>
    <s v="Male"/>
    <n v="45"/>
    <n v="4"/>
    <n v="1"/>
    <x v="6"/>
    <n v="1"/>
    <s v="Single"/>
    <n v="1091"/>
    <n v="10642"/>
    <n v="1"/>
    <s v="Y"/>
    <s v="No"/>
    <n v="17"/>
    <n v="3"/>
    <n v="4"/>
    <n v="80"/>
    <n v="0"/>
    <n v="1"/>
    <n v="3"/>
    <n v="3"/>
    <n v="1"/>
    <n v="0"/>
    <n v="0"/>
    <n v="0"/>
    <s v="OK"/>
    <s v="OK"/>
    <s v="OK"/>
    <s v="OK"/>
    <x v="0"/>
    <n v="0"/>
    <n v="3"/>
    <n v="0"/>
  </r>
  <r>
    <n v="39"/>
    <s v="No"/>
    <s v="Non-Travel"/>
    <n v="1251"/>
    <x v="0"/>
    <n v="21"/>
    <n v="4"/>
    <s v="Life Sciences"/>
    <n v="1"/>
    <n v="1929"/>
    <n v="1"/>
    <s v="Female"/>
    <n v="32"/>
    <n v="1"/>
    <n v="2"/>
    <x v="0"/>
    <n v="3"/>
    <s v="Married"/>
    <n v="5736"/>
    <n v="3987"/>
    <n v="6"/>
    <s v="Y"/>
    <s v="No"/>
    <n v="19"/>
    <n v="3"/>
    <n v="3"/>
    <n v="80"/>
    <n v="1"/>
    <n v="10"/>
    <n v="1"/>
    <n v="3"/>
    <n v="3"/>
    <n v="2"/>
    <n v="1"/>
    <n v="2"/>
    <s v="OK"/>
    <s v="OK"/>
    <s v="OK"/>
    <s v="OK"/>
    <x v="9"/>
    <n v="0.66666666666666663"/>
    <n v="0.33333333333333331"/>
    <n v="0.66666666666666663"/>
  </r>
  <r>
    <n v="27"/>
    <s v="No"/>
    <s v="Travel_Rarely"/>
    <n v="1354"/>
    <x v="1"/>
    <n v="2"/>
    <n v="4"/>
    <s v="Technical Degree"/>
    <n v="1"/>
    <n v="1931"/>
    <n v="2"/>
    <s v="Male"/>
    <n v="41"/>
    <n v="3"/>
    <n v="1"/>
    <x v="1"/>
    <n v="2"/>
    <s v="Married"/>
    <n v="2226"/>
    <n v="6073"/>
    <n v="1"/>
    <s v="Y"/>
    <s v="No"/>
    <n v="11"/>
    <n v="3"/>
    <n v="3"/>
    <n v="80"/>
    <n v="1"/>
    <n v="6"/>
    <n v="3"/>
    <n v="2"/>
    <n v="5"/>
    <n v="3"/>
    <n v="1"/>
    <n v="2"/>
    <s v="OK"/>
    <s v="OK"/>
    <s v="OK"/>
    <s v="OK"/>
    <x v="16"/>
    <n v="0.6"/>
    <n v="0.6"/>
    <n v="0.4"/>
  </r>
  <r>
    <n v="34"/>
    <s v="No"/>
    <s v="Travel_Frequently"/>
    <n v="735"/>
    <x v="1"/>
    <n v="22"/>
    <n v="4"/>
    <s v="Other"/>
    <n v="1"/>
    <n v="1932"/>
    <n v="3"/>
    <s v="Male"/>
    <n v="86"/>
    <n v="2"/>
    <n v="2"/>
    <x v="1"/>
    <n v="4"/>
    <s v="Married"/>
    <n v="5747"/>
    <n v="26496"/>
    <n v="1"/>
    <s v="Y"/>
    <s v="Yes"/>
    <n v="15"/>
    <n v="3"/>
    <n v="2"/>
    <n v="80"/>
    <n v="0"/>
    <n v="16"/>
    <n v="3"/>
    <n v="3"/>
    <n v="15"/>
    <n v="10"/>
    <n v="6"/>
    <n v="11"/>
    <s v="OK"/>
    <s v="OK"/>
    <s v="OK"/>
    <s v="OK"/>
    <x v="46"/>
    <n v="0.66666666666666663"/>
    <n v="0.2"/>
    <n v="0.73333333333333328"/>
  </r>
  <r>
    <n v="28"/>
    <s v="Yes"/>
    <s v="Travel_Rarely"/>
    <n v="1475"/>
    <x v="0"/>
    <n v="13"/>
    <n v="2"/>
    <s v="Marketing"/>
    <n v="1"/>
    <n v="1933"/>
    <n v="4"/>
    <s v="Female"/>
    <n v="84"/>
    <n v="3"/>
    <n v="2"/>
    <x v="0"/>
    <n v="3"/>
    <s v="Single"/>
    <n v="9854"/>
    <n v="23352"/>
    <n v="3"/>
    <s v="Y"/>
    <s v="Yes"/>
    <n v="11"/>
    <n v="3"/>
    <n v="4"/>
    <n v="80"/>
    <n v="0"/>
    <n v="6"/>
    <n v="0"/>
    <n v="3"/>
    <n v="2"/>
    <n v="0"/>
    <n v="2"/>
    <n v="2"/>
    <s v="OK"/>
    <s v="OK"/>
    <s v="OK"/>
    <s v="OK"/>
    <x v="3"/>
    <n v="0"/>
    <n v="0"/>
    <n v="1"/>
  </r>
  <r>
    <n v="47"/>
    <s v="No"/>
    <s v="Non-Travel"/>
    <n v="1169"/>
    <x v="1"/>
    <n v="14"/>
    <n v="4"/>
    <s v="Technical Degree"/>
    <n v="1"/>
    <n v="1934"/>
    <n v="3"/>
    <s v="Male"/>
    <n v="64"/>
    <n v="3"/>
    <n v="2"/>
    <x v="1"/>
    <n v="2"/>
    <s v="Married"/>
    <n v="5467"/>
    <n v="2125"/>
    <n v="8"/>
    <s v="Y"/>
    <s v="No"/>
    <n v="18"/>
    <n v="3"/>
    <n v="3"/>
    <n v="80"/>
    <n v="1"/>
    <n v="16"/>
    <n v="4"/>
    <n v="4"/>
    <n v="8"/>
    <n v="7"/>
    <n v="1"/>
    <n v="7"/>
    <s v="OK"/>
    <s v="OK"/>
    <s v="OK"/>
    <s v="OK"/>
    <x v="33"/>
    <n v="0.875"/>
    <n v="0.5"/>
    <n v="0.875"/>
  </r>
  <r>
    <n v="56"/>
    <s v="No"/>
    <s v="Travel_Rarely"/>
    <n v="1443"/>
    <x v="0"/>
    <n v="11"/>
    <n v="5"/>
    <s v="Marketing"/>
    <n v="1"/>
    <n v="1935"/>
    <n v="4"/>
    <s v="Female"/>
    <n v="89"/>
    <n v="2"/>
    <n v="2"/>
    <x v="0"/>
    <n v="1"/>
    <s v="Married"/>
    <n v="5380"/>
    <n v="20328"/>
    <n v="4"/>
    <s v="Y"/>
    <s v="No"/>
    <n v="16"/>
    <n v="3"/>
    <n v="3"/>
    <n v="80"/>
    <n v="1"/>
    <n v="6"/>
    <n v="3"/>
    <n v="3"/>
    <n v="0"/>
    <n v="0"/>
    <n v="0"/>
    <n v="0"/>
    <s v="OK"/>
    <s v="OK"/>
    <s v="OK"/>
    <s v="OK"/>
    <x v="0"/>
    <n v="0"/>
    <n v="0"/>
    <n v="0"/>
  </r>
  <r>
    <n v="39"/>
    <s v="No"/>
    <s v="Travel_Rarely"/>
    <n v="867"/>
    <x v="1"/>
    <n v="9"/>
    <n v="2"/>
    <s v="Medical"/>
    <n v="1"/>
    <n v="1936"/>
    <n v="1"/>
    <s v="Male"/>
    <n v="87"/>
    <n v="3"/>
    <n v="2"/>
    <x v="3"/>
    <n v="1"/>
    <s v="Married"/>
    <n v="5151"/>
    <n v="12315"/>
    <n v="1"/>
    <s v="Y"/>
    <s v="No"/>
    <n v="25"/>
    <n v="4"/>
    <n v="4"/>
    <n v="80"/>
    <n v="1"/>
    <n v="10"/>
    <n v="3"/>
    <n v="3"/>
    <n v="10"/>
    <n v="0"/>
    <n v="7"/>
    <n v="9"/>
    <s v="OK"/>
    <s v="OK"/>
    <s v="OK"/>
    <s v="OK"/>
    <x v="42"/>
    <n v="0"/>
    <n v="0.3"/>
    <n v="0.9"/>
  </r>
  <r>
    <n v="38"/>
    <s v="No"/>
    <s v="Travel_Frequently"/>
    <n v="1394"/>
    <x v="1"/>
    <n v="8"/>
    <n v="3"/>
    <s v="Medical"/>
    <n v="1"/>
    <n v="1937"/>
    <n v="4"/>
    <s v="Female"/>
    <n v="58"/>
    <n v="2"/>
    <n v="2"/>
    <x v="1"/>
    <n v="2"/>
    <s v="Divorced"/>
    <n v="2133"/>
    <n v="18115"/>
    <n v="1"/>
    <s v="Y"/>
    <s v="Yes"/>
    <n v="16"/>
    <n v="3"/>
    <n v="3"/>
    <n v="80"/>
    <n v="1"/>
    <n v="20"/>
    <n v="3"/>
    <n v="3"/>
    <n v="20"/>
    <n v="11"/>
    <n v="0"/>
    <n v="7"/>
    <s v="OK"/>
    <s v="OK"/>
    <s v="OK"/>
    <s v="OK"/>
    <x v="0"/>
    <n v="0.55000000000000004"/>
    <n v="0.15"/>
    <n v="0.35"/>
  </r>
  <r>
    <n v="58"/>
    <s v="No"/>
    <s v="Travel_Rarely"/>
    <n v="605"/>
    <x v="0"/>
    <n v="21"/>
    <n v="3"/>
    <s v="Life Sciences"/>
    <n v="1"/>
    <n v="1938"/>
    <n v="4"/>
    <s v="Female"/>
    <n v="72"/>
    <n v="3"/>
    <n v="4"/>
    <x v="5"/>
    <n v="4"/>
    <s v="Married"/>
    <n v="17875"/>
    <n v="11761"/>
    <n v="4"/>
    <s v="Y"/>
    <s v="Yes"/>
    <n v="13"/>
    <n v="3"/>
    <n v="3"/>
    <n v="80"/>
    <n v="1"/>
    <n v="29"/>
    <n v="2"/>
    <n v="2"/>
    <n v="1"/>
    <n v="0"/>
    <n v="0"/>
    <n v="0"/>
    <s v="OK"/>
    <s v="OK"/>
    <s v="OK"/>
    <s v="OK"/>
    <x v="0"/>
    <n v="0"/>
    <n v="2"/>
    <n v="0"/>
  </r>
  <r>
    <n v="32"/>
    <s v="Yes"/>
    <s v="Travel_Frequently"/>
    <n v="238"/>
    <x v="1"/>
    <n v="5"/>
    <n v="2"/>
    <s v="Life Sciences"/>
    <n v="1"/>
    <n v="1939"/>
    <n v="1"/>
    <s v="Female"/>
    <n v="47"/>
    <n v="4"/>
    <n v="1"/>
    <x v="1"/>
    <n v="3"/>
    <s v="Single"/>
    <n v="2432"/>
    <n v="15318"/>
    <n v="3"/>
    <s v="Y"/>
    <s v="Yes"/>
    <n v="14"/>
    <n v="3"/>
    <n v="1"/>
    <n v="80"/>
    <n v="0"/>
    <n v="8"/>
    <n v="2"/>
    <n v="3"/>
    <n v="4"/>
    <n v="1"/>
    <n v="0"/>
    <n v="3"/>
    <s v="OK"/>
    <s v="OK"/>
    <s v="OK"/>
    <s v="OK"/>
    <x v="0"/>
    <n v="0.25"/>
    <n v="0.5"/>
    <n v="0.75"/>
  </r>
  <r>
    <n v="38"/>
    <s v="No"/>
    <s v="Travel_Rarely"/>
    <n v="1206"/>
    <x v="1"/>
    <n v="9"/>
    <n v="2"/>
    <s v="Life Sciences"/>
    <n v="1"/>
    <n v="1940"/>
    <n v="2"/>
    <s v="Male"/>
    <n v="71"/>
    <n v="3"/>
    <n v="1"/>
    <x v="1"/>
    <n v="4"/>
    <s v="Divorced"/>
    <n v="4771"/>
    <n v="14293"/>
    <n v="2"/>
    <s v="Y"/>
    <s v="No"/>
    <n v="19"/>
    <n v="3"/>
    <n v="4"/>
    <n v="80"/>
    <n v="2"/>
    <n v="10"/>
    <n v="0"/>
    <n v="4"/>
    <n v="5"/>
    <n v="2"/>
    <n v="0"/>
    <n v="3"/>
    <s v="OK"/>
    <s v="OK"/>
    <s v="OK"/>
    <s v="OK"/>
    <x v="0"/>
    <n v="0.4"/>
    <n v="0"/>
    <n v="0.6"/>
  </r>
  <r>
    <n v="49"/>
    <s v="No"/>
    <s v="Travel_Frequently"/>
    <n v="1064"/>
    <x v="1"/>
    <n v="2"/>
    <n v="1"/>
    <s v="Life Sciences"/>
    <n v="1"/>
    <n v="1941"/>
    <n v="2"/>
    <s v="Male"/>
    <n v="42"/>
    <n v="3"/>
    <n v="5"/>
    <x v="7"/>
    <n v="4"/>
    <s v="Married"/>
    <n v="19161"/>
    <n v="13738"/>
    <n v="3"/>
    <s v="Y"/>
    <s v="No"/>
    <n v="15"/>
    <n v="3"/>
    <n v="4"/>
    <n v="80"/>
    <n v="0"/>
    <n v="28"/>
    <n v="3"/>
    <n v="3"/>
    <n v="5"/>
    <n v="4"/>
    <n v="4"/>
    <n v="3"/>
    <s v="OK"/>
    <s v="OK"/>
    <s v="OK"/>
    <s v="OK"/>
    <x v="6"/>
    <n v="0.8"/>
    <n v="0.6"/>
    <n v="0.6"/>
  </r>
  <r>
    <n v="42"/>
    <s v="No"/>
    <s v="Travel_Rarely"/>
    <n v="419"/>
    <x v="0"/>
    <n v="12"/>
    <n v="4"/>
    <s v="Marketing"/>
    <n v="1"/>
    <n v="1943"/>
    <n v="2"/>
    <s v="Male"/>
    <n v="77"/>
    <n v="3"/>
    <n v="2"/>
    <x v="0"/>
    <n v="4"/>
    <s v="Divorced"/>
    <n v="5087"/>
    <n v="2900"/>
    <n v="3"/>
    <s v="Y"/>
    <s v="Yes"/>
    <n v="12"/>
    <n v="3"/>
    <n v="3"/>
    <n v="80"/>
    <n v="2"/>
    <n v="14"/>
    <n v="4"/>
    <n v="3"/>
    <n v="0"/>
    <n v="0"/>
    <n v="0"/>
    <n v="0"/>
    <s v="OK"/>
    <s v="OK"/>
    <s v="OK"/>
    <s v="OK"/>
    <x v="0"/>
    <n v="0"/>
    <n v="0"/>
    <n v="0"/>
  </r>
  <r>
    <n v="27"/>
    <s v="Yes"/>
    <s v="Travel_Frequently"/>
    <n v="1337"/>
    <x v="2"/>
    <n v="22"/>
    <n v="3"/>
    <s v="Human Resources"/>
    <n v="1"/>
    <n v="1944"/>
    <n v="1"/>
    <s v="Female"/>
    <n v="58"/>
    <n v="2"/>
    <n v="1"/>
    <x v="8"/>
    <n v="2"/>
    <s v="Married"/>
    <n v="2863"/>
    <n v="19555"/>
    <n v="1"/>
    <s v="Y"/>
    <s v="No"/>
    <n v="12"/>
    <n v="3"/>
    <n v="1"/>
    <n v="80"/>
    <n v="0"/>
    <n v="1"/>
    <n v="2"/>
    <n v="3"/>
    <n v="1"/>
    <n v="0"/>
    <n v="0"/>
    <n v="0"/>
    <s v="OK"/>
    <s v="OK"/>
    <s v="OK"/>
    <s v="OK"/>
    <x v="0"/>
    <n v="0"/>
    <n v="2"/>
    <n v="0"/>
  </r>
  <r>
    <n v="35"/>
    <s v="No"/>
    <s v="Travel_Rarely"/>
    <n v="682"/>
    <x v="0"/>
    <n v="18"/>
    <n v="4"/>
    <s v="Medical"/>
    <n v="1"/>
    <n v="1945"/>
    <n v="2"/>
    <s v="Male"/>
    <n v="71"/>
    <n v="3"/>
    <n v="2"/>
    <x v="0"/>
    <n v="1"/>
    <s v="Married"/>
    <n v="5561"/>
    <n v="15975"/>
    <n v="0"/>
    <s v="Y"/>
    <s v="No"/>
    <n v="16"/>
    <n v="3"/>
    <n v="4"/>
    <n v="80"/>
    <n v="1"/>
    <n v="6"/>
    <n v="2"/>
    <n v="1"/>
    <n v="5"/>
    <n v="3"/>
    <n v="0"/>
    <n v="4"/>
    <s v="OK"/>
    <s v="OK"/>
    <s v="OK"/>
    <s v="OK"/>
    <x v="0"/>
    <n v="0.6"/>
    <n v="0.4"/>
    <n v="0.8"/>
  </r>
  <r>
    <n v="28"/>
    <s v="No"/>
    <s v="Non-Travel"/>
    <n v="1103"/>
    <x v="1"/>
    <n v="16"/>
    <n v="3"/>
    <s v="Medical"/>
    <n v="1"/>
    <n v="1947"/>
    <n v="3"/>
    <s v="Male"/>
    <n v="49"/>
    <n v="3"/>
    <n v="1"/>
    <x v="1"/>
    <n v="3"/>
    <s v="Single"/>
    <n v="2144"/>
    <n v="2122"/>
    <n v="1"/>
    <s v="Y"/>
    <s v="No"/>
    <n v="14"/>
    <n v="3"/>
    <n v="3"/>
    <n v="80"/>
    <n v="0"/>
    <n v="5"/>
    <n v="3"/>
    <n v="2"/>
    <n v="5"/>
    <n v="3"/>
    <n v="1"/>
    <n v="4"/>
    <s v="OK"/>
    <s v="OK"/>
    <s v="OK"/>
    <s v="OK"/>
    <x v="16"/>
    <n v="0.6"/>
    <n v="0.6"/>
    <n v="0.8"/>
  </r>
  <r>
    <n v="31"/>
    <s v="No"/>
    <s v="Non-Travel"/>
    <n v="976"/>
    <x v="1"/>
    <n v="3"/>
    <n v="2"/>
    <s v="Medical"/>
    <n v="1"/>
    <n v="1948"/>
    <n v="3"/>
    <s v="Male"/>
    <n v="48"/>
    <n v="3"/>
    <n v="1"/>
    <x v="1"/>
    <n v="1"/>
    <s v="Divorced"/>
    <n v="3065"/>
    <n v="3995"/>
    <n v="1"/>
    <s v="Y"/>
    <s v="Yes"/>
    <n v="13"/>
    <n v="3"/>
    <n v="4"/>
    <n v="80"/>
    <n v="1"/>
    <n v="4"/>
    <n v="3"/>
    <n v="4"/>
    <n v="4"/>
    <n v="2"/>
    <n v="2"/>
    <n v="3"/>
    <s v="OK"/>
    <s v="OK"/>
    <s v="OK"/>
    <s v="OK"/>
    <x v="7"/>
    <n v="0.5"/>
    <n v="0.75"/>
    <n v="0.75"/>
  </r>
  <r>
    <n v="36"/>
    <s v="No"/>
    <s v="Non-Travel"/>
    <n v="1351"/>
    <x v="1"/>
    <n v="9"/>
    <n v="4"/>
    <s v="Life Sciences"/>
    <n v="1"/>
    <n v="1949"/>
    <n v="1"/>
    <s v="Male"/>
    <n v="66"/>
    <n v="4"/>
    <n v="1"/>
    <x v="2"/>
    <n v="2"/>
    <s v="Married"/>
    <n v="2810"/>
    <n v="9238"/>
    <n v="1"/>
    <s v="Y"/>
    <s v="No"/>
    <n v="22"/>
    <n v="4"/>
    <n v="2"/>
    <n v="80"/>
    <n v="0"/>
    <n v="5"/>
    <n v="3"/>
    <n v="3"/>
    <n v="5"/>
    <n v="4"/>
    <n v="0"/>
    <n v="2"/>
    <s v="OK"/>
    <s v="OK"/>
    <s v="OK"/>
    <s v="OK"/>
    <x v="0"/>
    <n v="0.8"/>
    <n v="0.6"/>
    <n v="0.4"/>
  </r>
  <r>
    <n v="34"/>
    <s v="No"/>
    <s v="Travel_Rarely"/>
    <n v="937"/>
    <x v="0"/>
    <n v="1"/>
    <n v="3"/>
    <s v="Marketing"/>
    <n v="1"/>
    <n v="1950"/>
    <n v="1"/>
    <s v="Male"/>
    <n v="32"/>
    <n v="3"/>
    <n v="3"/>
    <x v="0"/>
    <n v="4"/>
    <s v="Single"/>
    <n v="9888"/>
    <n v="6770"/>
    <n v="1"/>
    <s v="Y"/>
    <s v="No"/>
    <n v="21"/>
    <n v="4"/>
    <n v="1"/>
    <n v="80"/>
    <n v="0"/>
    <n v="14"/>
    <n v="3"/>
    <n v="2"/>
    <n v="14"/>
    <n v="8"/>
    <n v="2"/>
    <n v="1"/>
    <s v="OK"/>
    <s v="OK"/>
    <s v="OK"/>
    <s v="OK"/>
    <x v="20"/>
    <n v="0.5714285714285714"/>
    <n v="0.21428571428571427"/>
    <n v="7.1428571428571425E-2"/>
  </r>
  <r>
    <n v="34"/>
    <s v="No"/>
    <s v="Travel_Rarely"/>
    <n v="1239"/>
    <x v="0"/>
    <n v="13"/>
    <n v="4"/>
    <s v="Medical"/>
    <n v="1"/>
    <n v="1951"/>
    <n v="4"/>
    <s v="Male"/>
    <n v="39"/>
    <n v="3"/>
    <n v="3"/>
    <x v="0"/>
    <n v="3"/>
    <s v="Divorced"/>
    <n v="8628"/>
    <n v="22914"/>
    <n v="1"/>
    <s v="Y"/>
    <s v="No"/>
    <n v="18"/>
    <n v="3"/>
    <n v="3"/>
    <n v="80"/>
    <n v="1"/>
    <n v="9"/>
    <n v="2"/>
    <n v="2"/>
    <n v="8"/>
    <n v="7"/>
    <n v="1"/>
    <n v="1"/>
    <s v="OK"/>
    <s v="OK"/>
    <s v="OK"/>
    <s v="OK"/>
    <x v="33"/>
    <n v="0.875"/>
    <n v="0.25"/>
    <n v="0.125"/>
  </r>
  <r>
    <n v="26"/>
    <s v="No"/>
    <s v="Travel_Rarely"/>
    <n v="157"/>
    <x v="1"/>
    <n v="1"/>
    <n v="3"/>
    <s v="Medical"/>
    <n v="1"/>
    <n v="1952"/>
    <n v="3"/>
    <s v="Male"/>
    <n v="95"/>
    <n v="3"/>
    <n v="1"/>
    <x v="2"/>
    <n v="1"/>
    <s v="Single"/>
    <n v="2867"/>
    <n v="20006"/>
    <n v="0"/>
    <s v="Y"/>
    <s v="No"/>
    <n v="13"/>
    <n v="3"/>
    <n v="4"/>
    <n v="80"/>
    <n v="0"/>
    <n v="8"/>
    <n v="6"/>
    <n v="2"/>
    <n v="7"/>
    <n v="7"/>
    <n v="7"/>
    <n v="6"/>
    <s v="OK"/>
    <s v="OK"/>
    <s v="OK"/>
    <s v="OK"/>
    <x v="3"/>
    <n v="1"/>
    <n v="0.8571428571428571"/>
    <n v="0.8571428571428571"/>
  </r>
  <r>
    <n v="29"/>
    <s v="No"/>
    <s v="Travel_Rarely"/>
    <n v="136"/>
    <x v="1"/>
    <n v="1"/>
    <n v="3"/>
    <s v="Life Sciences"/>
    <n v="1"/>
    <n v="1954"/>
    <n v="1"/>
    <s v="Male"/>
    <n v="89"/>
    <n v="3"/>
    <n v="2"/>
    <x v="4"/>
    <n v="1"/>
    <s v="Married"/>
    <n v="5373"/>
    <n v="6225"/>
    <n v="0"/>
    <s v="Y"/>
    <s v="No"/>
    <n v="12"/>
    <n v="3"/>
    <n v="1"/>
    <n v="80"/>
    <n v="1"/>
    <n v="6"/>
    <n v="5"/>
    <n v="2"/>
    <n v="5"/>
    <n v="3"/>
    <n v="0"/>
    <n v="2"/>
    <s v="OK"/>
    <s v="OK"/>
    <s v="OK"/>
    <s v="OK"/>
    <x v="0"/>
    <n v="0.6"/>
    <n v="1"/>
    <n v="0.4"/>
  </r>
  <r>
    <n v="32"/>
    <s v="No"/>
    <s v="Non-Travel"/>
    <n v="1146"/>
    <x v="1"/>
    <n v="15"/>
    <n v="4"/>
    <s v="Medical"/>
    <n v="1"/>
    <n v="1955"/>
    <n v="3"/>
    <s v="Female"/>
    <n v="34"/>
    <n v="3"/>
    <n v="2"/>
    <x v="4"/>
    <n v="4"/>
    <s v="Divorced"/>
    <n v="6667"/>
    <n v="16542"/>
    <n v="5"/>
    <s v="Y"/>
    <s v="No"/>
    <n v="18"/>
    <n v="3"/>
    <n v="2"/>
    <n v="80"/>
    <n v="1"/>
    <n v="9"/>
    <n v="6"/>
    <n v="3"/>
    <n v="5"/>
    <n v="1"/>
    <n v="1"/>
    <n v="2"/>
    <s v="OK"/>
    <s v="OK"/>
    <s v="OK"/>
    <s v="OK"/>
    <x v="16"/>
    <n v="0.2"/>
    <n v="1.2"/>
    <n v="0.4"/>
  </r>
  <r>
    <n v="31"/>
    <s v="No"/>
    <s v="Travel_Frequently"/>
    <n v="1125"/>
    <x v="1"/>
    <n v="1"/>
    <n v="3"/>
    <s v="Life Sciences"/>
    <n v="1"/>
    <n v="1956"/>
    <n v="4"/>
    <s v="Male"/>
    <n v="48"/>
    <n v="1"/>
    <n v="2"/>
    <x v="1"/>
    <n v="1"/>
    <s v="Married"/>
    <n v="5003"/>
    <n v="5771"/>
    <n v="1"/>
    <s v="Y"/>
    <s v="No"/>
    <n v="21"/>
    <n v="4"/>
    <n v="2"/>
    <n v="80"/>
    <n v="0"/>
    <n v="10"/>
    <n v="6"/>
    <n v="3"/>
    <n v="10"/>
    <n v="8"/>
    <n v="8"/>
    <n v="7"/>
    <s v="OK"/>
    <s v="OK"/>
    <s v="OK"/>
    <s v="OK"/>
    <x v="6"/>
    <n v="0.8"/>
    <n v="0.6"/>
    <n v="0.7"/>
  </r>
  <r>
    <n v="28"/>
    <s v="Yes"/>
    <s v="Travel_Rarely"/>
    <n v="1404"/>
    <x v="1"/>
    <n v="17"/>
    <n v="3"/>
    <s v="Technical Degree"/>
    <n v="1"/>
    <n v="1960"/>
    <n v="3"/>
    <s v="Male"/>
    <n v="32"/>
    <n v="2"/>
    <n v="1"/>
    <x v="2"/>
    <n v="4"/>
    <s v="Divorced"/>
    <n v="2367"/>
    <n v="18779"/>
    <n v="5"/>
    <s v="Y"/>
    <s v="No"/>
    <n v="12"/>
    <n v="3"/>
    <n v="1"/>
    <n v="80"/>
    <n v="1"/>
    <n v="6"/>
    <n v="2"/>
    <n v="2"/>
    <n v="4"/>
    <n v="1"/>
    <n v="0"/>
    <n v="3"/>
    <s v="OK"/>
    <s v="OK"/>
    <s v="OK"/>
    <s v="OK"/>
    <x v="0"/>
    <n v="0.25"/>
    <n v="0.5"/>
    <n v="0.75"/>
  </r>
  <r>
    <n v="38"/>
    <s v="No"/>
    <s v="Travel_Rarely"/>
    <n v="1404"/>
    <x v="0"/>
    <n v="1"/>
    <n v="3"/>
    <s v="Life Sciences"/>
    <n v="1"/>
    <n v="1961"/>
    <n v="1"/>
    <s v="Male"/>
    <n v="59"/>
    <n v="2"/>
    <n v="1"/>
    <x v="6"/>
    <n v="1"/>
    <s v="Single"/>
    <n v="2858"/>
    <n v="11473"/>
    <n v="4"/>
    <s v="Y"/>
    <s v="No"/>
    <n v="14"/>
    <n v="3"/>
    <n v="1"/>
    <n v="80"/>
    <n v="0"/>
    <n v="20"/>
    <n v="3"/>
    <n v="2"/>
    <n v="1"/>
    <n v="0"/>
    <n v="0"/>
    <n v="0"/>
    <s v="OK"/>
    <s v="OK"/>
    <s v="OK"/>
    <s v="OK"/>
    <x v="0"/>
    <n v="0"/>
    <n v="3"/>
    <n v="0"/>
  </r>
  <r>
    <n v="35"/>
    <s v="No"/>
    <s v="Travel_Rarely"/>
    <n v="1224"/>
    <x v="0"/>
    <n v="7"/>
    <n v="4"/>
    <s v="Life Sciences"/>
    <n v="1"/>
    <n v="1962"/>
    <n v="3"/>
    <s v="Female"/>
    <n v="55"/>
    <n v="3"/>
    <n v="2"/>
    <x v="0"/>
    <n v="4"/>
    <s v="Married"/>
    <n v="5204"/>
    <n v="13586"/>
    <n v="1"/>
    <s v="Y"/>
    <s v="Yes"/>
    <n v="11"/>
    <n v="3"/>
    <n v="4"/>
    <n v="80"/>
    <n v="0"/>
    <n v="10"/>
    <n v="2"/>
    <n v="3"/>
    <n v="10"/>
    <n v="8"/>
    <n v="0"/>
    <n v="9"/>
    <s v="OK"/>
    <s v="OK"/>
    <s v="OK"/>
    <s v="OK"/>
    <x v="0"/>
    <n v="0.8"/>
    <n v="0.2"/>
    <n v="0.9"/>
  </r>
  <r>
    <n v="27"/>
    <s v="No"/>
    <s v="Travel_Rarely"/>
    <n v="954"/>
    <x v="0"/>
    <n v="9"/>
    <n v="3"/>
    <s v="Marketing"/>
    <n v="1"/>
    <n v="1965"/>
    <n v="4"/>
    <s v="Male"/>
    <n v="44"/>
    <n v="3"/>
    <n v="2"/>
    <x v="0"/>
    <n v="4"/>
    <s v="Single"/>
    <n v="4105"/>
    <n v="5099"/>
    <n v="1"/>
    <s v="Y"/>
    <s v="No"/>
    <n v="14"/>
    <n v="3"/>
    <n v="1"/>
    <n v="80"/>
    <n v="0"/>
    <n v="7"/>
    <n v="5"/>
    <n v="3"/>
    <n v="7"/>
    <n v="7"/>
    <n v="0"/>
    <n v="7"/>
    <s v="OK"/>
    <s v="OK"/>
    <s v="OK"/>
    <s v="OK"/>
    <x v="0"/>
    <n v="1"/>
    <n v="0.7142857142857143"/>
    <n v="1"/>
  </r>
  <r>
    <n v="32"/>
    <s v="No"/>
    <s v="Travel_Rarely"/>
    <n v="1373"/>
    <x v="1"/>
    <n v="5"/>
    <n v="4"/>
    <s v="Life Sciences"/>
    <n v="1"/>
    <n v="1966"/>
    <n v="4"/>
    <s v="Male"/>
    <n v="56"/>
    <n v="2"/>
    <n v="2"/>
    <x v="3"/>
    <n v="4"/>
    <s v="Single"/>
    <n v="9679"/>
    <n v="10138"/>
    <n v="8"/>
    <s v="Y"/>
    <s v="No"/>
    <n v="24"/>
    <n v="4"/>
    <n v="2"/>
    <n v="80"/>
    <n v="0"/>
    <n v="8"/>
    <n v="1"/>
    <n v="3"/>
    <n v="1"/>
    <n v="0"/>
    <n v="0"/>
    <n v="0"/>
    <s v="OK"/>
    <s v="OK"/>
    <s v="OK"/>
    <s v="OK"/>
    <x v="0"/>
    <n v="0"/>
    <n v="1"/>
    <n v="0"/>
  </r>
  <r>
    <n v="31"/>
    <s v="Yes"/>
    <s v="Travel_Frequently"/>
    <n v="754"/>
    <x v="0"/>
    <n v="26"/>
    <n v="4"/>
    <s v="Marketing"/>
    <n v="1"/>
    <n v="1967"/>
    <n v="1"/>
    <s v="Male"/>
    <n v="63"/>
    <n v="3"/>
    <n v="2"/>
    <x v="0"/>
    <n v="4"/>
    <s v="Married"/>
    <n v="5617"/>
    <n v="21075"/>
    <n v="1"/>
    <s v="Y"/>
    <s v="Yes"/>
    <n v="11"/>
    <n v="3"/>
    <n v="3"/>
    <n v="80"/>
    <n v="0"/>
    <n v="10"/>
    <n v="4"/>
    <n v="3"/>
    <n v="10"/>
    <n v="7"/>
    <n v="0"/>
    <n v="8"/>
    <s v="OK"/>
    <s v="OK"/>
    <s v="OK"/>
    <s v="OK"/>
    <x v="0"/>
    <n v="0.7"/>
    <n v="0.4"/>
    <n v="0.8"/>
  </r>
  <r>
    <n v="53"/>
    <s v="Yes"/>
    <s v="Travel_Rarely"/>
    <n v="1168"/>
    <x v="0"/>
    <n v="24"/>
    <n v="4"/>
    <s v="Life Sciences"/>
    <n v="1"/>
    <n v="1968"/>
    <n v="1"/>
    <s v="Male"/>
    <n v="66"/>
    <n v="3"/>
    <n v="3"/>
    <x v="0"/>
    <n v="1"/>
    <s v="Single"/>
    <n v="10448"/>
    <n v="5843"/>
    <n v="6"/>
    <s v="Y"/>
    <s v="Yes"/>
    <n v="13"/>
    <n v="3"/>
    <n v="2"/>
    <n v="80"/>
    <n v="0"/>
    <n v="15"/>
    <n v="2"/>
    <n v="2"/>
    <n v="2"/>
    <n v="2"/>
    <n v="2"/>
    <n v="2"/>
    <s v="OK"/>
    <s v="OK"/>
    <s v="OK"/>
    <s v="OK"/>
    <x v="3"/>
    <n v="1"/>
    <n v="1"/>
    <n v="1"/>
  </r>
  <r>
    <n v="54"/>
    <s v="No"/>
    <s v="Travel_Rarely"/>
    <n v="155"/>
    <x v="1"/>
    <n v="9"/>
    <n v="2"/>
    <s v="Life Sciences"/>
    <n v="1"/>
    <n v="1969"/>
    <n v="1"/>
    <s v="Female"/>
    <n v="67"/>
    <n v="3"/>
    <n v="2"/>
    <x v="1"/>
    <n v="3"/>
    <s v="Married"/>
    <n v="2897"/>
    <n v="22474"/>
    <n v="3"/>
    <s v="Y"/>
    <s v="No"/>
    <n v="11"/>
    <n v="3"/>
    <n v="3"/>
    <n v="80"/>
    <n v="2"/>
    <n v="9"/>
    <n v="6"/>
    <n v="2"/>
    <n v="4"/>
    <n v="3"/>
    <n v="2"/>
    <n v="3"/>
    <s v="OK"/>
    <s v="OK"/>
    <s v="OK"/>
    <s v="OK"/>
    <x v="7"/>
    <n v="0.75"/>
    <n v="1.5"/>
    <n v="0.75"/>
  </r>
  <r>
    <n v="33"/>
    <s v="No"/>
    <s v="Travel_Frequently"/>
    <n v="1303"/>
    <x v="1"/>
    <n v="7"/>
    <n v="2"/>
    <s v="Life Sciences"/>
    <n v="1"/>
    <n v="1970"/>
    <n v="4"/>
    <s v="Male"/>
    <n v="36"/>
    <n v="3"/>
    <n v="2"/>
    <x v="4"/>
    <n v="3"/>
    <s v="Divorced"/>
    <n v="5968"/>
    <n v="18079"/>
    <n v="1"/>
    <s v="Y"/>
    <s v="No"/>
    <n v="20"/>
    <n v="4"/>
    <n v="3"/>
    <n v="80"/>
    <n v="3"/>
    <n v="9"/>
    <n v="2"/>
    <n v="3"/>
    <n v="9"/>
    <n v="7"/>
    <n v="2"/>
    <n v="8"/>
    <s v="OK"/>
    <s v="OK"/>
    <s v="OK"/>
    <s v="OK"/>
    <x v="36"/>
    <n v="0.77777777777777779"/>
    <n v="0.22222222222222221"/>
    <n v="0.88888888888888884"/>
  </r>
  <r>
    <n v="43"/>
    <s v="No"/>
    <s v="Travel_Rarely"/>
    <n v="574"/>
    <x v="1"/>
    <n v="11"/>
    <n v="3"/>
    <s v="Life Sciences"/>
    <n v="1"/>
    <n v="1971"/>
    <n v="1"/>
    <s v="Male"/>
    <n v="30"/>
    <n v="3"/>
    <n v="3"/>
    <x v="4"/>
    <n v="3"/>
    <s v="Married"/>
    <n v="7510"/>
    <n v="16873"/>
    <n v="1"/>
    <s v="Y"/>
    <s v="No"/>
    <n v="17"/>
    <n v="3"/>
    <n v="2"/>
    <n v="80"/>
    <n v="1"/>
    <n v="10"/>
    <n v="1"/>
    <n v="3"/>
    <n v="10"/>
    <n v="9"/>
    <n v="0"/>
    <n v="9"/>
    <s v="OK"/>
    <s v="OK"/>
    <s v="OK"/>
    <s v="OK"/>
    <x v="0"/>
    <n v="0.9"/>
    <n v="0.1"/>
    <n v="0.9"/>
  </r>
  <r>
    <n v="38"/>
    <s v="No"/>
    <s v="Travel_Frequently"/>
    <n v="1444"/>
    <x v="2"/>
    <n v="1"/>
    <n v="4"/>
    <s v="Other"/>
    <n v="1"/>
    <n v="1972"/>
    <n v="4"/>
    <s v="Male"/>
    <n v="88"/>
    <n v="3"/>
    <n v="1"/>
    <x v="8"/>
    <n v="2"/>
    <s v="Married"/>
    <n v="2991"/>
    <n v="5224"/>
    <n v="0"/>
    <s v="Y"/>
    <s v="Yes"/>
    <n v="11"/>
    <n v="3"/>
    <n v="2"/>
    <n v="80"/>
    <n v="1"/>
    <n v="7"/>
    <n v="2"/>
    <n v="3"/>
    <n v="6"/>
    <n v="2"/>
    <n v="1"/>
    <n v="2"/>
    <s v="OK"/>
    <s v="OK"/>
    <s v="OK"/>
    <s v="OK"/>
    <x v="11"/>
    <n v="0.33333333333333331"/>
    <n v="0.33333333333333331"/>
    <n v="0.33333333333333331"/>
  </r>
  <r>
    <n v="55"/>
    <s v="No"/>
    <s v="Travel_Rarely"/>
    <n v="189"/>
    <x v="2"/>
    <n v="26"/>
    <n v="4"/>
    <s v="Human Resources"/>
    <n v="1"/>
    <n v="1973"/>
    <n v="3"/>
    <s v="Male"/>
    <n v="71"/>
    <n v="4"/>
    <n v="5"/>
    <x v="5"/>
    <n v="2"/>
    <s v="Married"/>
    <n v="19636"/>
    <n v="25811"/>
    <n v="4"/>
    <s v="Y"/>
    <s v="Yes"/>
    <n v="18"/>
    <n v="3"/>
    <n v="1"/>
    <n v="80"/>
    <n v="1"/>
    <n v="35"/>
    <n v="0"/>
    <n v="3"/>
    <n v="10"/>
    <n v="9"/>
    <n v="1"/>
    <n v="4"/>
    <s v="OK"/>
    <s v="OK"/>
    <s v="OK"/>
    <s v="OK"/>
    <x v="1"/>
    <n v="0.9"/>
    <n v="0"/>
    <n v="0.4"/>
  </r>
  <r>
    <n v="31"/>
    <s v="No"/>
    <s v="Travel_Rarely"/>
    <n v="1276"/>
    <x v="1"/>
    <n v="2"/>
    <n v="1"/>
    <s v="Medical"/>
    <n v="1"/>
    <n v="1974"/>
    <n v="4"/>
    <s v="Female"/>
    <n v="59"/>
    <n v="1"/>
    <n v="1"/>
    <x v="2"/>
    <n v="4"/>
    <s v="Divorced"/>
    <n v="1129"/>
    <n v="17536"/>
    <n v="1"/>
    <s v="Y"/>
    <s v="Yes"/>
    <n v="11"/>
    <n v="3"/>
    <n v="3"/>
    <n v="80"/>
    <n v="3"/>
    <n v="1"/>
    <n v="4"/>
    <n v="3"/>
    <n v="1"/>
    <n v="0"/>
    <n v="0"/>
    <n v="0"/>
    <s v="OK"/>
    <s v="OK"/>
    <s v="OK"/>
    <s v="OK"/>
    <x v="0"/>
    <n v="0"/>
    <n v="4"/>
    <n v="0"/>
  </r>
  <r>
    <n v="39"/>
    <s v="No"/>
    <s v="Travel_Rarely"/>
    <n v="119"/>
    <x v="0"/>
    <n v="15"/>
    <n v="4"/>
    <s v="Marketing"/>
    <n v="1"/>
    <n v="1975"/>
    <n v="2"/>
    <s v="Male"/>
    <n v="77"/>
    <n v="3"/>
    <n v="4"/>
    <x v="0"/>
    <n v="1"/>
    <s v="Single"/>
    <n v="13341"/>
    <n v="25098"/>
    <n v="0"/>
    <s v="Y"/>
    <s v="No"/>
    <n v="12"/>
    <n v="3"/>
    <n v="1"/>
    <n v="80"/>
    <n v="0"/>
    <n v="21"/>
    <n v="3"/>
    <n v="3"/>
    <n v="20"/>
    <n v="8"/>
    <n v="11"/>
    <n v="10"/>
    <s v="OK"/>
    <s v="OK"/>
    <s v="OK"/>
    <s v="OK"/>
    <x v="47"/>
    <n v="0.4"/>
    <n v="0.15"/>
    <n v="0.5"/>
  </r>
  <r>
    <n v="42"/>
    <s v="No"/>
    <s v="Non-Travel"/>
    <n v="335"/>
    <x v="1"/>
    <n v="23"/>
    <n v="2"/>
    <s v="Life Sciences"/>
    <n v="1"/>
    <n v="1976"/>
    <n v="4"/>
    <s v="Male"/>
    <n v="37"/>
    <n v="2"/>
    <n v="2"/>
    <x v="1"/>
    <n v="3"/>
    <s v="Single"/>
    <n v="4332"/>
    <n v="14811"/>
    <n v="1"/>
    <s v="Y"/>
    <s v="No"/>
    <n v="12"/>
    <n v="3"/>
    <n v="4"/>
    <n v="80"/>
    <n v="0"/>
    <n v="20"/>
    <n v="2"/>
    <n v="3"/>
    <n v="20"/>
    <n v="9"/>
    <n v="3"/>
    <n v="7"/>
    <s v="OK"/>
    <s v="OK"/>
    <s v="OK"/>
    <s v="OK"/>
    <x v="72"/>
    <n v="0.45"/>
    <n v="0.1"/>
    <n v="0.35"/>
  </r>
  <r>
    <n v="31"/>
    <s v="No"/>
    <s v="Non-Travel"/>
    <n v="697"/>
    <x v="1"/>
    <n v="10"/>
    <n v="3"/>
    <s v="Medical"/>
    <n v="1"/>
    <n v="1979"/>
    <n v="3"/>
    <s v="Female"/>
    <n v="40"/>
    <n v="3"/>
    <n v="3"/>
    <x v="7"/>
    <n v="3"/>
    <s v="Married"/>
    <n v="11031"/>
    <n v="26862"/>
    <n v="4"/>
    <s v="Y"/>
    <s v="No"/>
    <n v="20"/>
    <n v="4"/>
    <n v="3"/>
    <n v="80"/>
    <n v="1"/>
    <n v="13"/>
    <n v="2"/>
    <n v="4"/>
    <n v="11"/>
    <n v="7"/>
    <n v="4"/>
    <n v="8"/>
    <s v="OK"/>
    <s v="OK"/>
    <s v="OK"/>
    <s v="OK"/>
    <x v="40"/>
    <n v="0.63636363636363635"/>
    <n v="0.18181818181818182"/>
    <n v="0.72727272727272729"/>
  </r>
  <r>
    <n v="54"/>
    <s v="No"/>
    <s v="Travel_Rarely"/>
    <n v="157"/>
    <x v="1"/>
    <n v="10"/>
    <n v="3"/>
    <s v="Medical"/>
    <n v="1"/>
    <n v="1980"/>
    <n v="3"/>
    <s v="Female"/>
    <n v="77"/>
    <n v="3"/>
    <n v="2"/>
    <x v="3"/>
    <n v="1"/>
    <s v="Single"/>
    <n v="4440"/>
    <n v="25198"/>
    <n v="6"/>
    <s v="Y"/>
    <s v="Yes"/>
    <n v="19"/>
    <n v="3"/>
    <n v="4"/>
    <n v="80"/>
    <n v="0"/>
    <n v="9"/>
    <n v="3"/>
    <n v="3"/>
    <n v="5"/>
    <n v="2"/>
    <n v="1"/>
    <n v="4"/>
    <s v="OK"/>
    <s v="OK"/>
    <s v="OK"/>
    <s v="OK"/>
    <x v="16"/>
    <n v="0.4"/>
    <n v="0.6"/>
    <n v="0.8"/>
  </r>
  <r>
    <n v="24"/>
    <s v="No"/>
    <s v="Travel_Rarely"/>
    <n v="771"/>
    <x v="1"/>
    <n v="1"/>
    <n v="2"/>
    <s v="Life Sciences"/>
    <n v="1"/>
    <n v="1981"/>
    <n v="2"/>
    <s v="Male"/>
    <n v="45"/>
    <n v="2"/>
    <n v="2"/>
    <x v="4"/>
    <n v="3"/>
    <s v="Single"/>
    <n v="4617"/>
    <n v="14120"/>
    <n v="1"/>
    <s v="Y"/>
    <s v="No"/>
    <n v="12"/>
    <n v="3"/>
    <n v="2"/>
    <n v="80"/>
    <n v="0"/>
    <n v="4"/>
    <n v="2"/>
    <n v="2"/>
    <n v="4"/>
    <n v="3"/>
    <n v="1"/>
    <n v="2"/>
    <s v="OK"/>
    <s v="OK"/>
    <s v="OK"/>
    <s v="OK"/>
    <x v="10"/>
    <n v="0.75"/>
    <n v="0.5"/>
    <n v="0.5"/>
  </r>
  <r>
    <n v="23"/>
    <s v="No"/>
    <s v="Travel_Rarely"/>
    <n v="571"/>
    <x v="1"/>
    <n v="12"/>
    <n v="2"/>
    <s v="Other"/>
    <n v="1"/>
    <n v="1982"/>
    <n v="4"/>
    <s v="Male"/>
    <n v="78"/>
    <n v="3"/>
    <n v="1"/>
    <x v="2"/>
    <n v="4"/>
    <s v="Single"/>
    <n v="2647"/>
    <n v="13672"/>
    <n v="1"/>
    <s v="Y"/>
    <s v="No"/>
    <n v="13"/>
    <n v="3"/>
    <n v="3"/>
    <n v="80"/>
    <n v="0"/>
    <n v="5"/>
    <n v="6"/>
    <n v="4"/>
    <n v="5"/>
    <n v="2"/>
    <n v="1"/>
    <n v="4"/>
    <s v="OK"/>
    <s v="OK"/>
    <s v="OK"/>
    <s v="OK"/>
    <x v="16"/>
    <n v="0.4"/>
    <n v="1.2"/>
    <n v="0.8"/>
  </r>
  <r>
    <n v="40"/>
    <s v="No"/>
    <s v="Travel_Frequently"/>
    <n v="692"/>
    <x v="1"/>
    <n v="11"/>
    <n v="3"/>
    <s v="Technical Degree"/>
    <n v="1"/>
    <n v="1985"/>
    <n v="4"/>
    <s v="Female"/>
    <n v="73"/>
    <n v="3"/>
    <n v="2"/>
    <x v="2"/>
    <n v="3"/>
    <s v="Married"/>
    <n v="6323"/>
    <n v="26849"/>
    <n v="1"/>
    <s v="Y"/>
    <s v="No"/>
    <n v="11"/>
    <n v="3"/>
    <n v="1"/>
    <n v="80"/>
    <n v="1"/>
    <n v="10"/>
    <n v="2"/>
    <n v="4"/>
    <n v="10"/>
    <n v="9"/>
    <n v="9"/>
    <n v="4"/>
    <s v="OK"/>
    <s v="OK"/>
    <s v="OK"/>
    <s v="OK"/>
    <x v="22"/>
    <n v="0.9"/>
    <n v="0.2"/>
    <n v="0.4"/>
  </r>
  <r>
    <n v="40"/>
    <s v="No"/>
    <s v="Travel_Rarely"/>
    <n v="444"/>
    <x v="0"/>
    <n v="2"/>
    <n v="2"/>
    <s v="Marketing"/>
    <n v="1"/>
    <n v="1986"/>
    <n v="2"/>
    <s v="Female"/>
    <n v="92"/>
    <n v="3"/>
    <n v="2"/>
    <x v="0"/>
    <n v="2"/>
    <s v="Married"/>
    <n v="5677"/>
    <n v="4258"/>
    <n v="3"/>
    <s v="Y"/>
    <s v="No"/>
    <n v="14"/>
    <n v="3"/>
    <n v="3"/>
    <n v="80"/>
    <n v="1"/>
    <n v="15"/>
    <n v="4"/>
    <n v="3"/>
    <n v="11"/>
    <n v="8"/>
    <n v="5"/>
    <n v="10"/>
    <s v="OK"/>
    <s v="OK"/>
    <s v="OK"/>
    <s v="OK"/>
    <x v="31"/>
    <n v="0.72727272727272729"/>
    <n v="0.36363636363636365"/>
    <n v="0.90909090909090906"/>
  </r>
  <r>
    <n v="25"/>
    <s v="No"/>
    <s v="Travel_Rarely"/>
    <n v="309"/>
    <x v="2"/>
    <n v="2"/>
    <n v="3"/>
    <s v="Human Resources"/>
    <n v="1"/>
    <n v="1987"/>
    <n v="3"/>
    <s v="Female"/>
    <n v="82"/>
    <n v="3"/>
    <n v="1"/>
    <x v="8"/>
    <n v="2"/>
    <s v="Married"/>
    <n v="2187"/>
    <n v="19655"/>
    <n v="4"/>
    <s v="Y"/>
    <s v="No"/>
    <n v="14"/>
    <n v="3"/>
    <n v="3"/>
    <n v="80"/>
    <n v="0"/>
    <n v="6"/>
    <n v="3"/>
    <n v="3"/>
    <n v="2"/>
    <n v="0"/>
    <n v="1"/>
    <n v="2"/>
    <s v="OK"/>
    <s v="OK"/>
    <s v="OK"/>
    <s v="OK"/>
    <x v="7"/>
    <n v="0"/>
    <n v="1.5"/>
    <n v="1"/>
  </r>
  <r>
    <n v="30"/>
    <s v="No"/>
    <s v="Travel_Rarely"/>
    <n v="911"/>
    <x v="1"/>
    <n v="1"/>
    <n v="2"/>
    <s v="Medical"/>
    <n v="1"/>
    <n v="1989"/>
    <n v="4"/>
    <s v="Male"/>
    <n v="76"/>
    <n v="3"/>
    <n v="1"/>
    <x v="2"/>
    <n v="2"/>
    <s v="Married"/>
    <n v="3748"/>
    <n v="4077"/>
    <n v="1"/>
    <s v="Y"/>
    <s v="No"/>
    <n v="13"/>
    <n v="3"/>
    <n v="3"/>
    <n v="80"/>
    <n v="0"/>
    <n v="12"/>
    <n v="6"/>
    <n v="2"/>
    <n v="12"/>
    <n v="8"/>
    <n v="1"/>
    <n v="7"/>
    <s v="OK"/>
    <s v="OK"/>
    <s v="OK"/>
    <s v="OK"/>
    <x v="45"/>
    <n v="0.66666666666666663"/>
    <n v="0.5"/>
    <n v="0.58333333333333337"/>
  </r>
  <r>
    <n v="25"/>
    <s v="No"/>
    <s v="Travel_Rarely"/>
    <n v="977"/>
    <x v="1"/>
    <n v="2"/>
    <n v="1"/>
    <s v="Other"/>
    <n v="1"/>
    <n v="1992"/>
    <n v="4"/>
    <s v="Male"/>
    <n v="57"/>
    <n v="3"/>
    <n v="1"/>
    <x v="2"/>
    <n v="3"/>
    <s v="Divorced"/>
    <n v="3977"/>
    <n v="7298"/>
    <n v="6"/>
    <s v="Y"/>
    <s v="Yes"/>
    <n v="19"/>
    <n v="3"/>
    <n v="3"/>
    <n v="80"/>
    <n v="1"/>
    <n v="7"/>
    <n v="2"/>
    <n v="2"/>
    <n v="2"/>
    <n v="2"/>
    <n v="0"/>
    <n v="2"/>
    <s v="OK"/>
    <s v="OK"/>
    <s v="OK"/>
    <s v="OK"/>
    <x v="0"/>
    <n v="1"/>
    <n v="1"/>
    <n v="1"/>
  </r>
  <r>
    <n v="47"/>
    <s v="No"/>
    <s v="Travel_Rarely"/>
    <n v="1180"/>
    <x v="1"/>
    <n v="25"/>
    <n v="3"/>
    <s v="Medical"/>
    <n v="1"/>
    <n v="1993"/>
    <n v="1"/>
    <s v="Male"/>
    <n v="84"/>
    <n v="3"/>
    <n v="3"/>
    <x v="4"/>
    <n v="3"/>
    <s v="Single"/>
    <n v="8633"/>
    <n v="13084"/>
    <n v="2"/>
    <s v="Y"/>
    <s v="No"/>
    <n v="23"/>
    <n v="4"/>
    <n v="2"/>
    <n v="80"/>
    <n v="0"/>
    <n v="25"/>
    <n v="3"/>
    <n v="3"/>
    <n v="17"/>
    <n v="14"/>
    <n v="12"/>
    <n v="11"/>
    <s v="OK"/>
    <s v="OK"/>
    <s v="OK"/>
    <s v="OK"/>
    <x v="24"/>
    <n v="0.82352941176470584"/>
    <n v="0.17647058823529413"/>
    <n v="0.6470588235294118"/>
  </r>
  <r>
    <n v="33"/>
    <s v="No"/>
    <s v="Non-Travel"/>
    <n v="1313"/>
    <x v="1"/>
    <n v="1"/>
    <n v="2"/>
    <s v="Medical"/>
    <n v="1"/>
    <n v="1994"/>
    <n v="2"/>
    <s v="Male"/>
    <n v="59"/>
    <n v="2"/>
    <n v="1"/>
    <x v="2"/>
    <n v="3"/>
    <s v="Divorced"/>
    <n v="2008"/>
    <n v="20439"/>
    <n v="1"/>
    <s v="Y"/>
    <s v="No"/>
    <n v="12"/>
    <n v="3"/>
    <n v="3"/>
    <n v="80"/>
    <n v="3"/>
    <n v="1"/>
    <n v="2"/>
    <n v="2"/>
    <n v="1"/>
    <n v="1"/>
    <n v="0"/>
    <n v="0"/>
    <s v="OK"/>
    <s v="OK"/>
    <s v="OK"/>
    <s v="OK"/>
    <x v="0"/>
    <n v="1"/>
    <n v="2"/>
    <n v="0"/>
  </r>
  <r>
    <n v="38"/>
    <s v="No"/>
    <s v="Travel_Rarely"/>
    <n v="1321"/>
    <x v="0"/>
    <n v="1"/>
    <n v="4"/>
    <s v="Life Sciences"/>
    <n v="1"/>
    <n v="1995"/>
    <n v="4"/>
    <s v="Male"/>
    <n v="86"/>
    <n v="3"/>
    <n v="2"/>
    <x v="0"/>
    <n v="2"/>
    <s v="Married"/>
    <n v="4440"/>
    <n v="7636"/>
    <n v="0"/>
    <s v="Y"/>
    <s v="No"/>
    <n v="15"/>
    <n v="3"/>
    <n v="1"/>
    <n v="80"/>
    <n v="2"/>
    <n v="16"/>
    <n v="3"/>
    <n v="3"/>
    <n v="15"/>
    <n v="13"/>
    <n v="5"/>
    <n v="8"/>
    <s v="OK"/>
    <s v="OK"/>
    <s v="OK"/>
    <s v="OK"/>
    <x v="9"/>
    <n v="0.8666666666666667"/>
    <n v="0.2"/>
    <n v="0.53333333333333333"/>
  </r>
  <r>
    <n v="31"/>
    <s v="No"/>
    <s v="Travel_Rarely"/>
    <n v="1154"/>
    <x v="0"/>
    <n v="2"/>
    <n v="2"/>
    <s v="Life Sciences"/>
    <n v="1"/>
    <n v="1996"/>
    <n v="1"/>
    <s v="Male"/>
    <n v="54"/>
    <n v="3"/>
    <n v="1"/>
    <x v="6"/>
    <n v="3"/>
    <s v="Married"/>
    <n v="3067"/>
    <n v="6393"/>
    <n v="0"/>
    <s v="Y"/>
    <s v="No"/>
    <n v="19"/>
    <n v="3"/>
    <n v="3"/>
    <n v="80"/>
    <n v="1"/>
    <n v="3"/>
    <n v="1"/>
    <n v="3"/>
    <n v="2"/>
    <n v="2"/>
    <n v="1"/>
    <n v="2"/>
    <s v="OK"/>
    <s v="OK"/>
    <s v="OK"/>
    <s v="OK"/>
    <x v="7"/>
    <n v="1"/>
    <n v="0.5"/>
    <n v="1"/>
  </r>
  <r>
    <n v="38"/>
    <s v="No"/>
    <s v="Travel_Frequently"/>
    <n v="508"/>
    <x v="1"/>
    <n v="6"/>
    <n v="4"/>
    <s v="Life Sciences"/>
    <n v="1"/>
    <n v="1997"/>
    <n v="1"/>
    <s v="Male"/>
    <n v="72"/>
    <n v="2"/>
    <n v="2"/>
    <x v="3"/>
    <n v="3"/>
    <s v="Married"/>
    <n v="5321"/>
    <n v="14284"/>
    <n v="2"/>
    <s v="Y"/>
    <s v="No"/>
    <n v="11"/>
    <n v="3"/>
    <n v="4"/>
    <n v="80"/>
    <n v="1"/>
    <n v="10"/>
    <n v="1"/>
    <n v="3"/>
    <n v="8"/>
    <n v="3"/>
    <n v="7"/>
    <n v="7"/>
    <s v="OK"/>
    <s v="OK"/>
    <s v="OK"/>
    <s v="OK"/>
    <x v="43"/>
    <n v="0.375"/>
    <n v="0.125"/>
    <n v="0.875"/>
  </r>
  <r>
    <n v="42"/>
    <s v="No"/>
    <s v="Travel_Rarely"/>
    <n v="557"/>
    <x v="1"/>
    <n v="18"/>
    <n v="4"/>
    <s v="Life Sciences"/>
    <n v="1"/>
    <n v="1998"/>
    <n v="4"/>
    <s v="Male"/>
    <n v="35"/>
    <n v="3"/>
    <n v="2"/>
    <x v="1"/>
    <n v="1"/>
    <s v="Divorced"/>
    <n v="5410"/>
    <n v="11189"/>
    <n v="6"/>
    <s v="Y"/>
    <s v="Yes"/>
    <n v="17"/>
    <n v="3"/>
    <n v="3"/>
    <n v="80"/>
    <n v="1"/>
    <n v="9"/>
    <n v="3"/>
    <n v="2"/>
    <n v="4"/>
    <n v="3"/>
    <n v="1"/>
    <n v="2"/>
    <s v="OK"/>
    <s v="OK"/>
    <s v="OK"/>
    <s v="OK"/>
    <x v="10"/>
    <n v="0.75"/>
    <n v="0.75"/>
    <n v="0.5"/>
  </r>
  <r>
    <n v="41"/>
    <s v="No"/>
    <s v="Travel_Rarely"/>
    <n v="642"/>
    <x v="1"/>
    <n v="1"/>
    <n v="3"/>
    <s v="Life Sciences"/>
    <n v="1"/>
    <n v="1999"/>
    <n v="4"/>
    <s v="Male"/>
    <n v="76"/>
    <n v="3"/>
    <n v="1"/>
    <x v="1"/>
    <n v="4"/>
    <s v="Married"/>
    <n v="2782"/>
    <n v="21412"/>
    <n v="3"/>
    <s v="Y"/>
    <s v="No"/>
    <n v="22"/>
    <n v="4"/>
    <n v="1"/>
    <n v="80"/>
    <n v="1"/>
    <n v="12"/>
    <n v="3"/>
    <n v="3"/>
    <n v="5"/>
    <n v="3"/>
    <n v="1"/>
    <n v="0"/>
    <s v="OK"/>
    <s v="OK"/>
    <s v="OK"/>
    <s v="OK"/>
    <x v="16"/>
    <n v="0.6"/>
    <n v="0.6"/>
    <n v="0"/>
  </r>
  <r>
    <n v="47"/>
    <s v="No"/>
    <s v="Non-Travel"/>
    <n v="1162"/>
    <x v="1"/>
    <n v="1"/>
    <n v="1"/>
    <s v="Medical"/>
    <n v="1"/>
    <n v="2000"/>
    <n v="3"/>
    <s v="Female"/>
    <n v="98"/>
    <n v="3"/>
    <n v="3"/>
    <x v="7"/>
    <n v="2"/>
    <s v="Married"/>
    <n v="11957"/>
    <n v="17231"/>
    <n v="0"/>
    <s v="Y"/>
    <s v="No"/>
    <n v="18"/>
    <n v="3"/>
    <n v="1"/>
    <n v="80"/>
    <n v="2"/>
    <n v="14"/>
    <n v="3"/>
    <n v="1"/>
    <n v="13"/>
    <n v="8"/>
    <n v="5"/>
    <n v="12"/>
    <s v="OK"/>
    <s v="OK"/>
    <s v="OK"/>
    <s v="OK"/>
    <x v="102"/>
    <n v="0.61538461538461542"/>
    <n v="0.23076923076923078"/>
    <n v="0.92307692307692313"/>
  </r>
  <r>
    <n v="35"/>
    <s v="No"/>
    <s v="Travel_Rarely"/>
    <n v="1490"/>
    <x v="1"/>
    <n v="11"/>
    <n v="4"/>
    <s v="Medical"/>
    <n v="1"/>
    <n v="2003"/>
    <n v="4"/>
    <s v="Male"/>
    <n v="43"/>
    <n v="3"/>
    <n v="1"/>
    <x v="2"/>
    <n v="3"/>
    <s v="Married"/>
    <n v="2660"/>
    <n v="20232"/>
    <n v="7"/>
    <s v="Y"/>
    <s v="Yes"/>
    <n v="11"/>
    <n v="3"/>
    <n v="3"/>
    <n v="80"/>
    <n v="1"/>
    <n v="5"/>
    <n v="3"/>
    <n v="3"/>
    <n v="2"/>
    <n v="2"/>
    <n v="2"/>
    <n v="2"/>
    <s v="OK"/>
    <s v="OK"/>
    <s v="OK"/>
    <s v="OK"/>
    <x v="3"/>
    <n v="1"/>
    <n v="1.5"/>
    <n v="1"/>
  </r>
  <r>
    <n v="22"/>
    <s v="No"/>
    <s v="Travel_Rarely"/>
    <n v="581"/>
    <x v="1"/>
    <n v="1"/>
    <n v="2"/>
    <s v="Life Sciences"/>
    <n v="1"/>
    <n v="2007"/>
    <n v="4"/>
    <s v="Male"/>
    <n v="63"/>
    <n v="3"/>
    <n v="1"/>
    <x v="1"/>
    <n v="3"/>
    <s v="Single"/>
    <n v="3375"/>
    <n v="17624"/>
    <n v="0"/>
    <s v="Y"/>
    <s v="No"/>
    <n v="12"/>
    <n v="3"/>
    <n v="4"/>
    <n v="80"/>
    <n v="0"/>
    <n v="4"/>
    <n v="2"/>
    <n v="4"/>
    <n v="3"/>
    <n v="2"/>
    <n v="1"/>
    <n v="2"/>
    <s v="OK"/>
    <s v="OK"/>
    <s v="OK"/>
    <s v="OK"/>
    <x v="9"/>
    <n v="0.66666666666666663"/>
    <n v="0.66666666666666663"/>
    <n v="0.66666666666666663"/>
  </r>
  <r>
    <n v="35"/>
    <s v="No"/>
    <s v="Travel_Rarely"/>
    <n v="1395"/>
    <x v="1"/>
    <n v="9"/>
    <n v="4"/>
    <s v="Medical"/>
    <n v="1"/>
    <n v="2008"/>
    <n v="2"/>
    <s v="Male"/>
    <n v="48"/>
    <n v="3"/>
    <n v="2"/>
    <x v="1"/>
    <n v="3"/>
    <s v="Single"/>
    <n v="5098"/>
    <n v="18698"/>
    <n v="1"/>
    <s v="Y"/>
    <s v="No"/>
    <n v="19"/>
    <n v="3"/>
    <n v="2"/>
    <n v="80"/>
    <n v="0"/>
    <n v="10"/>
    <n v="5"/>
    <n v="3"/>
    <n v="10"/>
    <n v="7"/>
    <n v="0"/>
    <n v="8"/>
    <s v="OK"/>
    <s v="OK"/>
    <s v="OK"/>
    <s v="OK"/>
    <x v="0"/>
    <n v="0.7"/>
    <n v="0.5"/>
    <n v="0.8"/>
  </r>
  <r>
    <n v="33"/>
    <s v="No"/>
    <s v="Travel_Rarely"/>
    <n v="501"/>
    <x v="1"/>
    <n v="15"/>
    <n v="2"/>
    <s v="Medical"/>
    <n v="1"/>
    <n v="2009"/>
    <n v="2"/>
    <s v="Female"/>
    <n v="95"/>
    <n v="3"/>
    <n v="2"/>
    <x v="4"/>
    <n v="4"/>
    <s v="Married"/>
    <n v="4878"/>
    <n v="21653"/>
    <n v="0"/>
    <s v="Y"/>
    <s v="Yes"/>
    <n v="13"/>
    <n v="3"/>
    <n v="1"/>
    <n v="80"/>
    <n v="1"/>
    <n v="10"/>
    <n v="6"/>
    <n v="3"/>
    <n v="9"/>
    <n v="7"/>
    <n v="8"/>
    <n v="1"/>
    <s v="OK"/>
    <s v="OK"/>
    <s v="OK"/>
    <s v="OK"/>
    <x v="18"/>
    <n v="0.77777777777777779"/>
    <n v="0.66666666666666663"/>
    <n v="0.1111111111111111"/>
  </r>
  <r>
    <n v="32"/>
    <s v="No"/>
    <s v="Travel_Rarely"/>
    <n v="267"/>
    <x v="1"/>
    <n v="29"/>
    <n v="4"/>
    <s v="Life Sciences"/>
    <n v="1"/>
    <n v="2010"/>
    <n v="3"/>
    <s v="Female"/>
    <n v="49"/>
    <n v="2"/>
    <n v="1"/>
    <x v="2"/>
    <n v="2"/>
    <s v="Single"/>
    <n v="2837"/>
    <n v="15919"/>
    <n v="1"/>
    <s v="Y"/>
    <s v="No"/>
    <n v="13"/>
    <n v="3"/>
    <n v="3"/>
    <n v="80"/>
    <n v="0"/>
    <n v="6"/>
    <n v="3"/>
    <n v="3"/>
    <n v="6"/>
    <n v="2"/>
    <n v="4"/>
    <n v="1"/>
    <s v="OK"/>
    <s v="OK"/>
    <s v="OK"/>
    <s v="OK"/>
    <x v="34"/>
    <n v="0.33333333333333331"/>
    <n v="0.5"/>
    <n v="0.16666666666666666"/>
  </r>
  <r>
    <n v="40"/>
    <s v="No"/>
    <s v="Travel_Rarely"/>
    <n v="543"/>
    <x v="1"/>
    <n v="1"/>
    <n v="4"/>
    <s v="Life Sciences"/>
    <n v="1"/>
    <n v="2012"/>
    <n v="1"/>
    <s v="Male"/>
    <n v="83"/>
    <n v="3"/>
    <n v="1"/>
    <x v="2"/>
    <n v="4"/>
    <s v="Married"/>
    <n v="2406"/>
    <n v="4060"/>
    <n v="8"/>
    <s v="Y"/>
    <s v="No"/>
    <n v="19"/>
    <n v="3"/>
    <n v="3"/>
    <n v="80"/>
    <n v="2"/>
    <n v="8"/>
    <n v="3"/>
    <n v="2"/>
    <n v="1"/>
    <n v="0"/>
    <n v="0"/>
    <n v="0"/>
    <s v="OK"/>
    <s v="OK"/>
    <s v="OK"/>
    <s v="OK"/>
    <x v="0"/>
    <n v="0"/>
    <n v="3"/>
    <n v="0"/>
  </r>
  <r>
    <n v="32"/>
    <s v="No"/>
    <s v="Travel_Rarely"/>
    <n v="234"/>
    <x v="0"/>
    <n v="1"/>
    <n v="4"/>
    <s v="Medical"/>
    <n v="1"/>
    <n v="2013"/>
    <n v="2"/>
    <s v="Male"/>
    <n v="68"/>
    <n v="2"/>
    <n v="1"/>
    <x v="6"/>
    <n v="2"/>
    <s v="Married"/>
    <n v="2269"/>
    <n v="18024"/>
    <n v="0"/>
    <s v="Y"/>
    <s v="No"/>
    <n v="14"/>
    <n v="3"/>
    <n v="2"/>
    <n v="80"/>
    <n v="1"/>
    <n v="3"/>
    <n v="2"/>
    <n v="3"/>
    <n v="2"/>
    <n v="2"/>
    <n v="2"/>
    <n v="2"/>
    <s v="OK"/>
    <s v="OK"/>
    <s v="OK"/>
    <s v="OK"/>
    <x v="3"/>
    <n v="1"/>
    <n v="1"/>
    <n v="1"/>
  </r>
  <r>
    <n v="39"/>
    <s v="No"/>
    <s v="Travel_Rarely"/>
    <n v="116"/>
    <x v="1"/>
    <n v="24"/>
    <n v="1"/>
    <s v="Life Sciences"/>
    <n v="1"/>
    <n v="2014"/>
    <n v="1"/>
    <s v="Male"/>
    <n v="52"/>
    <n v="3"/>
    <n v="2"/>
    <x v="1"/>
    <n v="4"/>
    <s v="Single"/>
    <n v="4108"/>
    <n v="5340"/>
    <n v="7"/>
    <s v="Y"/>
    <s v="No"/>
    <n v="13"/>
    <n v="3"/>
    <n v="1"/>
    <n v="80"/>
    <n v="0"/>
    <n v="18"/>
    <n v="2"/>
    <n v="3"/>
    <n v="7"/>
    <n v="7"/>
    <n v="1"/>
    <n v="7"/>
    <s v="OK"/>
    <s v="OK"/>
    <s v="OK"/>
    <s v="OK"/>
    <x v="20"/>
    <n v="1"/>
    <n v="0.2857142857142857"/>
    <n v="1"/>
  </r>
  <r>
    <n v="38"/>
    <s v="No"/>
    <s v="Travel_Rarely"/>
    <n v="201"/>
    <x v="1"/>
    <n v="10"/>
    <n v="3"/>
    <s v="Medical"/>
    <n v="1"/>
    <n v="2015"/>
    <n v="2"/>
    <s v="Female"/>
    <n v="99"/>
    <n v="1"/>
    <n v="3"/>
    <x v="7"/>
    <n v="3"/>
    <s v="Married"/>
    <n v="13206"/>
    <n v="3376"/>
    <n v="3"/>
    <s v="Y"/>
    <s v="No"/>
    <n v="12"/>
    <n v="3"/>
    <n v="1"/>
    <n v="80"/>
    <n v="1"/>
    <n v="20"/>
    <n v="3"/>
    <n v="3"/>
    <n v="18"/>
    <n v="16"/>
    <n v="1"/>
    <n v="11"/>
    <s v="OK"/>
    <s v="OK"/>
    <s v="OK"/>
    <s v="OK"/>
    <x v="73"/>
    <n v="0.88888888888888884"/>
    <n v="0.16666666666666666"/>
    <n v="0.61111111111111116"/>
  </r>
  <r>
    <n v="32"/>
    <s v="No"/>
    <s v="Travel_Rarely"/>
    <n v="801"/>
    <x v="0"/>
    <n v="1"/>
    <n v="4"/>
    <s v="Marketing"/>
    <n v="1"/>
    <n v="2016"/>
    <n v="3"/>
    <s v="Female"/>
    <n v="48"/>
    <n v="3"/>
    <n v="3"/>
    <x v="0"/>
    <n v="4"/>
    <s v="Married"/>
    <n v="10422"/>
    <n v="24032"/>
    <n v="1"/>
    <s v="Y"/>
    <s v="No"/>
    <n v="19"/>
    <n v="3"/>
    <n v="3"/>
    <n v="80"/>
    <n v="2"/>
    <n v="14"/>
    <n v="3"/>
    <n v="3"/>
    <n v="14"/>
    <n v="10"/>
    <n v="5"/>
    <n v="7"/>
    <s v="OK"/>
    <s v="OK"/>
    <s v="OK"/>
    <s v="OK"/>
    <x v="111"/>
    <n v="0.7142857142857143"/>
    <n v="0.21428571428571427"/>
    <n v="0.5"/>
  </r>
  <r>
    <n v="37"/>
    <s v="No"/>
    <s v="Travel_Rarely"/>
    <n v="161"/>
    <x v="1"/>
    <n v="10"/>
    <n v="3"/>
    <s v="Life Sciences"/>
    <n v="1"/>
    <n v="2017"/>
    <n v="3"/>
    <s v="Female"/>
    <n v="42"/>
    <n v="4"/>
    <n v="3"/>
    <x v="7"/>
    <n v="4"/>
    <s v="Married"/>
    <n v="13744"/>
    <n v="15471"/>
    <n v="1"/>
    <s v="Y"/>
    <s v="Yes"/>
    <n v="25"/>
    <n v="4"/>
    <n v="1"/>
    <n v="80"/>
    <n v="1"/>
    <n v="16"/>
    <n v="2"/>
    <n v="3"/>
    <n v="16"/>
    <n v="11"/>
    <n v="6"/>
    <n v="8"/>
    <s v="OK"/>
    <s v="OK"/>
    <s v="OK"/>
    <s v="OK"/>
    <x v="2"/>
    <n v="0.6875"/>
    <n v="0.125"/>
    <n v="0.5"/>
  </r>
  <r>
    <n v="25"/>
    <s v="No"/>
    <s v="Travel_Rarely"/>
    <n v="1382"/>
    <x v="0"/>
    <n v="8"/>
    <n v="2"/>
    <s v="Other"/>
    <n v="1"/>
    <n v="2018"/>
    <n v="1"/>
    <s v="Female"/>
    <n v="85"/>
    <n v="3"/>
    <n v="2"/>
    <x v="0"/>
    <n v="3"/>
    <s v="Divorced"/>
    <n v="4907"/>
    <n v="13684"/>
    <n v="0"/>
    <s v="Y"/>
    <s v="Yes"/>
    <n v="22"/>
    <n v="4"/>
    <n v="2"/>
    <n v="80"/>
    <n v="1"/>
    <n v="6"/>
    <n v="3"/>
    <n v="2"/>
    <n v="5"/>
    <n v="3"/>
    <n v="0"/>
    <n v="4"/>
    <s v="OK"/>
    <s v="OK"/>
    <s v="OK"/>
    <s v="OK"/>
    <x v="0"/>
    <n v="0.6"/>
    <n v="0.6"/>
    <n v="0.8"/>
  </r>
  <r>
    <n v="52"/>
    <s v="No"/>
    <s v="Non-Travel"/>
    <n v="585"/>
    <x v="0"/>
    <n v="29"/>
    <n v="4"/>
    <s v="Life Sciences"/>
    <n v="1"/>
    <n v="2019"/>
    <n v="1"/>
    <s v="Male"/>
    <n v="40"/>
    <n v="3"/>
    <n v="1"/>
    <x v="6"/>
    <n v="4"/>
    <s v="Divorced"/>
    <n v="3482"/>
    <n v="19788"/>
    <n v="2"/>
    <s v="Y"/>
    <s v="No"/>
    <n v="15"/>
    <n v="3"/>
    <n v="2"/>
    <n v="80"/>
    <n v="2"/>
    <n v="16"/>
    <n v="3"/>
    <n v="2"/>
    <n v="9"/>
    <n v="8"/>
    <n v="0"/>
    <n v="0"/>
    <s v="OK"/>
    <s v="OK"/>
    <s v="OK"/>
    <s v="OK"/>
    <x v="0"/>
    <n v="0.88888888888888884"/>
    <n v="0.33333333333333331"/>
    <n v="0"/>
  </r>
  <r>
    <n v="44"/>
    <s v="No"/>
    <s v="Travel_Rarely"/>
    <n v="1037"/>
    <x v="1"/>
    <n v="1"/>
    <n v="3"/>
    <s v="Medical"/>
    <n v="1"/>
    <n v="2020"/>
    <n v="2"/>
    <s v="Male"/>
    <n v="42"/>
    <n v="3"/>
    <n v="1"/>
    <x v="1"/>
    <n v="4"/>
    <s v="Single"/>
    <n v="2436"/>
    <n v="13422"/>
    <n v="6"/>
    <s v="Y"/>
    <s v="Yes"/>
    <n v="12"/>
    <n v="3"/>
    <n v="3"/>
    <n v="80"/>
    <n v="0"/>
    <n v="6"/>
    <n v="2"/>
    <n v="3"/>
    <n v="4"/>
    <n v="3"/>
    <n v="1"/>
    <n v="2"/>
    <s v="OK"/>
    <s v="OK"/>
    <s v="OK"/>
    <s v="OK"/>
    <x v="10"/>
    <n v="0.75"/>
    <n v="0.5"/>
    <n v="0.5"/>
  </r>
  <r>
    <n v="21"/>
    <s v="No"/>
    <s v="Travel_Rarely"/>
    <n v="501"/>
    <x v="0"/>
    <n v="5"/>
    <n v="1"/>
    <s v="Medical"/>
    <n v="1"/>
    <n v="2021"/>
    <n v="3"/>
    <s v="Male"/>
    <n v="58"/>
    <n v="3"/>
    <n v="1"/>
    <x v="6"/>
    <n v="1"/>
    <s v="Single"/>
    <n v="2380"/>
    <n v="25479"/>
    <n v="1"/>
    <s v="Y"/>
    <s v="Yes"/>
    <n v="11"/>
    <n v="3"/>
    <n v="4"/>
    <n v="80"/>
    <n v="0"/>
    <n v="2"/>
    <n v="6"/>
    <n v="3"/>
    <n v="2"/>
    <n v="2"/>
    <n v="1"/>
    <n v="2"/>
    <s v="OK"/>
    <s v="OK"/>
    <s v="OK"/>
    <s v="OK"/>
    <x v="7"/>
    <n v="1"/>
    <n v="3"/>
    <n v="1"/>
  </r>
  <r>
    <n v="39"/>
    <s v="No"/>
    <s v="Non-Travel"/>
    <n v="105"/>
    <x v="1"/>
    <n v="9"/>
    <n v="3"/>
    <s v="Life Sciences"/>
    <n v="1"/>
    <n v="2022"/>
    <n v="4"/>
    <s v="Male"/>
    <n v="87"/>
    <n v="3"/>
    <n v="5"/>
    <x v="5"/>
    <n v="4"/>
    <s v="Single"/>
    <n v="19431"/>
    <n v="15302"/>
    <n v="2"/>
    <s v="Y"/>
    <s v="No"/>
    <n v="13"/>
    <n v="3"/>
    <n v="3"/>
    <n v="80"/>
    <n v="0"/>
    <n v="21"/>
    <n v="3"/>
    <n v="2"/>
    <n v="6"/>
    <n v="0"/>
    <n v="1"/>
    <n v="3"/>
    <s v="OK"/>
    <s v="OK"/>
    <s v="OK"/>
    <s v="OK"/>
    <x v="11"/>
    <n v="0"/>
    <n v="0.5"/>
    <n v="0.5"/>
  </r>
  <r>
    <n v="23"/>
    <s v="Yes"/>
    <s v="Travel_Frequently"/>
    <n v="638"/>
    <x v="0"/>
    <n v="9"/>
    <n v="3"/>
    <s v="Marketing"/>
    <n v="1"/>
    <n v="2023"/>
    <n v="4"/>
    <s v="Male"/>
    <n v="33"/>
    <n v="3"/>
    <n v="1"/>
    <x v="6"/>
    <n v="1"/>
    <s v="Married"/>
    <n v="1790"/>
    <n v="26956"/>
    <n v="1"/>
    <s v="Y"/>
    <s v="No"/>
    <n v="19"/>
    <n v="3"/>
    <n v="1"/>
    <n v="80"/>
    <n v="1"/>
    <n v="1"/>
    <n v="3"/>
    <n v="2"/>
    <n v="1"/>
    <n v="0"/>
    <n v="1"/>
    <n v="0"/>
    <s v="OK"/>
    <s v="OK"/>
    <s v="OK"/>
    <s v="OK"/>
    <x v="3"/>
    <n v="0"/>
    <n v="3"/>
    <n v="0"/>
  </r>
  <r>
    <n v="36"/>
    <s v="No"/>
    <s v="Travel_Rarely"/>
    <n v="557"/>
    <x v="0"/>
    <n v="3"/>
    <n v="3"/>
    <s v="Medical"/>
    <n v="1"/>
    <n v="2024"/>
    <n v="1"/>
    <s v="Female"/>
    <n v="94"/>
    <n v="2"/>
    <n v="3"/>
    <x v="0"/>
    <n v="4"/>
    <s v="Married"/>
    <n v="7644"/>
    <n v="12695"/>
    <n v="0"/>
    <s v="Y"/>
    <s v="No"/>
    <n v="19"/>
    <n v="3"/>
    <n v="3"/>
    <n v="80"/>
    <n v="2"/>
    <n v="10"/>
    <n v="2"/>
    <n v="3"/>
    <n v="9"/>
    <n v="7"/>
    <n v="3"/>
    <n v="4"/>
    <s v="OK"/>
    <s v="OK"/>
    <s v="OK"/>
    <s v="OK"/>
    <x v="9"/>
    <n v="0.77777777777777779"/>
    <n v="0.22222222222222221"/>
    <n v="0.44444444444444442"/>
  </r>
  <r>
    <n v="36"/>
    <s v="No"/>
    <s v="Travel_Frequently"/>
    <n v="688"/>
    <x v="1"/>
    <n v="4"/>
    <n v="2"/>
    <s v="Life Sciences"/>
    <n v="1"/>
    <n v="2025"/>
    <n v="4"/>
    <s v="Female"/>
    <n v="97"/>
    <n v="3"/>
    <n v="2"/>
    <x v="3"/>
    <n v="2"/>
    <s v="Divorced"/>
    <n v="5131"/>
    <n v="9192"/>
    <n v="7"/>
    <s v="Y"/>
    <s v="No"/>
    <n v="13"/>
    <n v="3"/>
    <n v="2"/>
    <n v="80"/>
    <n v="3"/>
    <n v="18"/>
    <n v="3"/>
    <n v="3"/>
    <n v="4"/>
    <n v="2"/>
    <n v="0"/>
    <n v="2"/>
    <s v="OK"/>
    <s v="OK"/>
    <s v="OK"/>
    <s v="OK"/>
    <x v="0"/>
    <n v="0.5"/>
    <n v="0.75"/>
    <n v="0.5"/>
  </r>
  <r>
    <n v="56"/>
    <s v="No"/>
    <s v="Non-Travel"/>
    <n v="667"/>
    <x v="1"/>
    <n v="1"/>
    <n v="4"/>
    <s v="Life Sciences"/>
    <n v="1"/>
    <n v="2026"/>
    <n v="3"/>
    <s v="Male"/>
    <n v="57"/>
    <n v="3"/>
    <n v="2"/>
    <x v="4"/>
    <n v="3"/>
    <s v="Divorced"/>
    <n v="6306"/>
    <n v="26236"/>
    <n v="1"/>
    <s v="Y"/>
    <s v="No"/>
    <n v="21"/>
    <n v="4"/>
    <n v="1"/>
    <n v="80"/>
    <n v="1"/>
    <n v="13"/>
    <n v="2"/>
    <n v="2"/>
    <n v="13"/>
    <n v="12"/>
    <n v="1"/>
    <n v="9"/>
    <s v="OK"/>
    <s v="OK"/>
    <s v="OK"/>
    <s v="OK"/>
    <x v="28"/>
    <n v="0.92307692307692313"/>
    <n v="0.15384615384615385"/>
    <n v="0.69230769230769229"/>
  </r>
  <r>
    <n v="29"/>
    <s v="Yes"/>
    <s v="Travel_Rarely"/>
    <n v="1092"/>
    <x v="1"/>
    <n v="1"/>
    <n v="4"/>
    <s v="Medical"/>
    <n v="1"/>
    <n v="2027"/>
    <n v="1"/>
    <s v="Male"/>
    <n v="36"/>
    <n v="3"/>
    <n v="1"/>
    <x v="1"/>
    <n v="4"/>
    <s v="Married"/>
    <n v="4787"/>
    <n v="26124"/>
    <n v="9"/>
    <s v="Y"/>
    <s v="Yes"/>
    <n v="14"/>
    <n v="3"/>
    <n v="2"/>
    <n v="80"/>
    <n v="3"/>
    <n v="4"/>
    <n v="3"/>
    <n v="4"/>
    <n v="2"/>
    <n v="2"/>
    <n v="2"/>
    <n v="2"/>
    <s v="OK"/>
    <s v="OK"/>
    <s v="OK"/>
    <s v="OK"/>
    <x v="3"/>
    <n v="1"/>
    <n v="1.5"/>
    <n v="1"/>
  </r>
  <r>
    <n v="42"/>
    <s v="No"/>
    <s v="Travel_Rarely"/>
    <n v="300"/>
    <x v="1"/>
    <n v="2"/>
    <n v="3"/>
    <s v="Life Sciences"/>
    <n v="1"/>
    <n v="2031"/>
    <n v="1"/>
    <s v="Male"/>
    <n v="56"/>
    <n v="3"/>
    <n v="5"/>
    <x v="5"/>
    <n v="3"/>
    <s v="Married"/>
    <n v="18880"/>
    <n v="17312"/>
    <n v="5"/>
    <s v="Y"/>
    <s v="No"/>
    <n v="11"/>
    <n v="3"/>
    <n v="1"/>
    <n v="80"/>
    <n v="0"/>
    <n v="24"/>
    <n v="2"/>
    <n v="2"/>
    <n v="22"/>
    <n v="6"/>
    <n v="4"/>
    <n v="14"/>
    <s v="OK"/>
    <s v="OK"/>
    <s v="OK"/>
    <s v="OK"/>
    <x v="30"/>
    <n v="0.27272727272727271"/>
    <n v="9.0909090909090912E-2"/>
    <n v="0.63636363636363635"/>
  </r>
  <r>
    <n v="56"/>
    <s v="Yes"/>
    <s v="Travel_Rarely"/>
    <n v="310"/>
    <x v="1"/>
    <n v="7"/>
    <n v="2"/>
    <s v="Technical Degree"/>
    <n v="1"/>
    <n v="2032"/>
    <n v="4"/>
    <s v="Male"/>
    <n v="72"/>
    <n v="3"/>
    <n v="1"/>
    <x v="2"/>
    <n v="3"/>
    <s v="Married"/>
    <n v="2339"/>
    <n v="3666"/>
    <n v="8"/>
    <s v="Y"/>
    <s v="No"/>
    <n v="11"/>
    <n v="3"/>
    <n v="4"/>
    <n v="80"/>
    <n v="1"/>
    <n v="14"/>
    <n v="4"/>
    <n v="1"/>
    <n v="10"/>
    <n v="9"/>
    <n v="9"/>
    <n v="8"/>
    <s v="OK"/>
    <s v="OK"/>
    <s v="OK"/>
    <s v="OK"/>
    <x v="22"/>
    <n v="0.9"/>
    <n v="0.4"/>
    <n v="0.8"/>
  </r>
  <r>
    <n v="41"/>
    <s v="No"/>
    <s v="Travel_Rarely"/>
    <n v="582"/>
    <x v="1"/>
    <n v="28"/>
    <n v="4"/>
    <s v="Life Sciences"/>
    <n v="1"/>
    <n v="2034"/>
    <n v="1"/>
    <s v="Female"/>
    <n v="60"/>
    <n v="2"/>
    <n v="4"/>
    <x v="3"/>
    <n v="2"/>
    <s v="Married"/>
    <n v="13570"/>
    <n v="5640"/>
    <n v="0"/>
    <s v="Y"/>
    <s v="No"/>
    <n v="23"/>
    <n v="4"/>
    <n v="3"/>
    <n v="80"/>
    <n v="1"/>
    <n v="21"/>
    <n v="3"/>
    <n v="3"/>
    <n v="20"/>
    <n v="7"/>
    <n v="0"/>
    <n v="10"/>
    <s v="OK"/>
    <s v="OK"/>
    <s v="OK"/>
    <s v="OK"/>
    <x v="0"/>
    <n v="0.35"/>
    <n v="0.15"/>
    <n v="0.5"/>
  </r>
  <r>
    <n v="34"/>
    <s v="No"/>
    <s v="Travel_Rarely"/>
    <n v="704"/>
    <x v="0"/>
    <n v="28"/>
    <n v="3"/>
    <s v="Marketing"/>
    <n v="1"/>
    <n v="2035"/>
    <n v="4"/>
    <s v="Female"/>
    <n v="95"/>
    <n v="2"/>
    <n v="2"/>
    <x v="0"/>
    <n v="3"/>
    <s v="Married"/>
    <n v="6712"/>
    <n v="8978"/>
    <n v="1"/>
    <s v="Y"/>
    <s v="No"/>
    <n v="21"/>
    <n v="4"/>
    <n v="4"/>
    <n v="80"/>
    <n v="2"/>
    <n v="8"/>
    <n v="2"/>
    <n v="3"/>
    <n v="8"/>
    <n v="7"/>
    <n v="1"/>
    <n v="7"/>
    <s v="OK"/>
    <s v="OK"/>
    <s v="OK"/>
    <s v="OK"/>
    <x v="33"/>
    <n v="0.875"/>
    <n v="0.25"/>
    <n v="0.875"/>
  </r>
  <r>
    <n v="36"/>
    <s v="No"/>
    <s v="Non-Travel"/>
    <n v="301"/>
    <x v="0"/>
    <n v="15"/>
    <n v="4"/>
    <s v="Marketing"/>
    <n v="1"/>
    <n v="2036"/>
    <n v="4"/>
    <s v="Male"/>
    <n v="88"/>
    <n v="1"/>
    <n v="2"/>
    <x v="0"/>
    <n v="4"/>
    <s v="Divorced"/>
    <n v="5406"/>
    <n v="10436"/>
    <n v="1"/>
    <s v="Y"/>
    <s v="No"/>
    <n v="24"/>
    <n v="4"/>
    <n v="1"/>
    <n v="80"/>
    <n v="1"/>
    <n v="15"/>
    <n v="4"/>
    <n v="2"/>
    <n v="15"/>
    <n v="12"/>
    <n v="11"/>
    <n v="11"/>
    <s v="OK"/>
    <s v="OK"/>
    <s v="OK"/>
    <s v="OK"/>
    <x v="112"/>
    <n v="0.8"/>
    <n v="0.26666666666666666"/>
    <n v="0.73333333333333328"/>
  </r>
  <r>
    <n v="41"/>
    <s v="No"/>
    <s v="Travel_Rarely"/>
    <n v="930"/>
    <x v="0"/>
    <n v="3"/>
    <n v="3"/>
    <s v="Life Sciences"/>
    <n v="1"/>
    <n v="2037"/>
    <n v="3"/>
    <s v="Male"/>
    <n v="57"/>
    <n v="2"/>
    <n v="2"/>
    <x v="0"/>
    <n v="2"/>
    <s v="Divorced"/>
    <n v="8938"/>
    <n v="12227"/>
    <n v="2"/>
    <s v="Y"/>
    <s v="No"/>
    <n v="11"/>
    <n v="3"/>
    <n v="3"/>
    <n v="80"/>
    <n v="1"/>
    <n v="14"/>
    <n v="5"/>
    <n v="3"/>
    <n v="5"/>
    <n v="4"/>
    <n v="0"/>
    <n v="4"/>
    <s v="OK"/>
    <s v="OK"/>
    <s v="OK"/>
    <s v="OK"/>
    <x v="0"/>
    <n v="0.8"/>
    <n v="1"/>
    <n v="0.8"/>
  </r>
  <r>
    <n v="32"/>
    <s v="No"/>
    <s v="Travel_Rarely"/>
    <n v="529"/>
    <x v="1"/>
    <n v="2"/>
    <n v="3"/>
    <s v="Technical Degree"/>
    <n v="1"/>
    <n v="2038"/>
    <n v="4"/>
    <s v="Male"/>
    <n v="78"/>
    <n v="3"/>
    <n v="1"/>
    <x v="1"/>
    <n v="1"/>
    <s v="Single"/>
    <n v="2439"/>
    <n v="11288"/>
    <n v="1"/>
    <s v="Y"/>
    <s v="No"/>
    <n v="14"/>
    <n v="3"/>
    <n v="4"/>
    <n v="80"/>
    <n v="0"/>
    <n v="4"/>
    <n v="4"/>
    <n v="3"/>
    <n v="4"/>
    <n v="2"/>
    <n v="1"/>
    <n v="2"/>
    <s v="OK"/>
    <s v="OK"/>
    <s v="OK"/>
    <s v="OK"/>
    <x v="10"/>
    <n v="0.5"/>
    <n v="1"/>
    <n v="0.5"/>
  </r>
  <r>
    <n v="35"/>
    <s v="No"/>
    <s v="Travel_Rarely"/>
    <n v="1146"/>
    <x v="2"/>
    <n v="26"/>
    <n v="4"/>
    <s v="Life Sciences"/>
    <n v="1"/>
    <n v="2040"/>
    <n v="3"/>
    <s v="Female"/>
    <n v="31"/>
    <n v="3"/>
    <n v="3"/>
    <x v="8"/>
    <n v="4"/>
    <s v="Single"/>
    <n v="8837"/>
    <n v="16642"/>
    <n v="1"/>
    <s v="Y"/>
    <s v="Yes"/>
    <n v="16"/>
    <n v="3"/>
    <n v="3"/>
    <n v="80"/>
    <n v="0"/>
    <n v="9"/>
    <n v="2"/>
    <n v="3"/>
    <n v="9"/>
    <n v="0"/>
    <n v="1"/>
    <n v="7"/>
    <s v="OK"/>
    <s v="OK"/>
    <s v="OK"/>
    <s v="OK"/>
    <x v="5"/>
    <n v="0"/>
    <n v="0.22222222222222221"/>
    <n v="0.77777777777777779"/>
  </r>
  <r>
    <n v="38"/>
    <s v="No"/>
    <s v="Travel_Rarely"/>
    <n v="345"/>
    <x v="0"/>
    <n v="10"/>
    <n v="2"/>
    <s v="Life Sciences"/>
    <n v="1"/>
    <n v="2041"/>
    <n v="1"/>
    <s v="Female"/>
    <n v="100"/>
    <n v="3"/>
    <n v="2"/>
    <x v="0"/>
    <n v="4"/>
    <s v="Married"/>
    <n v="5343"/>
    <n v="5982"/>
    <n v="1"/>
    <s v="Y"/>
    <s v="No"/>
    <n v="11"/>
    <n v="3"/>
    <n v="3"/>
    <n v="80"/>
    <n v="1"/>
    <n v="10"/>
    <n v="1"/>
    <n v="3"/>
    <n v="10"/>
    <n v="7"/>
    <n v="1"/>
    <n v="9"/>
    <s v="OK"/>
    <s v="OK"/>
    <s v="OK"/>
    <s v="OK"/>
    <x v="1"/>
    <n v="0.7"/>
    <n v="0.1"/>
    <n v="0.9"/>
  </r>
  <r>
    <n v="50"/>
    <s v="Yes"/>
    <s v="Travel_Frequently"/>
    <n v="878"/>
    <x v="0"/>
    <n v="1"/>
    <n v="4"/>
    <s v="Life Sciences"/>
    <n v="1"/>
    <n v="2044"/>
    <n v="2"/>
    <s v="Male"/>
    <n v="94"/>
    <n v="3"/>
    <n v="2"/>
    <x v="0"/>
    <n v="3"/>
    <s v="Divorced"/>
    <n v="6728"/>
    <n v="14255"/>
    <n v="7"/>
    <s v="Y"/>
    <s v="No"/>
    <n v="12"/>
    <n v="3"/>
    <n v="4"/>
    <n v="80"/>
    <n v="2"/>
    <n v="12"/>
    <n v="3"/>
    <n v="3"/>
    <n v="6"/>
    <n v="3"/>
    <n v="0"/>
    <n v="1"/>
    <s v="OK"/>
    <s v="OK"/>
    <s v="OK"/>
    <s v="OK"/>
    <x v="0"/>
    <n v="0.5"/>
    <n v="0.5"/>
    <n v="0.16666666666666666"/>
  </r>
  <r>
    <n v="36"/>
    <s v="No"/>
    <s v="Travel_Rarely"/>
    <n v="1120"/>
    <x v="0"/>
    <n v="11"/>
    <n v="4"/>
    <s v="Marketing"/>
    <n v="1"/>
    <n v="2045"/>
    <n v="2"/>
    <s v="Female"/>
    <n v="100"/>
    <n v="2"/>
    <n v="2"/>
    <x v="0"/>
    <n v="4"/>
    <s v="Married"/>
    <n v="6652"/>
    <n v="14369"/>
    <n v="4"/>
    <s v="Y"/>
    <s v="No"/>
    <n v="13"/>
    <n v="3"/>
    <n v="1"/>
    <n v="80"/>
    <n v="1"/>
    <n v="8"/>
    <n v="2"/>
    <n v="2"/>
    <n v="6"/>
    <n v="3"/>
    <n v="0"/>
    <n v="0"/>
    <s v="OK"/>
    <s v="OK"/>
    <s v="OK"/>
    <s v="OK"/>
    <x v="0"/>
    <n v="0.5"/>
    <n v="0.33333333333333331"/>
    <n v="0"/>
  </r>
  <r>
    <n v="45"/>
    <s v="No"/>
    <s v="Travel_Rarely"/>
    <n v="374"/>
    <x v="0"/>
    <n v="20"/>
    <n v="3"/>
    <s v="Life Sciences"/>
    <n v="1"/>
    <n v="2046"/>
    <n v="4"/>
    <s v="Female"/>
    <n v="50"/>
    <n v="3"/>
    <n v="2"/>
    <x v="0"/>
    <n v="3"/>
    <s v="Single"/>
    <n v="4850"/>
    <n v="23333"/>
    <n v="8"/>
    <s v="Y"/>
    <s v="No"/>
    <n v="15"/>
    <n v="3"/>
    <n v="3"/>
    <n v="80"/>
    <n v="0"/>
    <n v="8"/>
    <n v="3"/>
    <n v="3"/>
    <n v="5"/>
    <n v="3"/>
    <n v="0"/>
    <n v="1"/>
    <s v="OK"/>
    <s v="OK"/>
    <s v="OK"/>
    <s v="OK"/>
    <x v="0"/>
    <n v="0.6"/>
    <n v="0.6"/>
    <n v="0.2"/>
  </r>
  <r>
    <n v="40"/>
    <s v="No"/>
    <s v="Travel_Rarely"/>
    <n v="1322"/>
    <x v="1"/>
    <n v="2"/>
    <n v="4"/>
    <s v="Life Sciences"/>
    <n v="1"/>
    <n v="2048"/>
    <n v="3"/>
    <s v="Male"/>
    <n v="52"/>
    <n v="2"/>
    <n v="1"/>
    <x v="1"/>
    <n v="3"/>
    <s v="Single"/>
    <n v="2809"/>
    <n v="2725"/>
    <n v="2"/>
    <s v="Y"/>
    <s v="No"/>
    <n v="14"/>
    <n v="3"/>
    <n v="4"/>
    <n v="80"/>
    <n v="0"/>
    <n v="8"/>
    <n v="2"/>
    <n v="3"/>
    <n v="2"/>
    <n v="2"/>
    <n v="2"/>
    <n v="2"/>
    <s v="OK"/>
    <s v="OK"/>
    <s v="OK"/>
    <s v="OK"/>
    <x v="3"/>
    <n v="1"/>
    <n v="1"/>
    <n v="1"/>
  </r>
  <r>
    <n v="35"/>
    <s v="No"/>
    <s v="Travel_Frequently"/>
    <n v="1199"/>
    <x v="1"/>
    <n v="18"/>
    <n v="4"/>
    <s v="Life Sciences"/>
    <n v="1"/>
    <n v="2049"/>
    <n v="3"/>
    <s v="Male"/>
    <n v="80"/>
    <n v="3"/>
    <n v="2"/>
    <x v="4"/>
    <n v="3"/>
    <s v="Married"/>
    <n v="5689"/>
    <n v="24594"/>
    <n v="1"/>
    <s v="Y"/>
    <s v="Yes"/>
    <n v="14"/>
    <n v="3"/>
    <n v="4"/>
    <n v="80"/>
    <n v="2"/>
    <n v="10"/>
    <n v="2"/>
    <n v="4"/>
    <n v="10"/>
    <n v="2"/>
    <n v="0"/>
    <n v="2"/>
    <s v="OK"/>
    <s v="OK"/>
    <s v="OK"/>
    <s v="OK"/>
    <x v="0"/>
    <n v="0.2"/>
    <n v="0.2"/>
    <n v="0.2"/>
  </r>
  <r>
    <n v="40"/>
    <s v="No"/>
    <s v="Travel_Rarely"/>
    <n v="1194"/>
    <x v="1"/>
    <n v="2"/>
    <n v="4"/>
    <s v="Medical"/>
    <n v="1"/>
    <n v="2051"/>
    <n v="3"/>
    <s v="Female"/>
    <n v="98"/>
    <n v="3"/>
    <n v="1"/>
    <x v="1"/>
    <n v="3"/>
    <s v="Married"/>
    <n v="2001"/>
    <n v="12549"/>
    <n v="2"/>
    <s v="Y"/>
    <s v="No"/>
    <n v="14"/>
    <n v="3"/>
    <n v="2"/>
    <n v="80"/>
    <n v="3"/>
    <n v="20"/>
    <n v="2"/>
    <n v="3"/>
    <n v="5"/>
    <n v="3"/>
    <n v="0"/>
    <n v="2"/>
    <s v="OK"/>
    <s v="OK"/>
    <s v="OK"/>
    <s v="OK"/>
    <x v="0"/>
    <n v="0.6"/>
    <n v="0.4"/>
    <n v="0.4"/>
  </r>
  <r>
    <n v="35"/>
    <s v="No"/>
    <s v="Travel_Rarely"/>
    <n v="287"/>
    <x v="1"/>
    <n v="1"/>
    <n v="4"/>
    <s v="Life Sciences"/>
    <n v="1"/>
    <n v="2052"/>
    <n v="3"/>
    <s v="Female"/>
    <n v="62"/>
    <n v="1"/>
    <n v="1"/>
    <x v="1"/>
    <n v="4"/>
    <s v="Married"/>
    <n v="2977"/>
    <n v="8952"/>
    <n v="1"/>
    <s v="Y"/>
    <s v="No"/>
    <n v="12"/>
    <n v="3"/>
    <n v="4"/>
    <n v="80"/>
    <n v="1"/>
    <n v="4"/>
    <n v="5"/>
    <n v="3"/>
    <n v="4"/>
    <n v="3"/>
    <n v="1"/>
    <n v="1"/>
    <s v="OK"/>
    <s v="OK"/>
    <s v="OK"/>
    <s v="OK"/>
    <x v="10"/>
    <n v="0.75"/>
    <n v="1.25"/>
    <n v="0.25"/>
  </r>
  <r>
    <n v="29"/>
    <s v="No"/>
    <s v="Travel_Rarely"/>
    <n v="1378"/>
    <x v="1"/>
    <n v="13"/>
    <n v="2"/>
    <s v="Other"/>
    <n v="1"/>
    <n v="2053"/>
    <n v="4"/>
    <s v="Male"/>
    <n v="46"/>
    <n v="2"/>
    <n v="2"/>
    <x v="2"/>
    <n v="2"/>
    <s v="Married"/>
    <n v="4025"/>
    <n v="23679"/>
    <n v="4"/>
    <s v="Y"/>
    <s v="Yes"/>
    <n v="13"/>
    <n v="3"/>
    <n v="1"/>
    <n v="80"/>
    <n v="1"/>
    <n v="10"/>
    <n v="2"/>
    <n v="3"/>
    <n v="4"/>
    <n v="3"/>
    <n v="0"/>
    <n v="3"/>
    <s v="OK"/>
    <s v="OK"/>
    <s v="OK"/>
    <s v="OK"/>
    <x v="0"/>
    <n v="0.75"/>
    <n v="0.5"/>
    <n v="0.75"/>
  </r>
  <r>
    <n v="29"/>
    <s v="No"/>
    <s v="Travel_Rarely"/>
    <n v="468"/>
    <x v="1"/>
    <n v="28"/>
    <n v="4"/>
    <s v="Medical"/>
    <n v="1"/>
    <n v="2054"/>
    <n v="4"/>
    <s v="Female"/>
    <n v="73"/>
    <n v="2"/>
    <n v="1"/>
    <x v="1"/>
    <n v="1"/>
    <s v="Single"/>
    <n v="3785"/>
    <n v="8489"/>
    <n v="1"/>
    <s v="Y"/>
    <s v="No"/>
    <n v="14"/>
    <n v="3"/>
    <n v="2"/>
    <n v="80"/>
    <n v="0"/>
    <n v="5"/>
    <n v="3"/>
    <n v="1"/>
    <n v="5"/>
    <n v="4"/>
    <n v="0"/>
    <n v="4"/>
    <s v="OK"/>
    <s v="OK"/>
    <s v="OK"/>
    <s v="OK"/>
    <x v="0"/>
    <n v="0.8"/>
    <n v="0.6"/>
    <n v="0.8"/>
  </r>
  <r>
    <n v="50"/>
    <s v="Yes"/>
    <s v="Travel_Rarely"/>
    <n v="410"/>
    <x v="0"/>
    <n v="28"/>
    <n v="3"/>
    <s v="Marketing"/>
    <n v="1"/>
    <n v="2055"/>
    <n v="4"/>
    <s v="Male"/>
    <n v="39"/>
    <n v="2"/>
    <n v="3"/>
    <x v="0"/>
    <n v="1"/>
    <s v="Divorced"/>
    <n v="10854"/>
    <n v="16586"/>
    <n v="4"/>
    <s v="Y"/>
    <s v="Yes"/>
    <n v="13"/>
    <n v="3"/>
    <n v="2"/>
    <n v="80"/>
    <n v="1"/>
    <n v="20"/>
    <n v="3"/>
    <n v="3"/>
    <n v="3"/>
    <n v="2"/>
    <n v="2"/>
    <n v="0"/>
    <s v="OK"/>
    <s v="OK"/>
    <s v="OK"/>
    <s v="OK"/>
    <x v="34"/>
    <n v="0.66666666666666663"/>
    <n v="1"/>
    <n v="0"/>
  </r>
  <r>
    <n v="39"/>
    <s v="No"/>
    <s v="Travel_Rarely"/>
    <n v="722"/>
    <x v="0"/>
    <n v="24"/>
    <n v="1"/>
    <s v="Marketing"/>
    <n v="1"/>
    <n v="2056"/>
    <n v="2"/>
    <s v="Female"/>
    <n v="60"/>
    <n v="2"/>
    <n v="4"/>
    <x v="0"/>
    <n v="4"/>
    <s v="Married"/>
    <n v="12031"/>
    <n v="8828"/>
    <n v="0"/>
    <s v="Y"/>
    <s v="No"/>
    <n v="11"/>
    <n v="3"/>
    <n v="1"/>
    <n v="80"/>
    <n v="1"/>
    <n v="21"/>
    <n v="2"/>
    <n v="2"/>
    <n v="20"/>
    <n v="9"/>
    <n v="9"/>
    <n v="6"/>
    <s v="OK"/>
    <s v="OK"/>
    <s v="OK"/>
    <s v="OK"/>
    <x v="44"/>
    <n v="0.45"/>
    <n v="0.1"/>
    <n v="0.3"/>
  </r>
  <r>
    <n v="31"/>
    <s v="No"/>
    <s v="Non-Travel"/>
    <n v="325"/>
    <x v="1"/>
    <n v="5"/>
    <n v="3"/>
    <s v="Medical"/>
    <n v="1"/>
    <n v="2057"/>
    <n v="2"/>
    <s v="Male"/>
    <n v="74"/>
    <n v="3"/>
    <n v="2"/>
    <x v="3"/>
    <n v="1"/>
    <s v="Single"/>
    <n v="9936"/>
    <n v="3787"/>
    <n v="0"/>
    <s v="Y"/>
    <s v="No"/>
    <n v="19"/>
    <n v="3"/>
    <n v="2"/>
    <n v="80"/>
    <n v="0"/>
    <n v="10"/>
    <n v="2"/>
    <n v="3"/>
    <n v="9"/>
    <n v="4"/>
    <n v="1"/>
    <n v="7"/>
    <s v="OK"/>
    <s v="OK"/>
    <s v="OK"/>
    <s v="OK"/>
    <x v="5"/>
    <n v="0.44444444444444442"/>
    <n v="0.22222222222222221"/>
    <n v="0.77777777777777779"/>
  </r>
  <r>
    <n v="26"/>
    <s v="No"/>
    <s v="Travel_Rarely"/>
    <n v="1167"/>
    <x v="0"/>
    <n v="5"/>
    <n v="3"/>
    <s v="Other"/>
    <n v="1"/>
    <n v="2060"/>
    <n v="4"/>
    <s v="Female"/>
    <n v="30"/>
    <n v="2"/>
    <n v="1"/>
    <x v="6"/>
    <n v="3"/>
    <s v="Single"/>
    <n v="2966"/>
    <n v="21378"/>
    <n v="0"/>
    <s v="Y"/>
    <s v="No"/>
    <n v="18"/>
    <n v="3"/>
    <n v="4"/>
    <n v="80"/>
    <n v="0"/>
    <n v="5"/>
    <n v="2"/>
    <n v="3"/>
    <n v="4"/>
    <n v="2"/>
    <n v="0"/>
    <n v="0"/>
    <s v="OK"/>
    <s v="OK"/>
    <s v="OK"/>
    <s v="OK"/>
    <x v="0"/>
    <n v="0.5"/>
    <n v="0.5"/>
    <n v="0"/>
  </r>
  <r>
    <n v="36"/>
    <s v="No"/>
    <s v="Travel_Frequently"/>
    <n v="884"/>
    <x v="1"/>
    <n v="23"/>
    <n v="2"/>
    <s v="Medical"/>
    <n v="1"/>
    <n v="2061"/>
    <n v="3"/>
    <s v="Male"/>
    <n v="41"/>
    <n v="4"/>
    <n v="2"/>
    <x v="2"/>
    <n v="4"/>
    <s v="Married"/>
    <n v="2571"/>
    <n v="12290"/>
    <n v="4"/>
    <s v="Y"/>
    <s v="No"/>
    <n v="17"/>
    <n v="3"/>
    <n v="3"/>
    <n v="80"/>
    <n v="1"/>
    <n v="17"/>
    <n v="3"/>
    <n v="3"/>
    <n v="5"/>
    <n v="2"/>
    <n v="0"/>
    <n v="3"/>
    <s v="OK"/>
    <s v="OK"/>
    <s v="OK"/>
    <s v="OK"/>
    <x v="0"/>
    <n v="0.4"/>
    <n v="0.6"/>
    <n v="0.6"/>
  </r>
  <r>
    <n v="39"/>
    <s v="No"/>
    <s v="Travel_Rarely"/>
    <n v="613"/>
    <x v="1"/>
    <n v="6"/>
    <n v="1"/>
    <s v="Medical"/>
    <n v="1"/>
    <n v="2062"/>
    <n v="4"/>
    <s v="Male"/>
    <n v="42"/>
    <n v="2"/>
    <n v="3"/>
    <x v="4"/>
    <n v="1"/>
    <s v="Married"/>
    <n v="9991"/>
    <n v="21457"/>
    <n v="4"/>
    <s v="Y"/>
    <s v="No"/>
    <n v="15"/>
    <n v="3"/>
    <n v="1"/>
    <n v="80"/>
    <n v="1"/>
    <n v="9"/>
    <n v="5"/>
    <n v="3"/>
    <n v="7"/>
    <n v="7"/>
    <n v="1"/>
    <n v="7"/>
    <s v="OK"/>
    <s v="OK"/>
    <s v="OK"/>
    <s v="OK"/>
    <x v="20"/>
    <n v="1"/>
    <n v="0.7142857142857143"/>
    <n v="1"/>
  </r>
  <r>
    <n v="27"/>
    <s v="No"/>
    <s v="Travel_Rarely"/>
    <n v="155"/>
    <x v="1"/>
    <n v="4"/>
    <n v="3"/>
    <s v="Life Sciences"/>
    <n v="1"/>
    <n v="2064"/>
    <n v="2"/>
    <s v="Male"/>
    <n v="87"/>
    <n v="4"/>
    <n v="2"/>
    <x v="3"/>
    <n v="2"/>
    <s v="Married"/>
    <n v="6142"/>
    <n v="5174"/>
    <n v="1"/>
    <s v="Y"/>
    <s v="Yes"/>
    <n v="20"/>
    <n v="4"/>
    <n v="2"/>
    <n v="80"/>
    <n v="1"/>
    <n v="6"/>
    <n v="0"/>
    <n v="3"/>
    <n v="6"/>
    <n v="2"/>
    <n v="0"/>
    <n v="3"/>
    <s v="OK"/>
    <s v="OK"/>
    <s v="OK"/>
    <s v="OK"/>
    <x v="0"/>
    <n v="0.33333333333333331"/>
    <n v="0"/>
    <n v="0.5"/>
  </r>
  <r>
    <n v="49"/>
    <s v="No"/>
    <s v="Travel_Frequently"/>
    <n v="1023"/>
    <x v="0"/>
    <n v="2"/>
    <n v="3"/>
    <s v="Medical"/>
    <n v="1"/>
    <n v="2065"/>
    <n v="4"/>
    <s v="Male"/>
    <n v="63"/>
    <n v="2"/>
    <n v="2"/>
    <x v="0"/>
    <n v="2"/>
    <s v="Married"/>
    <n v="5390"/>
    <n v="13243"/>
    <n v="2"/>
    <s v="Y"/>
    <s v="No"/>
    <n v="14"/>
    <n v="3"/>
    <n v="4"/>
    <n v="80"/>
    <n v="0"/>
    <n v="17"/>
    <n v="3"/>
    <n v="2"/>
    <n v="9"/>
    <n v="6"/>
    <n v="0"/>
    <n v="8"/>
    <s v="OK"/>
    <s v="OK"/>
    <s v="OK"/>
    <s v="OK"/>
    <x v="0"/>
    <n v="0.66666666666666663"/>
    <n v="0.33333333333333331"/>
    <n v="0.88888888888888884"/>
  </r>
  <r>
    <n v="34"/>
    <s v="No"/>
    <s v="Travel_Rarely"/>
    <n v="628"/>
    <x v="1"/>
    <n v="8"/>
    <n v="3"/>
    <s v="Medical"/>
    <n v="1"/>
    <n v="2068"/>
    <n v="2"/>
    <s v="Male"/>
    <n v="82"/>
    <n v="4"/>
    <n v="2"/>
    <x v="2"/>
    <n v="3"/>
    <s v="Married"/>
    <n v="4404"/>
    <n v="10228"/>
    <n v="2"/>
    <s v="Y"/>
    <s v="No"/>
    <n v="12"/>
    <n v="3"/>
    <n v="1"/>
    <n v="80"/>
    <n v="0"/>
    <n v="6"/>
    <n v="3"/>
    <n v="4"/>
    <n v="4"/>
    <n v="3"/>
    <n v="1"/>
    <n v="2"/>
    <s v="OK"/>
    <s v="OK"/>
    <s v="OK"/>
    <s v="OK"/>
    <x v="10"/>
    <n v="0.75"/>
    <n v="0.75"/>
    <n v="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2">
  <r>
    <n v="41"/>
    <s v="Yes"/>
    <s v="Travel_Rarely"/>
    <n v="1102"/>
    <s v="Sales"/>
    <n v="1"/>
    <n v="2"/>
    <s v="Life Sciences"/>
    <n v="1"/>
    <n v="1"/>
    <n v="2"/>
    <s v="Female"/>
    <n v="94"/>
    <n v="3"/>
    <n v="2"/>
    <x v="0"/>
    <n v="4"/>
    <s v="Single"/>
    <n v="5993"/>
    <n v="19479"/>
    <n v="8"/>
    <s v="Y"/>
    <s v="Yes"/>
    <n v="11"/>
    <n v="3"/>
    <n v="1"/>
    <n v="80"/>
    <n v="0"/>
    <n v="8"/>
    <n v="0"/>
    <n v="1"/>
    <n v="6"/>
    <n v="4"/>
    <x v="0"/>
    <n v="5"/>
    <s v="OK"/>
    <s v="OK"/>
    <s v="OK"/>
    <s v="OK"/>
    <n v="0"/>
    <n v="0.66666666666666663"/>
    <n v="0"/>
    <n v="0.83333333333333337"/>
  </r>
  <r>
    <n v="49"/>
    <s v="No"/>
    <s v="Travel_Frequently"/>
    <n v="279"/>
    <s v="Research &amp; Development"/>
    <n v="8"/>
    <n v="1"/>
    <s v="Life Sciences"/>
    <n v="1"/>
    <n v="2"/>
    <n v="3"/>
    <s v="Male"/>
    <n v="61"/>
    <n v="2"/>
    <n v="2"/>
    <x v="1"/>
    <n v="2"/>
    <s v="Married"/>
    <n v="5130"/>
    <n v="24907"/>
    <n v="1"/>
    <s v="Y"/>
    <s v="No"/>
    <n v="23"/>
    <n v="4"/>
    <n v="4"/>
    <n v="80"/>
    <n v="1"/>
    <n v="10"/>
    <n v="3"/>
    <n v="3"/>
    <n v="10"/>
    <n v="7"/>
    <x v="1"/>
    <n v="7"/>
    <s v="OK"/>
    <s v="OK"/>
    <s v="OK"/>
    <s v="OK"/>
    <n v="0.1"/>
    <n v="0.7"/>
    <n v="0.3"/>
    <n v="0.7"/>
  </r>
  <r>
    <n v="37"/>
    <s v="Yes"/>
    <s v="Travel_Rarely"/>
    <n v="1373"/>
    <s v="Research &amp; Development"/>
    <n v="2"/>
    <n v="2"/>
    <s v="Other"/>
    <n v="1"/>
    <n v="4"/>
    <n v="4"/>
    <s v="Male"/>
    <n v="92"/>
    <n v="2"/>
    <n v="1"/>
    <x v="2"/>
    <n v="3"/>
    <s v="Single"/>
    <n v="2090"/>
    <n v="2396"/>
    <n v="6"/>
    <s v="Y"/>
    <s v="Yes"/>
    <n v="15"/>
    <n v="3"/>
    <n v="2"/>
    <n v="80"/>
    <n v="0"/>
    <n v="7"/>
    <n v="3"/>
    <n v="3"/>
    <n v="0"/>
    <n v="0"/>
    <x v="0"/>
    <n v="0"/>
    <s v="OK"/>
    <s v="OK"/>
    <s v="OK"/>
    <s v="OK"/>
    <n v="0"/>
    <n v="0"/>
    <n v="0"/>
    <n v="0"/>
  </r>
  <r>
    <n v="33"/>
    <s v="No"/>
    <s v="Travel_Frequently"/>
    <n v="1392"/>
    <s v="Research &amp; Development"/>
    <n v="3"/>
    <n v="4"/>
    <s v="Life Sciences"/>
    <n v="1"/>
    <n v="5"/>
    <n v="4"/>
    <s v="Female"/>
    <n v="56"/>
    <n v="3"/>
    <n v="1"/>
    <x v="1"/>
    <n v="3"/>
    <s v="Married"/>
    <n v="2909"/>
    <n v="23159"/>
    <n v="1"/>
    <s v="Y"/>
    <s v="Yes"/>
    <n v="11"/>
    <n v="3"/>
    <n v="3"/>
    <n v="80"/>
    <n v="0"/>
    <n v="8"/>
    <n v="3"/>
    <n v="3"/>
    <n v="8"/>
    <n v="7"/>
    <x v="2"/>
    <n v="0"/>
    <s v="OK"/>
    <s v="OK"/>
    <s v="OK"/>
    <s v="OK"/>
    <n v="0.375"/>
    <n v="0.875"/>
    <n v="0.375"/>
    <n v="0"/>
  </r>
  <r>
    <n v="27"/>
    <s v="No"/>
    <s v="Travel_Rarely"/>
    <n v="591"/>
    <s v="Research &amp; Development"/>
    <n v="2"/>
    <n v="1"/>
    <s v="Medical"/>
    <n v="1"/>
    <n v="7"/>
    <n v="1"/>
    <s v="Male"/>
    <n v="40"/>
    <n v="3"/>
    <n v="1"/>
    <x v="2"/>
    <n v="2"/>
    <s v="Married"/>
    <n v="3468"/>
    <n v="16632"/>
    <n v="9"/>
    <s v="Y"/>
    <s v="No"/>
    <n v="12"/>
    <n v="3"/>
    <n v="4"/>
    <n v="80"/>
    <n v="1"/>
    <n v="6"/>
    <n v="3"/>
    <n v="3"/>
    <n v="2"/>
    <n v="2"/>
    <x v="3"/>
    <n v="2"/>
    <s v="OK"/>
    <s v="OK"/>
    <s v="OK"/>
    <s v="OK"/>
    <n v="1"/>
    <n v="1"/>
    <n v="1.5"/>
    <n v="1"/>
  </r>
  <r>
    <n v="32"/>
    <s v="No"/>
    <s v="Travel_Frequently"/>
    <n v="1005"/>
    <s v="Research &amp; Development"/>
    <n v="2"/>
    <n v="2"/>
    <s v="Life Sciences"/>
    <n v="1"/>
    <n v="8"/>
    <n v="4"/>
    <s v="Male"/>
    <n v="79"/>
    <n v="3"/>
    <n v="1"/>
    <x v="2"/>
    <n v="4"/>
    <s v="Single"/>
    <n v="3068"/>
    <n v="11864"/>
    <n v="0"/>
    <s v="Y"/>
    <s v="No"/>
    <n v="13"/>
    <n v="3"/>
    <n v="3"/>
    <n v="80"/>
    <n v="0"/>
    <n v="8"/>
    <n v="2"/>
    <n v="2"/>
    <n v="7"/>
    <n v="7"/>
    <x v="2"/>
    <n v="6"/>
    <s v="OK"/>
    <s v="OK"/>
    <s v="OK"/>
    <s v="OK"/>
    <n v="0.42857142857142855"/>
    <n v="1"/>
    <n v="0.2857142857142857"/>
    <n v="0.8571428571428571"/>
  </r>
  <r>
    <n v="59"/>
    <s v="No"/>
    <s v="Travel_Rarely"/>
    <n v="1324"/>
    <s v="Research &amp; Development"/>
    <n v="3"/>
    <n v="3"/>
    <s v="Medical"/>
    <n v="1"/>
    <n v="10"/>
    <n v="3"/>
    <s v="Female"/>
    <n v="81"/>
    <n v="4"/>
    <n v="1"/>
    <x v="2"/>
    <n v="1"/>
    <s v="Married"/>
    <n v="2670"/>
    <n v="9964"/>
    <n v="4"/>
    <s v="Y"/>
    <s v="Yes"/>
    <n v="20"/>
    <n v="4"/>
    <n v="1"/>
    <n v="80"/>
    <n v="3"/>
    <n v="12"/>
    <n v="3"/>
    <n v="2"/>
    <n v="1"/>
    <n v="0"/>
    <x v="0"/>
    <n v="0"/>
    <s v="OK"/>
    <s v="OK"/>
    <s v="OK"/>
    <s v="OK"/>
    <n v="0"/>
    <n v="0"/>
    <n v="3"/>
    <n v="0"/>
  </r>
  <r>
    <n v="30"/>
    <s v="No"/>
    <s v="Travel_Rarely"/>
    <n v="1358"/>
    <s v="Research &amp; Development"/>
    <n v="24"/>
    <n v="1"/>
    <s v="Life Sciences"/>
    <n v="1"/>
    <n v="11"/>
    <n v="4"/>
    <s v="Male"/>
    <n v="67"/>
    <n v="3"/>
    <n v="1"/>
    <x v="2"/>
    <n v="3"/>
    <s v="Divorced"/>
    <n v="2693"/>
    <n v="13335"/>
    <n v="1"/>
    <s v="Y"/>
    <s v="No"/>
    <n v="22"/>
    <n v="4"/>
    <n v="2"/>
    <n v="80"/>
    <n v="1"/>
    <n v="1"/>
    <n v="2"/>
    <n v="3"/>
    <n v="1"/>
    <n v="0"/>
    <x v="0"/>
    <n v="0"/>
    <s v="OK"/>
    <s v="OK"/>
    <s v="OK"/>
    <s v="OK"/>
    <n v="0"/>
    <n v="0"/>
    <n v="2"/>
    <n v="0"/>
  </r>
  <r>
    <n v="38"/>
    <s v="No"/>
    <s v="Travel_Frequently"/>
    <n v="216"/>
    <s v="Research &amp; Development"/>
    <n v="23"/>
    <n v="3"/>
    <s v="Life Sciences"/>
    <n v="1"/>
    <n v="12"/>
    <n v="4"/>
    <s v="Male"/>
    <n v="44"/>
    <n v="2"/>
    <n v="3"/>
    <x v="3"/>
    <n v="3"/>
    <s v="Single"/>
    <n v="9526"/>
    <n v="8787"/>
    <n v="0"/>
    <s v="Y"/>
    <s v="No"/>
    <n v="21"/>
    <n v="4"/>
    <n v="2"/>
    <n v="80"/>
    <n v="0"/>
    <n v="10"/>
    <n v="2"/>
    <n v="3"/>
    <n v="9"/>
    <n v="7"/>
    <x v="1"/>
    <n v="8"/>
    <s v="OK"/>
    <s v="OK"/>
    <s v="OK"/>
    <s v="OK"/>
    <n v="0.1111111111111111"/>
    <n v="0.77777777777777779"/>
    <n v="0.22222222222222221"/>
    <n v="0.88888888888888884"/>
  </r>
  <r>
    <n v="36"/>
    <s v="No"/>
    <s v="Travel_Rarely"/>
    <n v="1299"/>
    <s v="Research &amp; Development"/>
    <n v="27"/>
    <n v="3"/>
    <s v="Medical"/>
    <n v="1"/>
    <n v="13"/>
    <n v="3"/>
    <s v="Male"/>
    <n v="94"/>
    <n v="3"/>
    <n v="2"/>
    <x v="4"/>
    <n v="3"/>
    <s v="Married"/>
    <n v="5237"/>
    <n v="16577"/>
    <n v="6"/>
    <s v="Y"/>
    <s v="No"/>
    <n v="13"/>
    <n v="3"/>
    <n v="2"/>
    <n v="80"/>
    <n v="2"/>
    <n v="17"/>
    <n v="3"/>
    <n v="2"/>
    <n v="7"/>
    <n v="7"/>
    <x v="4"/>
    <n v="7"/>
    <s v="OK"/>
    <s v="OK"/>
    <s v="OK"/>
    <s v="OK"/>
    <n v="1"/>
    <n v="1"/>
    <n v="0.42857142857142855"/>
    <n v="1"/>
  </r>
  <r>
    <n v="35"/>
    <s v="No"/>
    <s v="Travel_Rarely"/>
    <n v="809"/>
    <s v="Research &amp; Development"/>
    <n v="16"/>
    <n v="3"/>
    <s v="Medical"/>
    <n v="1"/>
    <n v="14"/>
    <n v="1"/>
    <s v="Male"/>
    <n v="84"/>
    <n v="4"/>
    <n v="1"/>
    <x v="2"/>
    <n v="2"/>
    <s v="Married"/>
    <n v="2426"/>
    <n v="16479"/>
    <n v="0"/>
    <s v="Y"/>
    <s v="No"/>
    <n v="13"/>
    <n v="3"/>
    <n v="3"/>
    <n v="80"/>
    <n v="1"/>
    <n v="6"/>
    <n v="5"/>
    <n v="3"/>
    <n v="5"/>
    <n v="4"/>
    <x v="0"/>
    <n v="3"/>
    <s v="OK"/>
    <s v="OK"/>
    <s v="OK"/>
    <s v="OK"/>
    <n v="0"/>
    <n v="0.8"/>
    <n v="1"/>
    <n v="0.6"/>
  </r>
  <r>
    <n v="29"/>
    <s v="No"/>
    <s v="Travel_Rarely"/>
    <n v="153"/>
    <s v="Research &amp; Development"/>
    <n v="15"/>
    <n v="2"/>
    <s v="Life Sciences"/>
    <n v="1"/>
    <n v="15"/>
    <n v="4"/>
    <s v="Female"/>
    <n v="49"/>
    <n v="2"/>
    <n v="2"/>
    <x v="2"/>
    <n v="3"/>
    <s v="Single"/>
    <n v="4193"/>
    <n v="12682"/>
    <n v="0"/>
    <s v="Y"/>
    <s v="Yes"/>
    <n v="12"/>
    <n v="3"/>
    <n v="4"/>
    <n v="80"/>
    <n v="0"/>
    <n v="10"/>
    <n v="3"/>
    <n v="3"/>
    <n v="9"/>
    <n v="5"/>
    <x v="0"/>
    <n v="8"/>
    <s v="OK"/>
    <s v="OK"/>
    <s v="OK"/>
    <s v="OK"/>
    <n v="0"/>
    <n v="0.55555555555555558"/>
    <n v="0.33333333333333331"/>
    <n v="0.88888888888888884"/>
  </r>
  <r>
    <n v="31"/>
    <s v="No"/>
    <s v="Travel_Rarely"/>
    <n v="670"/>
    <s v="Research &amp; Development"/>
    <n v="26"/>
    <n v="1"/>
    <s v="Life Sciences"/>
    <n v="1"/>
    <n v="16"/>
    <n v="1"/>
    <s v="Male"/>
    <n v="31"/>
    <n v="3"/>
    <n v="1"/>
    <x v="1"/>
    <n v="3"/>
    <s v="Divorced"/>
    <n v="2911"/>
    <n v="15170"/>
    <n v="1"/>
    <s v="Y"/>
    <s v="No"/>
    <n v="17"/>
    <n v="3"/>
    <n v="4"/>
    <n v="80"/>
    <n v="1"/>
    <n v="5"/>
    <n v="1"/>
    <n v="2"/>
    <n v="5"/>
    <n v="2"/>
    <x v="5"/>
    <n v="3"/>
    <s v="OK"/>
    <s v="OK"/>
    <s v="OK"/>
    <s v="OK"/>
    <n v="0.8"/>
    <n v="0.4"/>
    <n v="0.2"/>
    <n v="0.6"/>
  </r>
  <r>
    <n v="34"/>
    <s v="No"/>
    <s v="Travel_Rarely"/>
    <n v="1346"/>
    <s v="Research &amp; Development"/>
    <n v="19"/>
    <n v="2"/>
    <s v="Medical"/>
    <n v="1"/>
    <n v="18"/>
    <n v="2"/>
    <s v="Male"/>
    <n v="93"/>
    <n v="3"/>
    <n v="1"/>
    <x v="2"/>
    <n v="4"/>
    <s v="Divorced"/>
    <n v="2661"/>
    <n v="8758"/>
    <n v="0"/>
    <s v="Y"/>
    <s v="No"/>
    <n v="11"/>
    <n v="3"/>
    <n v="3"/>
    <n v="80"/>
    <n v="1"/>
    <n v="3"/>
    <n v="2"/>
    <n v="3"/>
    <n v="2"/>
    <n v="2"/>
    <x v="1"/>
    <n v="2"/>
    <s v="OK"/>
    <s v="OK"/>
    <s v="OK"/>
    <s v="OK"/>
    <n v="0.5"/>
    <n v="1"/>
    <n v="1"/>
    <n v="1"/>
  </r>
  <r>
    <n v="28"/>
    <s v="Yes"/>
    <s v="Travel_Rarely"/>
    <n v="103"/>
    <s v="Research &amp; Development"/>
    <n v="24"/>
    <n v="3"/>
    <s v="Life Sciences"/>
    <n v="1"/>
    <n v="19"/>
    <n v="3"/>
    <s v="Male"/>
    <n v="50"/>
    <n v="2"/>
    <n v="1"/>
    <x v="2"/>
    <n v="3"/>
    <s v="Single"/>
    <n v="2028"/>
    <n v="12947"/>
    <n v="5"/>
    <s v="Y"/>
    <s v="Yes"/>
    <n v="14"/>
    <n v="3"/>
    <n v="2"/>
    <n v="80"/>
    <n v="0"/>
    <n v="6"/>
    <n v="4"/>
    <n v="3"/>
    <n v="4"/>
    <n v="2"/>
    <x v="0"/>
    <n v="3"/>
    <s v="OK"/>
    <s v="OK"/>
    <s v="OK"/>
    <s v="OK"/>
    <n v="0"/>
    <n v="0.5"/>
    <n v="1"/>
    <n v="0.75"/>
  </r>
  <r>
    <n v="29"/>
    <s v="No"/>
    <s v="Travel_Rarely"/>
    <n v="1389"/>
    <s v="Research &amp; Development"/>
    <n v="21"/>
    <n v="4"/>
    <s v="Life Sciences"/>
    <n v="1"/>
    <n v="20"/>
    <n v="2"/>
    <s v="Female"/>
    <n v="51"/>
    <n v="4"/>
    <n v="3"/>
    <x v="3"/>
    <n v="1"/>
    <s v="Divorced"/>
    <n v="9980"/>
    <n v="10195"/>
    <n v="1"/>
    <s v="Y"/>
    <s v="No"/>
    <n v="11"/>
    <n v="3"/>
    <n v="3"/>
    <n v="80"/>
    <n v="1"/>
    <n v="10"/>
    <n v="1"/>
    <n v="3"/>
    <n v="10"/>
    <n v="9"/>
    <x v="6"/>
    <n v="8"/>
    <s v="OK"/>
    <s v="OK"/>
    <s v="OK"/>
    <s v="OK"/>
    <n v="0.8"/>
    <n v="0.9"/>
    <n v="0.1"/>
    <n v="0.8"/>
  </r>
  <r>
    <n v="32"/>
    <s v="No"/>
    <s v="Travel_Rarely"/>
    <n v="334"/>
    <s v="Research &amp; Development"/>
    <n v="5"/>
    <n v="2"/>
    <s v="Life Sciences"/>
    <n v="1"/>
    <n v="21"/>
    <n v="1"/>
    <s v="Male"/>
    <n v="80"/>
    <n v="4"/>
    <n v="1"/>
    <x v="1"/>
    <n v="2"/>
    <s v="Divorced"/>
    <n v="3298"/>
    <n v="15053"/>
    <n v="0"/>
    <s v="Y"/>
    <s v="Yes"/>
    <n v="12"/>
    <n v="3"/>
    <n v="4"/>
    <n v="80"/>
    <n v="2"/>
    <n v="7"/>
    <n v="5"/>
    <n v="2"/>
    <n v="6"/>
    <n v="2"/>
    <x v="0"/>
    <n v="5"/>
    <s v="OK"/>
    <s v="OK"/>
    <s v="OK"/>
    <s v="OK"/>
    <n v="0"/>
    <n v="0.33333333333333331"/>
    <n v="0.83333333333333337"/>
    <n v="0.83333333333333337"/>
  </r>
  <r>
    <n v="22"/>
    <s v="No"/>
    <s v="Non-Travel"/>
    <n v="1123"/>
    <s v="Research &amp; Development"/>
    <n v="16"/>
    <n v="2"/>
    <s v="Medical"/>
    <n v="1"/>
    <n v="22"/>
    <n v="4"/>
    <s v="Male"/>
    <n v="96"/>
    <n v="4"/>
    <n v="1"/>
    <x v="2"/>
    <n v="4"/>
    <s v="Divorced"/>
    <n v="2935"/>
    <n v="7324"/>
    <n v="1"/>
    <s v="Y"/>
    <s v="Yes"/>
    <n v="13"/>
    <n v="3"/>
    <n v="2"/>
    <n v="80"/>
    <n v="2"/>
    <n v="1"/>
    <n v="2"/>
    <n v="2"/>
    <n v="1"/>
    <n v="0"/>
    <x v="0"/>
    <n v="0"/>
    <s v="OK"/>
    <s v="OK"/>
    <s v="OK"/>
    <s v="OK"/>
    <n v="0"/>
    <n v="0"/>
    <n v="2"/>
    <n v="0"/>
  </r>
  <r>
    <n v="53"/>
    <s v="No"/>
    <s v="Travel_Rarely"/>
    <n v="1219"/>
    <s v="Sales"/>
    <n v="2"/>
    <n v="4"/>
    <s v="Life Sciences"/>
    <n v="1"/>
    <n v="23"/>
    <n v="1"/>
    <s v="Female"/>
    <n v="78"/>
    <n v="2"/>
    <n v="4"/>
    <x v="5"/>
    <n v="4"/>
    <s v="Married"/>
    <n v="15427"/>
    <n v="22021"/>
    <n v="2"/>
    <s v="Y"/>
    <s v="No"/>
    <n v="16"/>
    <n v="3"/>
    <n v="3"/>
    <n v="80"/>
    <n v="0"/>
    <n v="31"/>
    <n v="3"/>
    <n v="3"/>
    <n v="25"/>
    <n v="8"/>
    <x v="2"/>
    <n v="7"/>
    <s v="OK"/>
    <s v="OK"/>
    <s v="OK"/>
    <s v="OK"/>
    <n v="0.12"/>
    <n v="0.32"/>
    <n v="0.12"/>
    <n v="0.28000000000000003"/>
  </r>
  <r>
    <n v="38"/>
    <s v="No"/>
    <s v="Travel_Rarely"/>
    <n v="371"/>
    <s v="Research &amp; Development"/>
    <n v="2"/>
    <n v="3"/>
    <s v="Life Sciences"/>
    <n v="1"/>
    <n v="24"/>
    <n v="4"/>
    <s v="Male"/>
    <n v="45"/>
    <n v="3"/>
    <n v="1"/>
    <x v="1"/>
    <n v="4"/>
    <s v="Single"/>
    <n v="3944"/>
    <n v="4306"/>
    <n v="5"/>
    <s v="Y"/>
    <s v="Yes"/>
    <n v="11"/>
    <n v="3"/>
    <n v="3"/>
    <n v="80"/>
    <n v="0"/>
    <n v="6"/>
    <n v="3"/>
    <n v="3"/>
    <n v="3"/>
    <n v="2"/>
    <x v="1"/>
    <n v="2"/>
    <s v="OK"/>
    <s v="OK"/>
    <s v="OK"/>
    <s v="OK"/>
    <n v="0.33333333333333331"/>
    <n v="0.66666666666666663"/>
    <n v="1"/>
    <n v="0.66666666666666663"/>
  </r>
  <r>
    <n v="24"/>
    <s v="No"/>
    <s v="Non-Travel"/>
    <n v="673"/>
    <s v="Research &amp; Development"/>
    <n v="11"/>
    <n v="2"/>
    <s v="Other"/>
    <n v="1"/>
    <n v="26"/>
    <n v="1"/>
    <s v="Female"/>
    <n v="96"/>
    <n v="4"/>
    <n v="2"/>
    <x v="3"/>
    <n v="3"/>
    <s v="Divorced"/>
    <n v="4011"/>
    <n v="8232"/>
    <n v="0"/>
    <s v="Y"/>
    <s v="No"/>
    <n v="18"/>
    <n v="3"/>
    <n v="4"/>
    <n v="80"/>
    <n v="1"/>
    <n v="5"/>
    <n v="5"/>
    <n v="2"/>
    <n v="4"/>
    <n v="2"/>
    <x v="1"/>
    <n v="3"/>
    <s v="OK"/>
    <s v="OK"/>
    <s v="OK"/>
    <s v="OK"/>
    <n v="0.25"/>
    <n v="0.5"/>
    <n v="1.25"/>
    <n v="0.75"/>
  </r>
  <r>
    <n v="36"/>
    <s v="Yes"/>
    <s v="Travel_Rarely"/>
    <n v="1218"/>
    <s v="Sales"/>
    <n v="9"/>
    <n v="4"/>
    <s v="Life Sciences"/>
    <n v="1"/>
    <n v="27"/>
    <n v="3"/>
    <s v="Male"/>
    <n v="82"/>
    <n v="2"/>
    <n v="1"/>
    <x v="6"/>
    <n v="1"/>
    <s v="Single"/>
    <n v="3407"/>
    <n v="6986"/>
    <n v="7"/>
    <s v="Y"/>
    <s v="No"/>
    <n v="23"/>
    <n v="4"/>
    <n v="2"/>
    <n v="80"/>
    <n v="0"/>
    <n v="10"/>
    <n v="4"/>
    <n v="3"/>
    <n v="5"/>
    <n v="3"/>
    <x v="0"/>
    <n v="3"/>
    <s v="OK"/>
    <s v="OK"/>
    <s v="OK"/>
    <s v="OK"/>
    <n v="0"/>
    <n v="0.6"/>
    <n v="0.8"/>
    <n v="0.6"/>
  </r>
  <r>
    <n v="34"/>
    <s v="No"/>
    <s v="Travel_Rarely"/>
    <n v="419"/>
    <s v="Research &amp; Development"/>
    <n v="7"/>
    <n v="4"/>
    <s v="Life Sciences"/>
    <n v="1"/>
    <n v="28"/>
    <n v="1"/>
    <s v="Female"/>
    <n v="53"/>
    <n v="3"/>
    <n v="3"/>
    <x v="7"/>
    <n v="2"/>
    <s v="Single"/>
    <n v="11994"/>
    <n v="21293"/>
    <n v="0"/>
    <s v="Y"/>
    <s v="No"/>
    <n v="11"/>
    <n v="3"/>
    <n v="3"/>
    <n v="80"/>
    <n v="0"/>
    <n v="13"/>
    <n v="4"/>
    <n v="3"/>
    <n v="12"/>
    <n v="6"/>
    <x v="3"/>
    <n v="11"/>
    <s v="OK"/>
    <s v="OK"/>
    <s v="OK"/>
    <s v="OK"/>
    <n v="0.16666666666666666"/>
    <n v="0.5"/>
    <n v="0.33333333333333331"/>
    <n v="0.91666666666666663"/>
  </r>
  <r>
    <n v="21"/>
    <s v="No"/>
    <s v="Travel_Rarely"/>
    <n v="391"/>
    <s v="Research &amp; Development"/>
    <n v="15"/>
    <n v="2"/>
    <s v="Life Sciences"/>
    <n v="1"/>
    <n v="30"/>
    <n v="3"/>
    <s v="Male"/>
    <n v="96"/>
    <n v="3"/>
    <n v="1"/>
    <x v="1"/>
    <n v="4"/>
    <s v="Single"/>
    <n v="1232"/>
    <n v="19281"/>
    <n v="1"/>
    <s v="Y"/>
    <s v="No"/>
    <n v="14"/>
    <n v="3"/>
    <n v="4"/>
    <n v="80"/>
    <n v="0"/>
    <n v="0"/>
    <n v="6"/>
    <n v="3"/>
    <n v="0"/>
    <n v="0"/>
    <x v="0"/>
    <n v="0"/>
    <s v="OK"/>
    <s v="OK"/>
    <s v="OK"/>
    <s v="OK"/>
    <n v="0"/>
    <n v="0"/>
    <n v="0"/>
    <n v="0"/>
  </r>
  <r>
    <n v="34"/>
    <s v="Yes"/>
    <s v="Travel_Rarely"/>
    <n v="699"/>
    <s v="Research &amp; Development"/>
    <n v="6"/>
    <n v="1"/>
    <s v="Medical"/>
    <n v="1"/>
    <n v="31"/>
    <n v="2"/>
    <s v="Male"/>
    <n v="83"/>
    <n v="3"/>
    <n v="1"/>
    <x v="1"/>
    <n v="1"/>
    <s v="Single"/>
    <n v="2960"/>
    <n v="17102"/>
    <n v="2"/>
    <s v="Y"/>
    <s v="No"/>
    <n v="11"/>
    <n v="3"/>
    <n v="3"/>
    <n v="80"/>
    <n v="0"/>
    <n v="8"/>
    <n v="2"/>
    <n v="3"/>
    <n v="4"/>
    <n v="2"/>
    <x v="1"/>
    <n v="3"/>
    <s v="OK"/>
    <s v="OK"/>
    <s v="OK"/>
    <s v="OK"/>
    <n v="0.25"/>
    <n v="0.5"/>
    <n v="0.5"/>
    <n v="0.75"/>
  </r>
  <r>
    <n v="53"/>
    <s v="No"/>
    <s v="Travel_Rarely"/>
    <n v="1282"/>
    <s v="Research &amp; Development"/>
    <n v="5"/>
    <n v="3"/>
    <s v="Other"/>
    <n v="1"/>
    <n v="32"/>
    <n v="3"/>
    <s v="Female"/>
    <n v="58"/>
    <n v="3"/>
    <n v="5"/>
    <x v="5"/>
    <n v="3"/>
    <s v="Divorced"/>
    <n v="19094"/>
    <n v="10735"/>
    <n v="4"/>
    <s v="Y"/>
    <s v="No"/>
    <n v="11"/>
    <n v="3"/>
    <n v="4"/>
    <n v="80"/>
    <n v="1"/>
    <n v="26"/>
    <n v="3"/>
    <n v="2"/>
    <n v="14"/>
    <n v="13"/>
    <x v="5"/>
    <n v="8"/>
    <s v="OK"/>
    <s v="OK"/>
    <s v="OK"/>
    <s v="OK"/>
    <n v="0.2857142857142857"/>
    <n v="0.9285714285714286"/>
    <n v="0.21428571428571427"/>
    <n v="0.5714285714285714"/>
  </r>
  <r>
    <n v="32"/>
    <s v="Yes"/>
    <s v="Travel_Frequently"/>
    <n v="1125"/>
    <s v="Research &amp; Development"/>
    <n v="16"/>
    <n v="1"/>
    <s v="Life Sciences"/>
    <n v="1"/>
    <n v="33"/>
    <n v="2"/>
    <s v="Female"/>
    <n v="72"/>
    <n v="1"/>
    <n v="1"/>
    <x v="1"/>
    <n v="1"/>
    <s v="Single"/>
    <n v="3919"/>
    <n v="4681"/>
    <n v="1"/>
    <s v="Y"/>
    <s v="Yes"/>
    <n v="22"/>
    <n v="4"/>
    <n v="2"/>
    <n v="80"/>
    <n v="0"/>
    <n v="10"/>
    <n v="5"/>
    <n v="3"/>
    <n v="10"/>
    <n v="2"/>
    <x v="7"/>
    <n v="7"/>
    <s v="OK"/>
    <s v="OK"/>
    <s v="OK"/>
    <s v="OK"/>
    <n v="0.6"/>
    <n v="0.2"/>
    <n v="0.5"/>
    <n v="0.7"/>
  </r>
  <r>
    <n v="42"/>
    <s v="No"/>
    <s v="Travel_Rarely"/>
    <n v="691"/>
    <s v="Sales"/>
    <n v="8"/>
    <n v="4"/>
    <s v="Marketing"/>
    <n v="1"/>
    <n v="35"/>
    <n v="3"/>
    <s v="Male"/>
    <n v="48"/>
    <n v="3"/>
    <n v="2"/>
    <x v="0"/>
    <n v="2"/>
    <s v="Married"/>
    <n v="6825"/>
    <n v="21173"/>
    <n v="0"/>
    <s v="Y"/>
    <s v="No"/>
    <n v="11"/>
    <n v="3"/>
    <n v="4"/>
    <n v="80"/>
    <n v="1"/>
    <n v="10"/>
    <n v="2"/>
    <n v="3"/>
    <n v="9"/>
    <n v="7"/>
    <x v="5"/>
    <n v="2"/>
    <s v="OK"/>
    <s v="OK"/>
    <s v="OK"/>
    <s v="OK"/>
    <n v="0.44444444444444442"/>
    <n v="0.77777777777777779"/>
    <n v="0.22222222222222221"/>
    <n v="0.22222222222222221"/>
  </r>
  <r>
    <n v="44"/>
    <s v="No"/>
    <s v="Travel_Rarely"/>
    <n v="477"/>
    <s v="Research &amp; Development"/>
    <n v="7"/>
    <n v="4"/>
    <s v="Medical"/>
    <n v="1"/>
    <n v="36"/>
    <n v="1"/>
    <s v="Female"/>
    <n v="42"/>
    <n v="2"/>
    <n v="3"/>
    <x v="4"/>
    <n v="4"/>
    <s v="Married"/>
    <n v="10248"/>
    <n v="2094"/>
    <n v="3"/>
    <s v="Y"/>
    <s v="No"/>
    <n v="14"/>
    <n v="3"/>
    <n v="4"/>
    <n v="80"/>
    <n v="1"/>
    <n v="24"/>
    <n v="4"/>
    <n v="3"/>
    <n v="22"/>
    <n v="6"/>
    <x v="8"/>
    <n v="17"/>
    <s v="OK"/>
    <s v="OK"/>
    <s v="OK"/>
    <s v="OK"/>
    <n v="0.22727272727272727"/>
    <n v="0.27272727272727271"/>
    <n v="0.18181818181818182"/>
    <n v="0.77272727272727271"/>
  </r>
  <r>
    <n v="46"/>
    <s v="No"/>
    <s v="Travel_Rarely"/>
    <n v="705"/>
    <s v="Sales"/>
    <n v="2"/>
    <n v="4"/>
    <s v="Marketing"/>
    <n v="1"/>
    <n v="38"/>
    <n v="2"/>
    <s v="Female"/>
    <n v="83"/>
    <n v="3"/>
    <n v="5"/>
    <x v="5"/>
    <n v="1"/>
    <s v="Single"/>
    <n v="18947"/>
    <n v="22822"/>
    <n v="3"/>
    <s v="Y"/>
    <s v="No"/>
    <n v="12"/>
    <n v="3"/>
    <n v="4"/>
    <n v="80"/>
    <n v="0"/>
    <n v="22"/>
    <n v="2"/>
    <n v="2"/>
    <n v="2"/>
    <n v="2"/>
    <x v="3"/>
    <n v="1"/>
    <s v="OK"/>
    <s v="OK"/>
    <s v="OK"/>
    <s v="OK"/>
    <n v="1"/>
    <n v="1"/>
    <n v="1"/>
    <n v="0.5"/>
  </r>
  <r>
    <n v="33"/>
    <s v="No"/>
    <s v="Travel_Rarely"/>
    <n v="924"/>
    <s v="Research &amp; Development"/>
    <n v="2"/>
    <n v="3"/>
    <s v="Medical"/>
    <n v="1"/>
    <n v="39"/>
    <n v="3"/>
    <s v="Male"/>
    <n v="78"/>
    <n v="3"/>
    <n v="1"/>
    <x v="2"/>
    <n v="4"/>
    <s v="Single"/>
    <n v="2496"/>
    <n v="6670"/>
    <n v="4"/>
    <s v="Y"/>
    <s v="No"/>
    <n v="11"/>
    <n v="3"/>
    <n v="4"/>
    <n v="80"/>
    <n v="0"/>
    <n v="7"/>
    <n v="3"/>
    <n v="3"/>
    <n v="1"/>
    <n v="1"/>
    <x v="0"/>
    <n v="0"/>
    <s v="OK"/>
    <s v="OK"/>
    <s v="OK"/>
    <s v="OK"/>
    <n v="0"/>
    <n v="1"/>
    <n v="3"/>
    <n v="0"/>
  </r>
  <r>
    <n v="44"/>
    <s v="No"/>
    <s v="Travel_Rarely"/>
    <n v="1459"/>
    <s v="Research &amp; Development"/>
    <n v="10"/>
    <n v="4"/>
    <s v="Other"/>
    <n v="1"/>
    <n v="40"/>
    <n v="4"/>
    <s v="Male"/>
    <n v="41"/>
    <n v="3"/>
    <n v="2"/>
    <x v="4"/>
    <n v="4"/>
    <s v="Married"/>
    <n v="6465"/>
    <n v="19121"/>
    <n v="2"/>
    <s v="Y"/>
    <s v="Yes"/>
    <n v="13"/>
    <n v="3"/>
    <n v="4"/>
    <n v="80"/>
    <n v="0"/>
    <n v="9"/>
    <n v="5"/>
    <n v="4"/>
    <n v="4"/>
    <n v="2"/>
    <x v="1"/>
    <n v="3"/>
    <s v="OK"/>
    <s v="OK"/>
    <s v="OK"/>
    <s v="OK"/>
    <n v="0.25"/>
    <n v="0.5"/>
    <n v="1.25"/>
    <n v="0.75"/>
  </r>
  <r>
    <n v="30"/>
    <s v="No"/>
    <s v="Travel_Rarely"/>
    <n v="125"/>
    <s v="Research &amp; Development"/>
    <n v="9"/>
    <n v="2"/>
    <s v="Medical"/>
    <n v="1"/>
    <n v="41"/>
    <n v="4"/>
    <s v="Male"/>
    <n v="83"/>
    <n v="2"/>
    <n v="1"/>
    <x v="2"/>
    <n v="3"/>
    <s v="Single"/>
    <n v="2206"/>
    <n v="16117"/>
    <n v="1"/>
    <s v="Y"/>
    <s v="No"/>
    <n v="13"/>
    <n v="3"/>
    <n v="1"/>
    <n v="80"/>
    <n v="0"/>
    <n v="10"/>
    <n v="5"/>
    <n v="3"/>
    <n v="10"/>
    <n v="0"/>
    <x v="1"/>
    <n v="8"/>
    <s v="OK"/>
    <s v="OK"/>
    <s v="OK"/>
    <s v="OK"/>
    <n v="0.1"/>
    <n v="0"/>
    <n v="0.5"/>
    <n v="0.8"/>
  </r>
  <r>
    <n v="39"/>
    <s v="Yes"/>
    <s v="Travel_Rarely"/>
    <n v="895"/>
    <s v="Sales"/>
    <n v="5"/>
    <n v="3"/>
    <s v="Technical Degree"/>
    <n v="1"/>
    <n v="42"/>
    <n v="4"/>
    <s v="Male"/>
    <n v="56"/>
    <n v="3"/>
    <n v="2"/>
    <x v="6"/>
    <n v="4"/>
    <s v="Married"/>
    <n v="2086"/>
    <n v="3335"/>
    <n v="3"/>
    <s v="Y"/>
    <s v="No"/>
    <n v="14"/>
    <n v="3"/>
    <n v="3"/>
    <n v="80"/>
    <n v="1"/>
    <n v="19"/>
    <n v="6"/>
    <n v="4"/>
    <n v="1"/>
    <n v="0"/>
    <x v="0"/>
    <n v="0"/>
    <s v="OK"/>
    <s v="OK"/>
    <s v="OK"/>
    <s v="OK"/>
    <n v="0"/>
    <n v="0"/>
    <n v="6"/>
    <n v="0"/>
  </r>
  <r>
    <n v="24"/>
    <s v="Yes"/>
    <s v="Travel_Rarely"/>
    <n v="813"/>
    <s v="Research &amp; Development"/>
    <n v="1"/>
    <n v="3"/>
    <s v="Medical"/>
    <n v="1"/>
    <n v="45"/>
    <n v="2"/>
    <s v="Male"/>
    <n v="61"/>
    <n v="3"/>
    <n v="1"/>
    <x v="1"/>
    <n v="4"/>
    <s v="Married"/>
    <n v="2293"/>
    <n v="3020"/>
    <n v="2"/>
    <s v="Y"/>
    <s v="Yes"/>
    <n v="16"/>
    <n v="3"/>
    <n v="1"/>
    <n v="80"/>
    <n v="1"/>
    <n v="6"/>
    <n v="2"/>
    <n v="2"/>
    <n v="2"/>
    <n v="0"/>
    <x v="3"/>
    <n v="0"/>
    <s v="OK"/>
    <s v="OK"/>
    <s v="OK"/>
    <s v="OK"/>
    <n v="1"/>
    <n v="0"/>
    <n v="1"/>
    <n v="0"/>
  </r>
  <r>
    <n v="43"/>
    <s v="No"/>
    <s v="Travel_Rarely"/>
    <n v="1273"/>
    <s v="Research &amp; Development"/>
    <n v="2"/>
    <n v="2"/>
    <s v="Medical"/>
    <n v="1"/>
    <n v="46"/>
    <n v="4"/>
    <s v="Female"/>
    <n v="72"/>
    <n v="4"/>
    <n v="1"/>
    <x v="1"/>
    <n v="3"/>
    <s v="Divorced"/>
    <n v="2645"/>
    <n v="21923"/>
    <n v="1"/>
    <s v="Y"/>
    <s v="No"/>
    <n v="12"/>
    <n v="3"/>
    <n v="4"/>
    <n v="80"/>
    <n v="2"/>
    <n v="6"/>
    <n v="3"/>
    <n v="2"/>
    <n v="5"/>
    <n v="3"/>
    <x v="1"/>
    <n v="4"/>
    <s v="OK"/>
    <s v="OK"/>
    <s v="OK"/>
    <s v="OK"/>
    <n v="0.2"/>
    <n v="0.6"/>
    <n v="0.6"/>
    <n v="0.8"/>
  </r>
  <r>
    <n v="50"/>
    <s v="Yes"/>
    <s v="Travel_Rarely"/>
    <n v="869"/>
    <s v="Sales"/>
    <n v="3"/>
    <n v="2"/>
    <s v="Marketing"/>
    <n v="1"/>
    <n v="47"/>
    <n v="1"/>
    <s v="Male"/>
    <n v="86"/>
    <n v="2"/>
    <n v="1"/>
    <x v="6"/>
    <n v="3"/>
    <s v="Married"/>
    <n v="2683"/>
    <n v="3810"/>
    <n v="1"/>
    <s v="Y"/>
    <s v="Yes"/>
    <n v="14"/>
    <n v="3"/>
    <n v="3"/>
    <n v="80"/>
    <n v="0"/>
    <n v="3"/>
    <n v="2"/>
    <n v="3"/>
    <n v="3"/>
    <n v="2"/>
    <x v="0"/>
    <n v="2"/>
    <s v="OK"/>
    <s v="OK"/>
    <s v="OK"/>
    <s v="OK"/>
    <n v="0"/>
    <n v="0.66666666666666663"/>
    <n v="0.66666666666666663"/>
    <n v="0.66666666666666663"/>
  </r>
  <r>
    <n v="35"/>
    <s v="No"/>
    <s v="Travel_Rarely"/>
    <n v="890"/>
    <s v="Sales"/>
    <n v="2"/>
    <n v="3"/>
    <s v="Marketing"/>
    <n v="1"/>
    <n v="49"/>
    <n v="4"/>
    <s v="Female"/>
    <n v="97"/>
    <n v="3"/>
    <n v="1"/>
    <x v="6"/>
    <n v="4"/>
    <s v="Married"/>
    <n v="2014"/>
    <n v="9687"/>
    <n v="1"/>
    <s v="Y"/>
    <s v="No"/>
    <n v="13"/>
    <n v="3"/>
    <n v="1"/>
    <n v="80"/>
    <n v="0"/>
    <n v="2"/>
    <n v="3"/>
    <n v="3"/>
    <n v="2"/>
    <n v="2"/>
    <x v="3"/>
    <n v="2"/>
    <s v="OK"/>
    <s v="OK"/>
    <s v="OK"/>
    <s v="OK"/>
    <n v="1"/>
    <n v="1"/>
    <n v="1.5"/>
    <n v="1"/>
  </r>
  <r>
    <n v="36"/>
    <s v="No"/>
    <s v="Travel_Rarely"/>
    <n v="852"/>
    <s v="Research &amp; Development"/>
    <n v="5"/>
    <n v="4"/>
    <s v="Life Sciences"/>
    <n v="1"/>
    <n v="51"/>
    <n v="2"/>
    <s v="Female"/>
    <n v="82"/>
    <n v="2"/>
    <n v="1"/>
    <x v="1"/>
    <n v="1"/>
    <s v="Married"/>
    <n v="3419"/>
    <n v="13072"/>
    <n v="9"/>
    <s v="Y"/>
    <s v="Yes"/>
    <n v="14"/>
    <n v="3"/>
    <n v="4"/>
    <n v="80"/>
    <n v="1"/>
    <n v="6"/>
    <n v="3"/>
    <n v="4"/>
    <n v="1"/>
    <n v="1"/>
    <x v="0"/>
    <n v="0"/>
    <s v="OK"/>
    <s v="OK"/>
    <s v="OK"/>
    <s v="OK"/>
    <n v="0"/>
    <n v="1"/>
    <n v="3"/>
    <n v="0"/>
  </r>
  <r>
    <n v="33"/>
    <s v="No"/>
    <s v="Travel_Frequently"/>
    <n v="1141"/>
    <s v="Sales"/>
    <n v="1"/>
    <n v="3"/>
    <s v="Life Sciences"/>
    <n v="1"/>
    <n v="52"/>
    <n v="3"/>
    <s v="Female"/>
    <n v="42"/>
    <n v="4"/>
    <n v="2"/>
    <x v="0"/>
    <n v="1"/>
    <s v="Married"/>
    <n v="5376"/>
    <n v="3193"/>
    <n v="2"/>
    <s v="Y"/>
    <s v="No"/>
    <n v="19"/>
    <n v="3"/>
    <n v="1"/>
    <n v="80"/>
    <n v="2"/>
    <n v="10"/>
    <n v="3"/>
    <n v="3"/>
    <n v="5"/>
    <n v="3"/>
    <x v="1"/>
    <n v="3"/>
    <s v="OK"/>
    <s v="OK"/>
    <s v="OK"/>
    <s v="OK"/>
    <n v="0.2"/>
    <n v="0.6"/>
    <n v="0.6"/>
    <n v="0.6"/>
  </r>
  <r>
    <n v="35"/>
    <s v="No"/>
    <s v="Travel_Rarely"/>
    <n v="464"/>
    <s v="Research &amp; Development"/>
    <n v="4"/>
    <n v="2"/>
    <s v="Other"/>
    <n v="1"/>
    <n v="53"/>
    <n v="3"/>
    <s v="Male"/>
    <n v="75"/>
    <n v="3"/>
    <n v="1"/>
    <x v="2"/>
    <n v="4"/>
    <s v="Divorced"/>
    <n v="1951"/>
    <n v="10910"/>
    <n v="1"/>
    <s v="Y"/>
    <s v="No"/>
    <n v="12"/>
    <n v="3"/>
    <n v="3"/>
    <n v="80"/>
    <n v="1"/>
    <n v="1"/>
    <n v="3"/>
    <n v="3"/>
    <n v="1"/>
    <n v="0"/>
    <x v="0"/>
    <n v="0"/>
    <s v="OK"/>
    <s v="OK"/>
    <s v="OK"/>
    <s v="OK"/>
    <n v="0"/>
    <n v="0"/>
    <n v="3"/>
    <n v="0"/>
  </r>
  <r>
    <n v="27"/>
    <s v="No"/>
    <s v="Travel_Rarely"/>
    <n v="1240"/>
    <s v="Research &amp; Development"/>
    <n v="2"/>
    <n v="4"/>
    <s v="Life Sciences"/>
    <n v="1"/>
    <n v="54"/>
    <n v="4"/>
    <s v="Female"/>
    <n v="33"/>
    <n v="3"/>
    <n v="1"/>
    <x v="2"/>
    <n v="1"/>
    <s v="Divorced"/>
    <n v="2341"/>
    <n v="19715"/>
    <n v="1"/>
    <s v="Y"/>
    <s v="No"/>
    <n v="13"/>
    <n v="3"/>
    <n v="4"/>
    <n v="80"/>
    <n v="1"/>
    <n v="1"/>
    <n v="6"/>
    <n v="3"/>
    <n v="1"/>
    <n v="0"/>
    <x v="0"/>
    <n v="0"/>
    <s v="OK"/>
    <s v="OK"/>
    <s v="OK"/>
    <s v="OK"/>
    <n v="0"/>
    <n v="0"/>
    <n v="6"/>
    <n v="0"/>
  </r>
  <r>
    <n v="26"/>
    <s v="Yes"/>
    <s v="Travel_Rarely"/>
    <n v="1357"/>
    <s v="Research &amp; Development"/>
    <n v="25"/>
    <n v="3"/>
    <s v="Life Sciences"/>
    <n v="1"/>
    <n v="55"/>
    <n v="1"/>
    <s v="Male"/>
    <n v="48"/>
    <n v="1"/>
    <n v="1"/>
    <x v="2"/>
    <n v="3"/>
    <s v="Single"/>
    <n v="2293"/>
    <n v="10558"/>
    <n v="1"/>
    <s v="Y"/>
    <s v="No"/>
    <n v="12"/>
    <n v="3"/>
    <n v="3"/>
    <n v="80"/>
    <n v="0"/>
    <n v="1"/>
    <n v="2"/>
    <n v="2"/>
    <n v="1"/>
    <n v="0"/>
    <x v="0"/>
    <n v="1"/>
    <s v="OK"/>
    <s v="OK"/>
    <s v="OK"/>
    <s v="OK"/>
    <n v="0"/>
    <n v="0"/>
    <n v="2"/>
    <n v="1"/>
  </r>
  <r>
    <n v="27"/>
    <s v="No"/>
    <s v="Travel_Frequently"/>
    <n v="994"/>
    <s v="Sales"/>
    <n v="8"/>
    <n v="3"/>
    <s v="Life Sciences"/>
    <n v="1"/>
    <n v="56"/>
    <n v="4"/>
    <s v="Male"/>
    <n v="37"/>
    <n v="3"/>
    <n v="3"/>
    <x v="0"/>
    <n v="3"/>
    <s v="Single"/>
    <n v="8726"/>
    <n v="2975"/>
    <n v="1"/>
    <s v="Y"/>
    <s v="No"/>
    <n v="15"/>
    <n v="3"/>
    <n v="4"/>
    <n v="80"/>
    <n v="0"/>
    <n v="9"/>
    <n v="0"/>
    <n v="3"/>
    <n v="9"/>
    <n v="8"/>
    <x v="1"/>
    <n v="7"/>
    <s v="OK"/>
    <s v="OK"/>
    <s v="OK"/>
    <s v="OK"/>
    <n v="0.1111111111111111"/>
    <n v="0.88888888888888884"/>
    <n v="0"/>
    <n v="0.77777777777777779"/>
  </r>
  <r>
    <n v="30"/>
    <s v="No"/>
    <s v="Travel_Frequently"/>
    <n v="721"/>
    <s v="Research &amp; Development"/>
    <n v="1"/>
    <n v="2"/>
    <s v="Medical"/>
    <n v="1"/>
    <n v="57"/>
    <n v="3"/>
    <s v="Female"/>
    <n v="58"/>
    <n v="3"/>
    <n v="2"/>
    <x v="2"/>
    <n v="4"/>
    <s v="Single"/>
    <n v="4011"/>
    <n v="10781"/>
    <n v="1"/>
    <s v="Y"/>
    <s v="No"/>
    <n v="23"/>
    <n v="4"/>
    <n v="4"/>
    <n v="80"/>
    <n v="0"/>
    <n v="12"/>
    <n v="2"/>
    <n v="3"/>
    <n v="12"/>
    <n v="8"/>
    <x v="2"/>
    <n v="7"/>
    <s v="OK"/>
    <s v="OK"/>
    <s v="OK"/>
    <s v="OK"/>
    <n v="0.25"/>
    <n v="0.66666666666666663"/>
    <n v="0.16666666666666666"/>
    <n v="0.58333333333333337"/>
  </r>
  <r>
    <n v="41"/>
    <s v="Yes"/>
    <s v="Travel_Rarely"/>
    <n v="1360"/>
    <s v="Research &amp; Development"/>
    <n v="12"/>
    <n v="3"/>
    <s v="Technical Degree"/>
    <n v="1"/>
    <n v="58"/>
    <n v="2"/>
    <s v="Female"/>
    <n v="49"/>
    <n v="3"/>
    <n v="5"/>
    <x v="7"/>
    <n v="3"/>
    <s v="Married"/>
    <n v="19545"/>
    <n v="16280"/>
    <n v="1"/>
    <s v="Y"/>
    <s v="No"/>
    <n v="12"/>
    <n v="3"/>
    <n v="4"/>
    <n v="80"/>
    <n v="0"/>
    <n v="23"/>
    <n v="0"/>
    <n v="3"/>
    <n v="22"/>
    <n v="15"/>
    <x v="9"/>
    <n v="8"/>
    <s v="OK"/>
    <s v="OK"/>
    <s v="OK"/>
    <s v="OK"/>
    <n v="0.68181818181818177"/>
    <n v="0.68181818181818177"/>
    <n v="0"/>
    <n v="0.36363636363636365"/>
  </r>
  <r>
    <n v="34"/>
    <s v="No"/>
    <s v="Non-Travel"/>
    <n v="1065"/>
    <s v="Sales"/>
    <n v="23"/>
    <n v="4"/>
    <s v="Marketing"/>
    <n v="1"/>
    <n v="60"/>
    <n v="2"/>
    <s v="Male"/>
    <n v="72"/>
    <n v="3"/>
    <n v="2"/>
    <x v="0"/>
    <n v="3"/>
    <s v="Single"/>
    <n v="4568"/>
    <n v="10034"/>
    <n v="0"/>
    <s v="Y"/>
    <s v="No"/>
    <n v="20"/>
    <n v="4"/>
    <n v="3"/>
    <n v="80"/>
    <n v="0"/>
    <n v="10"/>
    <n v="2"/>
    <n v="3"/>
    <n v="9"/>
    <n v="5"/>
    <x v="6"/>
    <n v="7"/>
    <s v="OK"/>
    <s v="OK"/>
    <s v="OK"/>
    <s v="OK"/>
    <n v="0.88888888888888884"/>
    <n v="0.55555555555555558"/>
    <n v="0.22222222222222221"/>
    <n v="0.77777777777777779"/>
  </r>
  <r>
    <n v="37"/>
    <s v="No"/>
    <s v="Travel_Rarely"/>
    <n v="408"/>
    <s v="Research &amp; Development"/>
    <n v="19"/>
    <n v="2"/>
    <s v="Life Sciences"/>
    <n v="1"/>
    <n v="61"/>
    <n v="2"/>
    <s v="Male"/>
    <n v="73"/>
    <n v="3"/>
    <n v="1"/>
    <x v="1"/>
    <n v="2"/>
    <s v="Married"/>
    <n v="3022"/>
    <n v="10227"/>
    <n v="4"/>
    <s v="Y"/>
    <s v="No"/>
    <n v="21"/>
    <n v="4"/>
    <n v="1"/>
    <n v="80"/>
    <n v="0"/>
    <n v="8"/>
    <n v="1"/>
    <n v="3"/>
    <n v="1"/>
    <n v="0"/>
    <x v="0"/>
    <n v="0"/>
    <s v="OK"/>
    <s v="OK"/>
    <s v="OK"/>
    <s v="OK"/>
    <n v="0"/>
    <n v="0"/>
    <n v="1"/>
    <n v="0"/>
  </r>
  <r>
    <n v="46"/>
    <s v="No"/>
    <s v="Travel_Frequently"/>
    <n v="1211"/>
    <s v="Sales"/>
    <n v="5"/>
    <n v="4"/>
    <s v="Marketing"/>
    <n v="1"/>
    <n v="62"/>
    <n v="1"/>
    <s v="Male"/>
    <n v="98"/>
    <n v="3"/>
    <n v="2"/>
    <x v="0"/>
    <n v="4"/>
    <s v="Single"/>
    <n v="5772"/>
    <n v="20445"/>
    <n v="4"/>
    <s v="Y"/>
    <s v="Yes"/>
    <n v="21"/>
    <n v="4"/>
    <n v="3"/>
    <n v="80"/>
    <n v="0"/>
    <n v="14"/>
    <n v="4"/>
    <n v="3"/>
    <n v="9"/>
    <n v="6"/>
    <x v="0"/>
    <n v="8"/>
    <s v="OK"/>
    <s v="OK"/>
    <s v="OK"/>
    <s v="OK"/>
    <n v="0"/>
    <n v="0.66666666666666663"/>
    <n v="0.44444444444444442"/>
    <n v="0.88888888888888884"/>
  </r>
  <r>
    <n v="35"/>
    <s v="No"/>
    <s v="Travel_Rarely"/>
    <n v="1229"/>
    <s v="Research &amp; Development"/>
    <n v="8"/>
    <n v="1"/>
    <s v="Life Sciences"/>
    <n v="1"/>
    <n v="63"/>
    <n v="4"/>
    <s v="Male"/>
    <n v="36"/>
    <n v="4"/>
    <n v="1"/>
    <x v="2"/>
    <n v="4"/>
    <s v="Married"/>
    <n v="2269"/>
    <n v="4892"/>
    <n v="1"/>
    <s v="Y"/>
    <s v="No"/>
    <n v="19"/>
    <n v="3"/>
    <n v="4"/>
    <n v="80"/>
    <n v="0"/>
    <n v="1"/>
    <n v="2"/>
    <n v="3"/>
    <n v="1"/>
    <n v="0"/>
    <x v="0"/>
    <n v="1"/>
    <s v="OK"/>
    <s v="OK"/>
    <s v="OK"/>
    <s v="OK"/>
    <n v="0"/>
    <n v="0"/>
    <n v="2"/>
    <n v="1"/>
  </r>
  <r>
    <n v="48"/>
    <s v="Yes"/>
    <s v="Travel_Rarely"/>
    <n v="626"/>
    <s v="Research &amp; Development"/>
    <n v="1"/>
    <n v="2"/>
    <s v="Life Sciences"/>
    <n v="1"/>
    <n v="64"/>
    <n v="1"/>
    <s v="Male"/>
    <n v="98"/>
    <n v="2"/>
    <n v="3"/>
    <x v="2"/>
    <n v="3"/>
    <s v="Single"/>
    <n v="5381"/>
    <n v="19294"/>
    <n v="9"/>
    <s v="Y"/>
    <s v="Yes"/>
    <n v="13"/>
    <n v="3"/>
    <n v="4"/>
    <n v="80"/>
    <n v="0"/>
    <n v="23"/>
    <n v="2"/>
    <n v="3"/>
    <n v="1"/>
    <n v="0"/>
    <x v="0"/>
    <n v="0"/>
    <s v="OK"/>
    <s v="OK"/>
    <s v="OK"/>
    <s v="OK"/>
    <n v="0"/>
    <n v="0"/>
    <n v="2"/>
    <n v="0"/>
  </r>
  <r>
    <n v="28"/>
    <s v="Yes"/>
    <s v="Travel_Rarely"/>
    <n v="1434"/>
    <s v="Research &amp; Development"/>
    <n v="5"/>
    <n v="4"/>
    <s v="Technical Degree"/>
    <n v="1"/>
    <n v="65"/>
    <n v="3"/>
    <s v="Male"/>
    <n v="50"/>
    <n v="3"/>
    <n v="1"/>
    <x v="2"/>
    <n v="3"/>
    <s v="Single"/>
    <n v="3441"/>
    <n v="11179"/>
    <n v="1"/>
    <s v="Y"/>
    <s v="Yes"/>
    <n v="13"/>
    <n v="3"/>
    <n v="3"/>
    <n v="80"/>
    <n v="0"/>
    <n v="2"/>
    <n v="3"/>
    <n v="2"/>
    <n v="2"/>
    <n v="2"/>
    <x v="3"/>
    <n v="2"/>
    <s v="OK"/>
    <s v="OK"/>
    <s v="OK"/>
    <s v="OK"/>
    <n v="1"/>
    <n v="1"/>
    <n v="1.5"/>
    <n v="1"/>
  </r>
  <r>
    <n v="44"/>
    <s v="No"/>
    <s v="Travel_Rarely"/>
    <n v="1488"/>
    <s v="Sales"/>
    <n v="1"/>
    <n v="5"/>
    <s v="Marketing"/>
    <n v="1"/>
    <n v="68"/>
    <n v="2"/>
    <s v="Female"/>
    <n v="75"/>
    <n v="3"/>
    <n v="2"/>
    <x v="0"/>
    <n v="1"/>
    <s v="Divorced"/>
    <n v="5454"/>
    <n v="4009"/>
    <n v="5"/>
    <s v="Y"/>
    <s v="Yes"/>
    <n v="21"/>
    <n v="4"/>
    <n v="3"/>
    <n v="80"/>
    <n v="1"/>
    <n v="9"/>
    <n v="2"/>
    <n v="2"/>
    <n v="4"/>
    <n v="3"/>
    <x v="1"/>
    <n v="3"/>
    <s v="OK"/>
    <s v="OK"/>
    <s v="OK"/>
    <s v="OK"/>
    <n v="0.25"/>
    <n v="0.75"/>
    <n v="0.5"/>
    <n v="0.75"/>
  </r>
  <r>
    <n v="35"/>
    <s v="No"/>
    <s v="Non-Travel"/>
    <n v="1097"/>
    <s v="Research &amp; Development"/>
    <n v="11"/>
    <n v="2"/>
    <s v="Medical"/>
    <n v="1"/>
    <n v="70"/>
    <n v="3"/>
    <s v="Male"/>
    <n v="79"/>
    <n v="2"/>
    <n v="3"/>
    <x v="4"/>
    <n v="1"/>
    <s v="Married"/>
    <n v="9884"/>
    <n v="8302"/>
    <n v="2"/>
    <s v="Y"/>
    <s v="Yes"/>
    <n v="13"/>
    <n v="3"/>
    <n v="3"/>
    <n v="80"/>
    <n v="1"/>
    <n v="10"/>
    <n v="3"/>
    <n v="3"/>
    <n v="4"/>
    <n v="0"/>
    <x v="3"/>
    <n v="3"/>
    <s v="OK"/>
    <s v="OK"/>
    <s v="OK"/>
    <s v="OK"/>
    <n v="0.5"/>
    <n v="0"/>
    <n v="0.75"/>
    <n v="0.75"/>
  </r>
  <r>
    <n v="26"/>
    <s v="No"/>
    <s v="Travel_Rarely"/>
    <n v="1443"/>
    <s v="Sales"/>
    <n v="23"/>
    <n v="3"/>
    <s v="Marketing"/>
    <n v="1"/>
    <n v="72"/>
    <n v="3"/>
    <s v="Female"/>
    <n v="47"/>
    <n v="2"/>
    <n v="2"/>
    <x v="0"/>
    <n v="4"/>
    <s v="Married"/>
    <n v="4157"/>
    <n v="21436"/>
    <n v="7"/>
    <s v="Y"/>
    <s v="Yes"/>
    <n v="19"/>
    <n v="3"/>
    <n v="3"/>
    <n v="80"/>
    <n v="1"/>
    <n v="5"/>
    <n v="2"/>
    <n v="2"/>
    <n v="2"/>
    <n v="2"/>
    <x v="0"/>
    <n v="0"/>
    <s v="OK"/>
    <s v="OK"/>
    <s v="OK"/>
    <s v="OK"/>
    <n v="0"/>
    <n v="1"/>
    <n v="1"/>
    <n v="0"/>
  </r>
  <r>
    <n v="33"/>
    <s v="No"/>
    <s v="Travel_Frequently"/>
    <n v="515"/>
    <s v="Research &amp; Development"/>
    <n v="1"/>
    <n v="2"/>
    <s v="Life Sciences"/>
    <n v="1"/>
    <n v="73"/>
    <n v="1"/>
    <s v="Female"/>
    <n v="98"/>
    <n v="3"/>
    <n v="3"/>
    <x v="7"/>
    <n v="4"/>
    <s v="Single"/>
    <n v="13458"/>
    <n v="15146"/>
    <n v="1"/>
    <s v="Y"/>
    <s v="Yes"/>
    <n v="12"/>
    <n v="3"/>
    <n v="3"/>
    <n v="80"/>
    <n v="0"/>
    <n v="15"/>
    <n v="1"/>
    <n v="3"/>
    <n v="15"/>
    <n v="14"/>
    <x v="6"/>
    <n v="12"/>
    <s v="OK"/>
    <s v="OK"/>
    <s v="OK"/>
    <s v="OK"/>
    <n v="0.53333333333333333"/>
    <n v="0.93333333333333335"/>
    <n v="6.6666666666666666E-2"/>
    <n v="0.8"/>
  </r>
  <r>
    <n v="35"/>
    <s v="No"/>
    <s v="Travel_Frequently"/>
    <n v="853"/>
    <s v="Sales"/>
    <n v="18"/>
    <n v="5"/>
    <s v="Life Sciences"/>
    <n v="1"/>
    <n v="74"/>
    <n v="2"/>
    <s v="Male"/>
    <n v="71"/>
    <n v="3"/>
    <n v="3"/>
    <x v="0"/>
    <n v="1"/>
    <s v="Married"/>
    <n v="9069"/>
    <n v="11031"/>
    <n v="1"/>
    <s v="Y"/>
    <s v="No"/>
    <n v="22"/>
    <n v="4"/>
    <n v="4"/>
    <n v="80"/>
    <n v="1"/>
    <n v="9"/>
    <n v="3"/>
    <n v="2"/>
    <n v="9"/>
    <n v="8"/>
    <x v="1"/>
    <n v="8"/>
    <s v="OK"/>
    <s v="OK"/>
    <s v="OK"/>
    <s v="OK"/>
    <n v="0.1111111111111111"/>
    <n v="0.88888888888888884"/>
    <n v="0.33333333333333331"/>
    <n v="0.88888888888888884"/>
  </r>
  <r>
    <n v="35"/>
    <s v="No"/>
    <s v="Travel_Rarely"/>
    <n v="1142"/>
    <s v="Research &amp; Development"/>
    <n v="23"/>
    <n v="4"/>
    <s v="Medical"/>
    <n v="1"/>
    <n v="75"/>
    <n v="3"/>
    <s v="Female"/>
    <n v="30"/>
    <n v="3"/>
    <n v="1"/>
    <x v="2"/>
    <n v="1"/>
    <s v="Married"/>
    <n v="4014"/>
    <n v="16002"/>
    <n v="3"/>
    <s v="Y"/>
    <s v="Yes"/>
    <n v="15"/>
    <n v="3"/>
    <n v="3"/>
    <n v="80"/>
    <n v="1"/>
    <n v="4"/>
    <n v="3"/>
    <n v="3"/>
    <n v="2"/>
    <n v="2"/>
    <x v="3"/>
    <n v="2"/>
    <s v="OK"/>
    <s v="OK"/>
    <s v="OK"/>
    <s v="OK"/>
    <n v="1"/>
    <n v="1"/>
    <n v="1.5"/>
    <n v="1"/>
  </r>
  <r>
    <n v="31"/>
    <s v="No"/>
    <s v="Travel_Rarely"/>
    <n v="655"/>
    <s v="Research &amp; Development"/>
    <n v="7"/>
    <n v="4"/>
    <s v="Life Sciences"/>
    <n v="1"/>
    <n v="76"/>
    <n v="4"/>
    <s v="Male"/>
    <n v="48"/>
    <n v="3"/>
    <n v="2"/>
    <x v="2"/>
    <n v="4"/>
    <s v="Divorced"/>
    <n v="5915"/>
    <n v="9528"/>
    <n v="3"/>
    <s v="Y"/>
    <s v="No"/>
    <n v="22"/>
    <n v="4"/>
    <n v="4"/>
    <n v="80"/>
    <n v="1"/>
    <n v="10"/>
    <n v="3"/>
    <n v="2"/>
    <n v="7"/>
    <n v="7"/>
    <x v="1"/>
    <n v="7"/>
    <s v="OK"/>
    <s v="OK"/>
    <s v="OK"/>
    <s v="OK"/>
    <n v="0.14285714285714285"/>
    <n v="1"/>
    <n v="0.42857142857142855"/>
    <n v="1"/>
  </r>
  <r>
    <n v="37"/>
    <s v="No"/>
    <s v="Travel_Rarely"/>
    <n v="1115"/>
    <s v="Research &amp; Development"/>
    <n v="1"/>
    <n v="4"/>
    <s v="Life Sciences"/>
    <n v="1"/>
    <n v="77"/>
    <n v="1"/>
    <s v="Male"/>
    <n v="51"/>
    <n v="2"/>
    <n v="2"/>
    <x v="3"/>
    <n v="3"/>
    <s v="Divorced"/>
    <n v="5993"/>
    <n v="2689"/>
    <n v="1"/>
    <s v="Y"/>
    <s v="No"/>
    <n v="18"/>
    <n v="3"/>
    <n v="3"/>
    <n v="80"/>
    <n v="1"/>
    <n v="7"/>
    <n v="2"/>
    <n v="4"/>
    <n v="7"/>
    <n v="5"/>
    <x v="0"/>
    <n v="7"/>
    <s v="OK"/>
    <s v="OK"/>
    <s v="OK"/>
    <s v="OK"/>
    <n v="0"/>
    <n v="0.7142857142857143"/>
    <n v="0.2857142857142857"/>
    <n v="1"/>
  </r>
  <r>
    <n v="32"/>
    <s v="No"/>
    <s v="Travel_Rarely"/>
    <n v="427"/>
    <s v="Research &amp; Development"/>
    <n v="1"/>
    <n v="3"/>
    <s v="Medical"/>
    <n v="1"/>
    <n v="78"/>
    <n v="1"/>
    <s v="Male"/>
    <n v="33"/>
    <n v="3"/>
    <n v="2"/>
    <x v="3"/>
    <n v="4"/>
    <s v="Married"/>
    <n v="6162"/>
    <n v="10877"/>
    <n v="1"/>
    <s v="Y"/>
    <s v="Yes"/>
    <n v="22"/>
    <n v="4"/>
    <n v="2"/>
    <n v="80"/>
    <n v="1"/>
    <n v="9"/>
    <n v="3"/>
    <n v="3"/>
    <n v="9"/>
    <n v="8"/>
    <x v="4"/>
    <n v="8"/>
    <s v="OK"/>
    <s v="OK"/>
    <s v="OK"/>
    <s v="OK"/>
    <n v="0.77777777777777779"/>
    <n v="0.88888888888888884"/>
    <n v="0.33333333333333331"/>
    <n v="0.88888888888888884"/>
  </r>
  <r>
    <n v="38"/>
    <s v="No"/>
    <s v="Travel_Frequently"/>
    <n v="653"/>
    <s v="Research &amp; Development"/>
    <n v="29"/>
    <n v="5"/>
    <s v="Life Sciences"/>
    <n v="1"/>
    <n v="79"/>
    <n v="4"/>
    <s v="Female"/>
    <n v="50"/>
    <n v="3"/>
    <n v="2"/>
    <x v="2"/>
    <n v="4"/>
    <s v="Single"/>
    <n v="2406"/>
    <n v="5456"/>
    <n v="1"/>
    <s v="Y"/>
    <s v="No"/>
    <n v="11"/>
    <n v="3"/>
    <n v="4"/>
    <n v="80"/>
    <n v="0"/>
    <n v="10"/>
    <n v="2"/>
    <n v="3"/>
    <n v="10"/>
    <n v="3"/>
    <x v="10"/>
    <n v="9"/>
    <s v="OK"/>
    <s v="OK"/>
    <s v="OK"/>
    <s v="OK"/>
    <n v="0.9"/>
    <n v="0.3"/>
    <n v="0.2"/>
    <n v="0.9"/>
  </r>
  <r>
    <n v="50"/>
    <s v="No"/>
    <s v="Travel_Rarely"/>
    <n v="989"/>
    <s v="Research &amp; Development"/>
    <n v="7"/>
    <n v="2"/>
    <s v="Medical"/>
    <n v="1"/>
    <n v="80"/>
    <n v="2"/>
    <s v="Female"/>
    <n v="43"/>
    <n v="2"/>
    <n v="5"/>
    <x v="7"/>
    <n v="3"/>
    <s v="Divorced"/>
    <n v="18740"/>
    <n v="16701"/>
    <n v="5"/>
    <s v="Y"/>
    <s v="Yes"/>
    <n v="12"/>
    <n v="3"/>
    <n v="4"/>
    <n v="80"/>
    <n v="1"/>
    <n v="29"/>
    <n v="2"/>
    <n v="2"/>
    <n v="27"/>
    <n v="3"/>
    <x v="11"/>
    <n v="8"/>
    <s v="OK"/>
    <s v="OK"/>
    <s v="OK"/>
    <s v="OK"/>
    <n v="0.48148148148148145"/>
    <n v="0.1111111111111111"/>
    <n v="7.407407407407407E-2"/>
    <n v="0.29629629629629628"/>
  </r>
  <r>
    <n v="59"/>
    <s v="No"/>
    <s v="Travel_Rarely"/>
    <n v="1435"/>
    <s v="Sales"/>
    <n v="25"/>
    <n v="3"/>
    <s v="Life Sciences"/>
    <n v="1"/>
    <n v="81"/>
    <n v="1"/>
    <s v="Female"/>
    <n v="99"/>
    <n v="3"/>
    <n v="3"/>
    <x v="0"/>
    <n v="1"/>
    <s v="Single"/>
    <n v="7637"/>
    <n v="2354"/>
    <n v="7"/>
    <s v="Y"/>
    <s v="No"/>
    <n v="11"/>
    <n v="3"/>
    <n v="4"/>
    <n v="80"/>
    <n v="0"/>
    <n v="28"/>
    <n v="3"/>
    <n v="2"/>
    <n v="21"/>
    <n v="16"/>
    <x v="4"/>
    <n v="9"/>
    <s v="OK"/>
    <s v="OK"/>
    <s v="OK"/>
    <s v="OK"/>
    <n v="0.33333333333333331"/>
    <n v="0.76190476190476186"/>
    <n v="0.14285714285714285"/>
    <n v="0.42857142857142855"/>
  </r>
  <r>
    <n v="36"/>
    <s v="No"/>
    <s v="Travel_Rarely"/>
    <n v="1223"/>
    <s v="Research &amp; Development"/>
    <n v="8"/>
    <n v="3"/>
    <s v="Technical Degree"/>
    <n v="1"/>
    <n v="83"/>
    <n v="3"/>
    <s v="Female"/>
    <n v="59"/>
    <n v="3"/>
    <n v="3"/>
    <x v="4"/>
    <n v="3"/>
    <s v="Divorced"/>
    <n v="10096"/>
    <n v="8202"/>
    <n v="1"/>
    <s v="Y"/>
    <s v="No"/>
    <n v="13"/>
    <n v="3"/>
    <n v="2"/>
    <n v="80"/>
    <n v="3"/>
    <n v="17"/>
    <n v="2"/>
    <n v="3"/>
    <n v="17"/>
    <n v="14"/>
    <x v="12"/>
    <n v="8"/>
    <s v="OK"/>
    <s v="OK"/>
    <s v="OK"/>
    <s v="OK"/>
    <n v="0.70588235294117652"/>
    <n v="0.82352941176470584"/>
    <n v="0.11764705882352941"/>
    <n v="0.47058823529411764"/>
  </r>
  <r>
    <n v="55"/>
    <s v="No"/>
    <s v="Travel_Rarely"/>
    <n v="836"/>
    <s v="Research &amp; Development"/>
    <n v="8"/>
    <n v="3"/>
    <s v="Medical"/>
    <n v="1"/>
    <n v="84"/>
    <n v="4"/>
    <s v="Female"/>
    <n v="33"/>
    <n v="3"/>
    <n v="4"/>
    <x v="5"/>
    <n v="3"/>
    <s v="Divorced"/>
    <n v="14756"/>
    <n v="19730"/>
    <n v="2"/>
    <s v="Y"/>
    <s v="Yes"/>
    <n v="14"/>
    <n v="3"/>
    <n v="3"/>
    <n v="80"/>
    <n v="3"/>
    <n v="21"/>
    <n v="2"/>
    <n v="3"/>
    <n v="5"/>
    <n v="0"/>
    <x v="0"/>
    <n v="2"/>
    <s v="OK"/>
    <s v="OK"/>
    <s v="OK"/>
    <s v="OK"/>
    <n v="0"/>
    <n v="0"/>
    <n v="0.4"/>
    <n v="0.4"/>
  </r>
  <r>
    <n v="36"/>
    <s v="No"/>
    <s v="Travel_Frequently"/>
    <n v="1195"/>
    <s v="Research &amp; Development"/>
    <n v="11"/>
    <n v="3"/>
    <s v="Life Sciences"/>
    <n v="1"/>
    <n v="85"/>
    <n v="2"/>
    <s v="Male"/>
    <n v="95"/>
    <n v="2"/>
    <n v="2"/>
    <x v="3"/>
    <n v="2"/>
    <s v="Single"/>
    <n v="6499"/>
    <n v="22656"/>
    <n v="1"/>
    <s v="Y"/>
    <s v="No"/>
    <n v="13"/>
    <n v="3"/>
    <n v="3"/>
    <n v="80"/>
    <n v="0"/>
    <n v="6"/>
    <n v="3"/>
    <n v="3"/>
    <n v="6"/>
    <n v="5"/>
    <x v="0"/>
    <n v="3"/>
    <s v="OK"/>
    <s v="OK"/>
    <s v="OK"/>
    <s v="OK"/>
    <n v="0"/>
    <n v="0.83333333333333337"/>
    <n v="0.5"/>
    <n v="0.5"/>
  </r>
  <r>
    <n v="45"/>
    <s v="No"/>
    <s v="Travel_Rarely"/>
    <n v="1339"/>
    <s v="Research &amp; Development"/>
    <n v="7"/>
    <n v="3"/>
    <s v="Life Sciences"/>
    <n v="1"/>
    <n v="86"/>
    <n v="2"/>
    <s v="Male"/>
    <n v="59"/>
    <n v="3"/>
    <n v="3"/>
    <x v="1"/>
    <n v="1"/>
    <s v="Divorced"/>
    <n v="9724"/>
    <n v="18787"/>
    <n v="2"/>
    <s v="Y"/>
    <s v="No"/>
    <n v="17"/>
    <n v="3"/>
    <n v="3"/>
    <n v="80"/>
    <n v="1"/>
    <n v="25"/>
    <n v="2"/>
    <n v="3"/>
    <n v="1"/>
    <n v="0"/>
    <x v="0"/>
    <n v="0"/>
    <s v="OK"/>
    <s v="OK"/>
    <s v="OK"/>
    <s v="OK"/>
    <n v="0"/>
    <n v="0"/>
    <n v="2"/>
    <n v="0"/>
  </r>
  <r>
    <n v="35"/>
    <s v="No"/>
    <s v="Travel_Frequently"/>
    <n v="664"/>
    <s v="Research &amp; Development"/>
    <n v="1"/>
    <n v="3"/>
    <s v="Medical"/>
    <n v="1"/>
    <n v="88"/>
    <n v="2"/>
    <s v="Male"/>
    <n v="79"/>
    <n v="3"/>
    <n v="1"/>
    <x v="1"/>
    <n v="1"/>
    <s v="Married"/>
    <n v="2194"/>
    <n v="5868"/>
    <n v="4"/>
    <s v="Y"/>
    <s v="No"/>
    <n v="13"/>
    <n v="3"/>
    <n v="4"/>
    <n v="80"/>
    <n v="1"/>
    <n v="5"/>
    <n v="2"/>
    <n v="2"/>
    <n v="3"/>
    <n v="2"/>
    <x v="1"/>
    <n v="2"/>
    <s v="OK"/>
    <s v="OK"/>
    <s v="OK"/>
    <s v="OK"/>
    <n v="0.33333333333333331"/>
    <n v="0.66666666666666663"/>
    <n v="0.66666666666666663"/>
    <n v="0.66666666666666663"/>
  </r>
  <r>
    <n v="36"/>
    <s v="Yes"/>
    <s v="Travel_Rarely"/>
    <n v="318"/>
    <s v="Research &amp; Development"/>
    <n v="9"/>
    <n v="3"/>
    <s v="Medical"/>
    <n v="1"/>
    <n v="90"/>
    <n v="4"/>
    <s v="Male"/>
    <n v="79"/>
    <n v="2"/>
    <n v="1"/>
    <x v="1"/>
    <n v="3"/>
    <s v="Married"/>
    <n v="3388"/>
    <n v="21777"/>
    <n v="0"/>
    <s v="Y"/>
    <s v="Yes"/>
    <n v="17"/>
    <n v="3"/>
    <n v="1"/>
    <n v="80"/>
    <n v="1"/>
    <n v="2"/>
    <n v="0"/>
    <n v="2"/>
    <n v="1"/>
    <n v="0"/>
    <x v="0"/>
    <n v="0"/>
    <s v="OK"/>
    <s v="OK"/>
    <s v="OK"/>
    <s v="OK"/>
    <n v="0"/>
    <n v="0"/>
    <n v="0"/>
    <n v="0"/>
  </r>
  <r>
    <n v="59"/>
    <s v="No"/>
    <s v="Travel_Frequently"/>
    <n v="1225"/>
    <s v="Sales"/>
    <n v="1"/>
    <n v="1"/>
    <s v="Life Sciences"/>
    <n v="1"/>
    <n v="91"/>
    <n v="1"/>
    <s v="Female"/>
    <n v="57"/>
    <n v="2"/>
    <n v="2"/>
    <x v="0"/>
    <n v="3"/>
    <s v="Single"/>
    <n v="5473"/>
    <n v="24668"/>
    <n v="7"/>
    <s v="Y"/>
    <s v="No"/>
    <n v="11"/>
    <n v="3"/>
    <n v="4"/>
    <n v="80"/>
    <n v="0"/>
    <n v="20"/>
    <n v="2"/>
    <n v="2"/>
    <n v="4"/>
    <n v="3"/>
    <x v="1"/>
    <n v="3"/>
    <s v="OK"/>
    <s v="OK"/>
    <s v="OK"/>
    <s v="OK"/>
    <n v="0.25"/>
    <n v="0.75"/>
    <n v="0.5"/>
    <n v="0.75"/>
  </r>
  <r>
    <n v="29"/>
    <s v="No"/>
    <s v="Travel_Rarely"/>
    <n v="1328"/>
    <s v="Research &amp; Development"/>
    <n v="2"/>
    <n v="3"/>
    <s v="Life Sciences"/>
    <n v="1"/>
    <n v="94"/>
    <n v="3"/>
    <s v="Male"/>
    <n v="76"/>
    <n v="3"/>
    <n v="1"/>
    <x v="1"/>
    <n v="2"/>
    <s v="Married"/>
    <n v="2703"/>
    <n v="4956"/>
    <n v="0"/>
    <s v="Y"/>
    <s v="No"/>
    <n v="23"/>
    <n v="4"/>
    <n v="4"/>
    <n v="80"/>
    <n v="1"/>
    <n v="6"/>
    <n v="3"/>
    <n v="3"/>
    <n v="5"/>
    <n v="4"/>
    <x v="0"/>
    <n v="4"/>
    <s v="OK"/>
    <s v="OK"/>
    <s v="OK"/>
    <s v="OK"/>
    <n v="0"/>
    <n v="0.8"/>
    <n v="0.6"/>
    <n v="0.8"/>
  </r>
  <r>
    <n v="31"/>
    <s v="No"/>
    <s v="Travel_Rarely"/>
    <n v="1082"/>
    <s v="Research &amp; Development"/>
    <n v="1"/>
    <n v="4"/>
    <s v="Medical"/>
    <n v="1"/>
    <n v="95"/>
    <n v="3"/>
    <s v="Male"/>
    <n v="87"/>
    <n v="3"/>
    <n v="1"/>
    <x v="1"/>
    <n v="2"/>
    <s v="Single"/>
    <n v="2501"/>
    <n v="18775"/>
    <n v="1"/>
    <s v="Y"/>
    <s v="No"/>
    <n v="17"/>
    <n v="3"/>
    <n v="2"/>
    <n v="80"/>
    <n v="0"/>
    <n v="1"/>
    <n v="4"/>
    <n v="3"/>
    <n v="1"/>
    <n v="1"/>
    <x v="1"/>
    <n v="0"/>
    <s v="OK"/>
    <s v="OK"/>
    <s v="OK"/>
    <s v="OK"/>
    <n v="1"/>
    <n v="1"/>
    <n v="4"/>
    <n v="0"/>
  </r>
  <r>
    <n v="32"/>
    <s v="No"/>
    <s v="Travel_Rarely"/>
    <n v="548"/>
    <s v="Research &amp; Development"/>
    <n v="1"/>
    <n v="3"/>
    <s v="Life Sciences"/>
    <n v="1"/>
    <n v="96"/>
    <n v="2"/>
    <s v="Male"/>
    <n v="66"/>
    <n v="3"/>
    <n v="2"/>
    <x v="1"/>
    <n v="2"/>
    <s v="Married"/>
    <n v="6220"/>
    <n v="7346"/>
    <n v="1"/>
    <s v="Y"/>
    <s v="No"/>
    <n v="17"/>
    <n v="3"/>
    <n v="2"/>
    <n v="80"/>
    <n v="2"/>
    <n v="10"/>
    <n v="3"/>
    <n v="3"/>
    <n v="10"/>
    <n v="4"/>
    <x v="0"/>
    <n v="9"/>
    <s v="OK"/>
    <s v="OK"/>
    <s v="OK"/>
    <s v="OK"/>
    <n v="0"/>
    <n v="0.4"/>
    <n v="0.3"/>
    <n v="0.9"/>
  </r>
  <r>
    <n v="36"/>
    <s v="No"/>
    <s v="Travel_Rarely"/>
    <n v="132"/>
    <s v="Research &amp; Development"/>
    <n v="6"/>
    <n v="3"/>
    <s v="Life Sciences"/>
    <n v="1"/>
    <n v="97"/>
    <n v="2"/>
    <s v="Female"/>
    <n v="55"/>
    <n v="4"/>
    <n v="1"/>
    <x v="2"/>
    <n v="4"/>
    <s v="Married"/>
    <n v="3038"/>
    <n v="22002"/>
    <n v="3"/>
    <s v="Y"/>
    <s v="No"/>
    <n v="12"/>
    <n v="3"/>
    <n v="2"/>
    <n v="80"/>
    <n v="0"/>
    <n v="5"/>
    <n v="3"/>
    <n v="3"/>
    <n v="1"/>
    <n v="0"/>
    <x v="0"/>
    <n v="0"/>
    <s v="OK"/>
    <s v="OK"/>
    <s v="OK"/>
    <s v="OK"/>
    <n v="0"/>
    <n v="0"/>
    <n v="3"/>
    <n v="0"/>
  </r>
  <r>
    <n v="31"/>
    <s v="No"/>
    <s v="Travel_Rarely"/>
    <n v="746"/>
    <s v="Research &amp; Development"/>
    <n v="8"/>
    <n v="4"/>
    <s v="Life Sciences"/>
    <n v="1"/>
    <n v="98"/>
    <n v="3"/>
    <s v="Female"/>
    <n v="61"/>
    <n v="3"/>
    <n v="2"/>
    <x v="3"/>
    <n v="4"/>
    <s v="Single"/>
    <n v="4424"/>
    <n v="20682"/>
    <n v="1"/>
    <s v="Y"/>
    <s v="No"/>
    <n v="23"/>
    <n v="4"/>
    <n v="4"/>
    <n v="80"/>
    <n v="0"/>
    <n v="11"/>
    <n v="2"/>
    <n v="3"/>
    <n v="11"/>
    <n v="7"/>
    <x v="1"/>
    <n v="8"/>
    <s v="OK"/>
    <s v="OK"/>
    <s v="OK"/>
    <s v="OK"/>
    <n v="9.0909090909090912E-2"/>
    <n v="0.63636363636363635"/>
    <n v="0.18181818181818182"/>
    <n v="0.72727272727272729"/>
  </r>
  <r>
    <n v="35"/>
    <s v="No"/>
    <s v="Travel_Rarely"/>
    <n v="776"/>
    <s v="Sales"/>
    <n v="1"/>
    <n v="4"/>
    <s v="Marketing"/>
    <n v="1"/>
    <n v="100"/>
    <n v="3"/>
    <s v="Male"/>
    <n v="32"/>
    <n v="2"/>
    <n v="2"/>
    <x v="0"/>
    <n v="1"/>
    <s v="Single"/>
    <n v="4312"/>
    <n v="23016"/>
    <n v="0"/>
    <s v="Y"/>
    <s v="No"/>
    <n v="14"/>
    <n v="3"/>
    <n v="2"/>
    <n v="80"/>
    <n v="0"/>
    <n v="16"/>
    <n v="2"/>
    <n v="3"/>
    <n v="15"/>
    <n v="13"/>
    <x v="3"/>
    <n v="8"/>
    <s v="OK"/>
    <s v="OK"/>
    <s v="OK"/>
    <s v="OK"/>
    <n v="0.13333333333333333"/>
    <n v="0.8666666666666667"/>
    <n v="0.13333333333333333"/>
    <n v="0.53333333333333333"/>
  </r>
  <r>
    <n v="45"/>
    <s v="No"/>
    <s v="Travel_Rarely"/>
    <n v="193"/>
    <s v="Research &amp; Development"/>
    <n v="6"/>
    <n v="4"/>
    <s v="Other"/>
    <n v="1"/>
    <n v="101"/>
    <n v="4"/>
    <s v="Male"/>
    <n v="52"/>
    <n v="3"/>
    <n v="3"/>
    <x v="7"/>
    <n v="1"/>
    <s v="Married"/>
    <n v="13245"/>
    <n v="15067"/>
    <n v="4"/>
    <s v="Y"/>
    <s v="Yes"/>
    <n v="14"/>
    <n v="3"/>
    <n v="2"/>
    <n v="80"/>
    <n v="0"/>
    <n v="17"/>
    <n v="3"/>
    <n v="4"/>
    <n v="0"/>
    <n v="0"/>
    <x v="0"/>
    <n v="0"/>
    <s v="OK"/>
    <s v="OK"/>
    <s v="OK"/>
    <s v="OK"/>
    <n v="0"/>
    <n v="0"/>
    <n v="0"/>
    <n v="0"/>
  </r>
  <r>
    <n v="37"/>
    <s v="No"/>
    <s v="Travel_Rarely"/>
    <n v="397"/>
    <s v="Research &amp; Development"/>
    <n v="7"/>
    <n v="4"/>
    <s v="Medical"/>
    <n v="1"/>
    <n v="102"/>
    <n v="1"/>
    <s v="Male"/>
    <n v="30"/>
    <n v="3"/>
    <n v="3"/>
    <x v="7"/>
    <n v="3"/>
    <s v="Single"/>
    <n v="13664"/>
    <n v="25258"/>
    <n v="4"/>
    <s v="Y"/>
    <s v="No"/>
    <n v="13"/>
    <n v="3"/>
    <n v="1"/>
    <n v="80"/>
    <n v="0"/>
    <n v="16"/>
    <n v="3"/>
    <n v="4"/>
    <n v="5"/>
    <n v="2"/>
    <x v="0"/>
    <n v="2"/>
    <s v="OK"/>
    <s v="OK"/>
    <s v="OK"/>
    <s v="OK"/>
    <n v="0"/>
    <n v="0.4"/>
    <n v="0.6"/>
    <n v="0.4"/>
  </r>
  <r>
    <n v="46"/>
    <s v="No"/>
    <s v="Travel_Rarely"/>
    <n v="945"/>
    <s v="Human Resources"/>
    <n v="5"/>
    <n v="2"/>
    <s v="Medical"/>
    <n v="1"/>
    <n v="103"/>
    <n v="2"/>
    <s v="Male"/>
    <n v="80"/>
    <n v="3"/>
    <n v="2"/>
    <x v="8"/>
    <n v="2"/>
    <s v="Divorced"/>
    <n v="5021"/>
    <n v="10425"/>
    <n v="8"/>
    <s v="Y"/>
    <s v="Yes"/>
    <n v="22"/>
    <n v="4"/>
    <n v="4"/>
    <n v="80"/>
    <n v="1"/>
    <n v="16"/>
    <n v="2"/>
    <n v="3"/>
    <n v="4"/>
    <n v="2"/>
    <x v="0"/>
    <n v="2"/>
    <s v="OK"/>
    <s v="OK"/>
    <s v="OK"/>
    <s v="OK"/>
    <n v="0"/>
    <n v="0.5"/>
    <n v="0.5"/>
    <n v="0.5"/>
  </r>
  <r>
    <n v="30"/>
    <s v="No"/>
    <s v="Travel_Rarely"/>
    <n v="852"/>
    <s v="Research &amp; Development"/>
    <n v="1"/>
    <n v="1"/>
    <s v="Life Sciences"/>
    <n v="1"/>
    <n v="104"/>
    <n v="4"/>
    <s v="Male"/>
    <n v="55"/>
    <n v="2"/>
    <n v="2"/>
    <x v="2"/>
    <n v="4"/>
    <s v="Married"/>
    <n v="5126"/>
    <n v="15998"/>
    <n v="1"/>
    <s v="Y"/>
    <s v="Yes"/>
    <n v="12"/>
    <n v="3"/>
    <n v="3"/>
    <n v="80"/>
    <n v="2"/>
    <n v="10"/>
    <n v="1"/>
    <n v="2"/>
    <n v="10"/>
    <n v="8"/>
    <x v="2"/>
    <n v="0"/>
    <s v="OK"/>
    <s v="OK"/>
    <s v="OK"/>
    <s v="OK"/>
    <n v="0.3"/>
    <n v="0.8"/>
    <n v="0.1"/>
    <n v="0"/>
  </r>
  <r>
    <n v="35"/>
    <s v="No"/>
    <s v="Travel_Rarely"/>
    <n v="1214"/>
    <s v="Research &amp; Development"/>
    <n v="1"/>
    <n v="3"/>
    <s v="Medical"/>
    <n v="1"/>
    <n v="105"/>
    <n v="2"/>
    <s v="Male"/>
    <n v="30"/>
    <n v="2"/>
    <n v="1"/>
    <x v="1"/>
    <n v="3"/>
    <s v="Single"/>
    <n v="2859"/>
    <n v="26278"/>
    <n v="1"/>
    <s v="Y"/>
    <s v="No"/>
    <n v="18"/>
    <n v="3"/>
    <n v="1"/>
    <n v="80"/>
    <n v="0"/>
    <n v="6"/>
    <n v="3"/>
    <n v="3"/>
    <n v="6"/>
    <n v="4"/>
    <x v="0"/>
    <n v="4"/>
    <s v="OK"/>
    <s v="OK"/>
    <s v="OK"/>
    <s v="OK"/>
    <n v="0"/>
    <n v="0.66666666666666663"/>
    <n v="0.5"/>
    <n v="0.66666666666666663"/>
  </r>
  <r>
    <n v="55"/>
    <s v="No"/>
    <s v="Travel_Rarely"/>
    <n v="111"/>
    <s v="Sales"/>
    <n v="1"/>
    <n v="2"/>
    <s v="Life Sciences"/>
    <n v="1"/>
    <n v="106"/>
    <n v="1"/>
    <s v="Male"/>
    <n v="70"/>
    <n v="3"/>
    <n v="3"/>
    <x v="0"/>
    <n v="4"/>
    <s v="Married"/>
    <n v="10239"/>
    <n v="18092"/>
    <n v="3"/>
    <s v="Y"/>
    <s v="No"/>
    <n v="14"/>
    <n v="3"/>
    <n v="4"/>
    <n v="80"/>
    <n v="1"/>
    <n v="24"/>
    <n v="4"/>
    <n v="3"/>
    <n v="1"/>
    <n v="0"/>
    <x v="1"/>
    <n v="0"/>
    <s v="OK"/>
    <s v="OK"/>
    <s v="OK"/>
    <s v="OK"/>
    <n v="1"/>
    <n v="0"/>
    <n v="4"/>
    <n v="0"/>
  </r>
  <r>
    <n v="38"/>
    <s v="No"/>
    <s v="Non-Travel"/>
    <n v="573"/>
    <s v="Research &amp; Development"/>
    <n v="6"/>
    <n v="3"/>
    <s v="Medical"/>
    <n v="1"/>
    <n v="107"/>
    <n v="2"/>
    <s v="Female"/>
    <n v="79"/>
    <n v="1"/>
    <n v="2"/>
    <x v="1"/>
    <n v="4"/>
    <s v="Divorced"/>
    <n v="5329"/>
    <n v="15717"/>
    <n v="7"/>
    <s v="Y"/>
    <s v="Yes"/>
    <n v="12"/>
    <n v="3"/>
    <n v="4"/>
    <n v="80"/>
    <n v="3"/>
    <n v="17"/>
    <n v="3"/>
    <n v="3"/>
    <n v="13"/>
    <n v="11"/>
    <x v="1"/>
    <n v="9"/>
    <s v="OK"/>
    <s v="OK"/>
    <s v="OK"/>
    <s v="OK"/>
    <n v="7.6923076923076927E-2"/>
    <n v="0.84615384615384615"/>
    <n v="0.23076923076923078"/>
    <n v="0.69230769230769229"/>
  </r>
  <r>
    <n v="34"/>
    <s v="No"/>
    <s v="Travel_Rarely"/>
    <n v="1153"/>
    <s v="Research &amp; Development"/>
    <n v="1"/>
    <n v="2"/>
    <s v="Medical"/>
    <n v="1"/>
    <n v="110"/>
    <n v="1"/>
    <s v="Male"/>
    <n v="94"/>
    <n v="3"/>
    <n v="2"/>
    <x v="3"/>
    <n v="2"/>
    <s v="Married"/>
    <n v="4325"/>
    <n v="17736"/>
    <n v="1"/>
    <s v="Y"/>
    <s v="No"/>
    <n v="15"/>
    <n v="3"/>
    <n v="3"/>
    <n v="80"/>
    <n v="0"/>
    <n v="5"/>
    <n v="2"/>
    <n v="3"/>
    <n v="5"/>
    <n v="2"/>
    <x v="1"/>
    <n v="3"/>
    <s v="OK"/>
    <s v="OK"/>
    <s v="OK"/>
    <s v="OK"/>
    <n v="0.2"/>
    <n v="0.4"/>
    <n v="0.4"/>
    <n v="0.6"/>
  </r>
  <r>
    <n v="56"/>
    <s v="No"/>
    <s v="Travel_Rarely"/>
    <n v="1400"/>
    <s v="Research &amp; Development"/>
    <n v="7"/>
    <n v="3"/>
    <s v="Life Sciences"/>
    <n v="1"/>
    <n v="112"/>
    <n v="4"/>
    <s v="Male"/>
    <n v="49"/>
    <n v="1"/>
    <n v="3"/>
    <x v="3"/>
    <n v="4"/>
    <s v="Single"/>
    <n v="7260"/>
    <n v="21698"/>
    <n v="4"/>
    <s v="Y"/>
    <s v="No"/>
    <n v="11"/>
    <n v="3"/>
    <n v="1"/>
    <n v="80"/>
    <n v="0"/>
    <n v="37"/>
    <n v="3"/>
    <n v="2"/>
    <n v="6"/>
    <n v="4"/>
    <x v="0"/>
    <n v="2"/>
    <s v="OK"/>
    <s v="OK"/>
    <s v="OK"/>
    <s v="OK"/>
    <n v="0"/>
    <n v="0.66666666666666663"/>
    <n v="0.5"/>
    <n v="0.33333333333333331"/>
  </r>
  <r>
    <n v="23"/>
    <s v="No"/>
    <s v="Travel_Rarely"/>
    <n v="541"/>
    <s v="Sales"/>
    <n v="2"/>
    <n v="1"/>
    <s v="Technical Degree"/>
    <n v="1"/>
    <n v="113"/>
    <n v="3"/>
    <s v="Male"/>
    <n v="62"/>
    <n v="3"/>
    <n v="1"/>
    <x v="6"/>
    <n v="1"/>
    <s v="Divorced"/>
    <n v="2322"/>
    <n v="9518"/>
    <n v="3"/>
    <s v="Y"/>
    <s v="No"/>
    <n v="13"/>
    <n v="3"/>
    <n v="3"/>
    <n v="80"/>
    <n v="1"/>
    <n v="3"/>
    <n v="3"/>
    <n v="3"/>
    <n v="0"/>
    <n v="0"/>
    <x v="0"/>
    <n v="0"/>
    <s v="OK"/>
    <s v="OK"/>
    <s v="OK"/>
    <s v="OK"/>
    <n v="0"/>
    <n v="0"/>
    <n v="0"/>
    <n v="0"/>
  </r>
  <r>
    <n v="51"/>
    <s v="No"/>
    <s v="Travel_Rarely"/>
    <n v="432"/>
    <s v="Research &amp; Development"/>
    <n v="9"/>
    <n v="4"/>
    <s v="Life Sciences"/>
    <n v="1"/>
    <n v="116"/>
    <n v="4"/>
    <s v="Male"/>
    <n v="96"/>
    <n v="3"/>
    <n v="1"/>
    <x v="2"/>
    <n v="4"/>
    <s v="Married"/>
    <n v="2075"/>
    <n v="18725"/>
    <n v="3"/>
    <s v="Y"/>
    <s v="No"/>
    <n v="23"/>
    <n v="4"/>
    <n v="2"/>
    <n v="80"/>
    <n v="2"/>
    <n v="10"/>
    <n v="4"/>
    <n v="3"/>
    <n v="4"/>
    <n v="2"/>
    <x v="0"/>
    <n v="3"/>
    <s v="OK"/>
    <s v="OK"/>
    <s v="OK"/>
    <s v="OK"/>
    <n v="0"/>
    <n v="0.5"/>
    <n v="1"/>
    <n v="0.75"/>
  </r>
  <r>
    <n v="30"/>
    <s v="No"/>
    <s v="Travel_Rarely"/>
    <n v="288"/>
    <s v="Research &amp; Development"/>
    <n v="2"/>
    <n v="3"/>
    <s v="Life Sciences"/>
    <n v="1"/>
    <n v="117"/>
    <n v="3"/>
    <s v="Male"/>
    <n v="99"/>
    <n v="2"/>
    <n v="2"/>
    <x v="4"/>
    <n v="4"/>
    <s v="Married"/>
    <n v="4152"/>
    <n v="15830"/>
    <n v="1"/>
    <s v="Y"/>
    <s v="No"/>
    <n v="19"/>
    <n v="3"/>
    <n v="1"/>
    <n v="80"/>
    <n v="3"/>
    <n v="11"/>
    <n v="3"/>
    <n v="3"/>
    <n v="11"/>
    <n v="10"/>
    <x v="13"/>
    <n v="8"/>
    <s v="OK"/>
    <s v="OK"/>
    <s v="OK"/>
    <s v="OK"/>
    <n v="0.90909090909090906"/>
    <n v="0.90909090909090906"/>
    <n v="0.27272727272727271"/>
    <n v="0.72727272727272729"/>
  </r>
  <r>
    <n v="46"/>
    <s v="Yes"/>
    <s v="Travel_Rarely"/>
    <n v="669"/>
    <s v="Sales"/>
    <n v="9"/>
    <n v="2"/>
    <s v="Medical"/>
    <n v="1"/>
    <n v="118"/>
    <n v="3"/>
    <s v="Male"/>
    <n v="64"/>
    <n v="2"/>
    <n v="3"/>
    <x v="0"/>
    <n v="4"/>
    <s v="Single"/>
    <n v="9619"/>
    <n v="13596"/>
    <n v="1"/>
    <s v="Y"/>
    <s v="No"/>
    <n v="16"/>
    <n v="3"/>
    <n v="4"/>
    <n v="80"/>
    <n v="0"/>
    <n v="9"/>
    <n v="3"/>
    <n v="3"/>
    <n v="9"/>
    <n v="8"/>
    <x v="5"/>
    <n v="7"/>
    <s v="OK"/>
    <s v="OK"/>
    <s v="OK"/>
    <s v="OK"/>
    <n v="0.44444444444444442"/>
    <n v="0.88888888888888884"/>
    <n v="0.33333333333333331"/>
    <n v="0.77777777777777779"/>
  </r>
  <r>
    <n v="40"/>
    <s v="No"/>
    <s v="Travel_Frequently"/>
    <n v="530"/>
    <s v="Research &amp; Development"/>
    <n v="1"/>
    <n v="4"/>
    <s v="Life Sciences"/>
    <n v="1"/>
    <n v="119"/>
    <n v="3"/>
    <s v="Male"/>
    <n v="78"/>
    <n v="2"/>
    <n v="4"/>
    <x v="4"/>
    <n v="2"/>
    <s v="Married"/>
    <n v="13503"/>
    <n v="14115"/>
    <n v="1"/>
    <s v="Y"/>
    <s v="No"/>
    <n v="22"/>
    <n v="4"/>
    <n v="4"/>
    <n v="80"/>
    <n v="1"/>
    <n v="22"/>
    <n v="3"/>
    <n v="2"/>
    <n v="22"/>
    <n v="3"/>
    <x v="14"/>
    <n v="11"/>
    <s v="OK"/>
    <s v="OK"/>
    <s v="OK"/>
    <s v="OK"/>
    <n v="0.5"/>
    <n v="0.13636363636363635"/>
    <n v="0.13636363636363635"/>
    <n v="0.5"/>
  </r>
  <r>
    <n v="51"/>
    <s v="No"/>
    <s v="Travel_Rarely"/>
    <n v="632"/>
    <s v="Sales"/>
    <n v="21"/>
    <n v="4"/>
    <s v="Marketing"/>
    <n v="1"/>
    <n v="120"/>
    <n v="3"/>
    <s v="Male"/>
    <n v="71"/>
    <n v="3"/>
    <n v="2"/>
    <x v="0"/>
    <n v="4"/>
    <s v="Single"/>
    <n v="5441"/>
    <n v="8423"/>
    <n v="0"/>
    <s v="Y"/>
    <s v="Yes"/>
    <n v="22"/>
    <n v="4"/>
    <n v="4"/>
    <n v="80"/>
    <n v="0"/>
    <n v="11"/>
    <n v="2"/>
    <n v="1"/>
    <n v="10"/>
    <n v="7"/>
    <x v="1"/>
    <n v="0"/>
    <s v="OK"/>
    <s v="OK"/>
    <s v="OK"/>
    <s v="OK"/>
    <n v="0.1"/>
    <n v="0.7"/>
    <n v="0.2"/>
    <n v="0"/>
  </r>
  <r>
    <n v="30"/>
    <s v="No"/>
    <s v="Travel_Rarely"/>
    <n v="1334"/>
    <s v="Sales"/>
    <n v="4"/>
    <n v="2"/>
    <s v="Medical"/>
    <n v="1"/>
    <n v="121"/>
    <n v="3"/>
    <s v="Female"/>
    <n v="63"/>
    <n v="2"/>
    <n v="2"/>
    <x v="0"/>
    <n v="2"/>
    <s v="Divorced"/>
    <n v="5209"/>
    <n v="19760"/>
    <n v="1"/>
    <s v="Y"/>
    <s v="Yes"/>
    <n v="12"/>
    <n v="3"/>
    <n v="2"/>
    <n v="80"/>
    <n v="3"/>
    <n v="11"/>
    <n v="4"/>
    <n v="2"/>
    <n v="11"/>
    <n v="8"/>
    <x v="3"/>
    <n v="7"/>
    <s v="OK"/>
    <s v="OK"/>
    <s v="OK"/>
    <s v="OK"/>
    <n v="0.18181818181818182"/>
    <n v="0.72727272727272729"/>
    <n v="0.36363636363636365"/>
    <n v="0.63636363636363635"/>
  </r>
  <r>
    <n v="46"/>
    <s v="No"/>
    <s v="Travel_Frequently"/>
    <n v="638"/>
    <s v="Research &amp; Development"/>
    <n v="1"/>
    <n v="3"/>
    <s v="Medical"/>
    <n v="1"/>
    <n v="124"/>
    <n v="3"/>
    <s v="Male"/>
    <n v="40"/>
    <n v="2"/>
    <n v="3"/>
    <x v="4"/>
    <n v="1"/>
    <s v="Married"/>
    <n v="10673"/>
    <n v="3142"/>
    <n v="2"/>
    <s v="Y"/>
    <s v="Yes"/>
    <n v="13"/>
    <n v="3"/>
    <n v="3"/>
    <n v="80"/>
    <n v="1"/>
    <n v="21"/>
    <n v="5"/>
    <n v="2"/>
    <n v="10"/>
    <n v="9"/>
    <x v="10"/>
    <n v="5"/>
    <s v="OK"/>
    <s v="OK"/>
    <s v="OK"/>
    <s v="OK"/>
    <n v="0.9"/>
    <n v="0.9"/>
    <n v="0.5"/>
    <n v="0.5"/>
  </r>
  <r>
    <n v="32"/>
    <s v="No"/>
    <s v="Travel_Rarely"/>
    <n v="1093"/>
    <s v="Sales"/>
    <n v="6"/>
    <n v="4"/>
    <s v="Medical"/>
    <n v="1"/>
    <n v="125"/>
    <n v="2"/>
    <s v="Male"/>
    <n v="87"/>
    <n v="3"/>
    <n v="2"/>
    <x v="0"/>
    <n v="3"/>
    <s v="Single"/>
    <n v="5010"/>
    <n v="24301"/>
    <n v="1"/>
    <s v="Y"/>
    <s v="No"/>
    <n v="16"/>
    <n v="3"/>
    <n v="1"/>
    <n v="80"/>
    <n v="0"/>
    <n v="12"/>
    <n v="0"/>
    <n v="3"/>
    <n v="11"/>
    <n v="8"/>
    <x v="8"/>
    <n v="7"/>
    <s v="OK"/>
    <s v="OK"/>
    <s v="OK"/>
    <s v="OK"/>
    <n v="0.45454545454545453"/>
    <n v="0.72727272727272729"/>
    <n v="0"/>
    <n v="0.63636363636363635"/>
  </r>
  <r>
    <n v="54"/>
    <s v="No"/>
    <s v="Travel_Rarely"/>
    <n v="1217"/>
    <s v="Research &amp; Development"/>
    <n v="2"/>
    <n v="4"/>
    <s v="Technical Degree"/>
    <n v="1"/>
    <n v="126"/>
    <n v="1"/>
    <s v="Female"/>
    <n v="60"/>
    <n v="3"/>
    <n v="3"/>
    <x v="7"/>
    <n v="3"/>
    <s v="Married"/>
    <n v="13549"/>
    <n v="24001"/>
    <n v="9"/>
    <s v="Y"/>
    <s v="No"/>
    <n v="12"/>
    <n v="3"/>
    <n v="1"/>
    <n v="80"/>
    <n v="1"/>
    <n v="16"/>
    <n v="5"/>
    <n v="1"/>
    <n v="4"/>
    <n v="3"/>
    <x v="0"/>
    <n v="3"/>
    <s v="OK"/>
    <s v="OK"/>
    <s v="OK"/>
    <s v="OK"/>
    <n v="0"/>
    <n v="0.75"/>
    <n v="1.25"/>
    <n v="0.75"/>
  </r>
  <r>
    <n v="24"/>
    <s v="No"/>
    <s v="Travel_Rarely"/>
    <n v="1353"/>
    <s v="Sales"/>
    <n v="3"/>
    <n v="2"/>
    <s v="Other"/>
    <n v="1"/>
    <n v="128"/>
    <n v="1"/>
    <s v="Female"/>
    <n v="33"/>
    <n v="3"/>
    <n v="2"/>
    <x v="0"/>
    <n v="3"/>
    <s v="Married"/>
    <n v="4999"/>
    <n v="17519"/>
    <n v="0"/>
    <s v="Y"/>
    <s v="No"/>
    <n v="21"/>
    <n v="4"/>
    <n v="1"/>
    <n v="80"/>
    <n v="1"/>
    <n v="4"/>
    <n v="2"/>
    <n v="2"/>
    <n v="3"/>
    <n v="2"/>
    <x v="0"/>
    <n v="2"/>
    <s v="OK"/>
    <s v="OK"/>
    <s v="OK"/>
    <s v="OK"/>
    <n v="0"/>
    <n v="0.66666666666666663"/>
    <n v="0.66666666666666663"/>
    <n v="0.66666666666666663"/>
  </r>
  <r>
    <n v="28"/>
    <s v="No"/>
    <s v="Non-Travel"/>
    <n v="120"/>
    <s v="Sales"/>
    <n v="4"/>
    <n v="3"/>
    <s v="Medical"/>
    <n v="1"/>
    <n v="129"/>
    <n v="2"/>
    <s v="Male"/>
    <n v="43"/>
    <n v="3"/>
    <n v="2"/>
    <x v="0"/>
    <n v="3"/>
    <s v="Married"/>
    <n v="4221"/>
    <n v="8863"/>
    <n v="1"/>
    <s v="Y"/>
    <s v="No"/>
    <n v="15"/>
    <n v="3"/>
    <n v="2"/>
    <n v="80"/>
    <n v="0"/>
    <n v="5"/>
    <n v="3"/>
    <n v="4"/>
    <n v="5"/>
    <n v="4"/>
    <x v="0"/>
    <n v="4"/>
    <s v="OK"/>
    <s v="OK"/>
    <s v="OK"/>
    <s v="OK"/>
    <n v="0"/>
    <n v="0.8"/>
    <n v="0.6"/>
    <n v="0.8"/>
  </r>
  <r>
    <n v="58"/>
    <s v="No"/>
    <s v="Travel_Rarely"/>
    <n v="682"/>
    <s v="Sales"/>
    <n v="10"/>
    <n v="4"/>
    <s v="Medical"/>
    <n v="1"/>
    <n v="131"/>
    <n v="4"/>
    <s v="Male"/>
    <n v="37"/>
    <n v="3"/>
    <n v="4"/>
    <x v="0"/>
    <n v="3"/>
    <s v="Single"/>
    <n v="13872"/>
    <n v="24409"/>
    <n v="0"/>
    <s v="Y"/>
    <s v="No"/>
    <n v="13"/>
    <n v="3"/>
    <n v="3"/>
    <n v="80"/>
    <n v="0"/>
    <n v="38"/>
    <n v="1"/>
    <n v="2"/>
    <n v="37"/>
    <n v="10"/>
    <x v="1"/>
    <n v="8"/>
    <s v="OK"/>
    <s v="OK"/>
    <s v="OK"/>
    <s v="OK"/>
    <n v="2.7027027027027029E-2"/>
    <n v="0.27027027027027029"/>
    <n v="2.7027027027027029E-2"/>
    <n v="0.21621621621621623"/>
  </r>
  <r>
    <n v="44"/>
    <s v="No"/>
    <s v="Non-Travel"/>
    <n v="489"/>
    <s v="Research &amp; Development"/>
    <n v="23"/>
    <n v="3"/>
    <s v="Medical"/>
    <n v="1"/>
    <n v="132"/>
    <n v="2"/>
    <s v="Male"/>
    <n v="67"/>
    <n v="3"/>
    <n v="2"/>
    <x v="2"/>
    <n v="2"/>
    <s v="Married"/>
    <n v="2042"/>
    <n v="25043"/>
    <n v="4"/>
    <s v="Y"/>
    <s v="No"/>
    <n v="12"/>
    <n v="3"/>
    <n v="3"/>
    <n v="80"/>
    <n v="1"/>
    <n v="17"/>
    <n v="3"/>
    <n v="4"/>
    <n v="3"/>
    <n v="2"/>
    <x v="1"/>
    <n v="2"/>
    <s v="OK"/>
    <s v="OK"/>
    <s v="OK"/>
    <s v="OK"/>
    <n v="0.33333333333333331"/>
    <n v="0.66666666666666663"/>
    <n v="1"/>
    <n v="0.66666666666666663"/>
  </r>
  <r>
    <n v="37"/>
    <s v="Yes"/>
    <s v="Travel_Rarely"/>
    <n v="807"/>
    <s v="Human Resources"/>
    <n v="6"/>
    <n v="4"/>
    <s v="Human Resources"/>
    <n v="1"/>
    <n v="133"/>
    <n v="3"/>
    <s v="Male"/>
    <n v="63"/>
    <n v="3"/>
    <n v="1"/>
    <x v="8"/>
    <n v="1"/>
    <s v="Divorced"/>
    <n v="2073"/>
    <n v="23648"/>
    <n v="4"/>
    <s v="Y"/>
    <s v="Yes"/>
    <n v="22"/>
    <n v="4"/>
    <n v="4"/>
    <n v="80"/>
    <n v="0"/>
    <n v="7"/>
    <n v="3"/>
    <n v="3"/>
    <n v="3"/>
    <n v="2"/>
    <x v="0"/>
    <n v="2"/>
    <s v="OK"/>
    <s v="OK"/>
    <s v="OK"/>
    <s v="OK"/>
    <n v="0"/>
    <n v="0.66666666666666663"/>
    <n v="1"/>
    <n v="0.66666666666666663"/>
  </r>
  <r>
    <n v="32"/>
    <s v="No"/>
    <s v="Travel_Rarely"/>
    <n v="827"/>
    <s v="Research &amp; Development"/>
    <n v="1"/>
    <n v="1"/>
    <s v="Life Sciences"/>
    <n v="1"/>
    <n v="134"/>
    <n v="4"/>
    <s v="Male"/>
    <n v="71"/>
    <n v="3"/>
    <n v="1"/>
    <x v="1"/>
    <n v="1"/>
    <s v="Single"/>
    <n v="2956"/>
    <n v="15178"/>
    <n v="1"/>
    <s v="Y"/>
    <s v="No"/>
    <n v="13"/>
    <n v="3"/>
    <n v="4"/>
    <n v="80"/>
    <n v="0"/>
    <n v="1"/>
    <n v="2"/>
    <n v="3"/>
    <n v="1"/>
    <n v="0"/>
    <x v="0"/>
    <n v="0"/>
    <s v="OK"/>
    <s v="OK"/>
    <s v="OK"/>
    <s v="OK"/>
    <n v="0"/>
    <n v="0"/>
    <n v="2"/>
    <n v="0"/>
  </r>
  <r>
    <n v="20"/>
    <s v="Yes"/>
    <s v="Travel_Frequently"/>
    <n v="871"/>
    <s v="Research &amp; Development"/>
    <n v="6"/>
    <n v="3"/>
    <s v="Life Sciences"/>
    <n v="1"/>
    <n v="137"/>
    <n v="4"/>
    <s v="Female"/>
    <n v="66"/>
    <n v="2"/>
    <n v="1"/>
    <x v="2"/>
    <n v="4"/>
    <s v="Single"/>
    <n v="2926"/>
    <n v="19783"/>
    <n v="1"/>
    <s v="Y"/>
    <s v="Yes"/>
    <n v="18"/>
    <n v="3"/>
    <n v="2"/>
    <n v="80"/>
    <n v="0"/>
    <n v="1"/>
    <n v="5"/>
    <n v="3"/>
    <n v="1"/>
    <n v="0"/>
    <x v="1"/>
    <n v="0"/>
    <s v="OK"/>
    <s v="OK"/>
    <s v="OK"/>
    <s v="OK"/>
    <n v="1"/>
    <n v="0"/>
    <n v="5"/>
    <n v="0"/>
  </r>
  <r>
    <n v="34"/>
    <s v="No"/>
    <s v="Travel_Rarely"/>
    <n v="665"/>
    <s v="Research &amp; Development"/>
    <n v="6"/>
    <n v="4"/>
    <s v="Other"/>
    <n v="1"/>
    <n v="138"/>
    <n v="1"/>
    <s v="Female"/>
    <n v="41"/>
    <n v="3"/>
    <n v="2"/>
    <x v="1"/>
    <n v="3"/>
    <s v="Single"/>
    <n v="4809"/>
    <n v="12482"/>
    <n v="1"/>
    <s v="Y"/>
    <s v="No"/>
    <n v="14"/>
    <n v="3"/>
    <n v="3"/>
    <n v="80"/>
    <n v="0"/>
    <n v="16"/>
    <n v="3"/>
    <n v="3"/>
    <n v="16"/>
    <n v="13"/>
    <x v="3"/>
    <n v="10"/>
    <s v="OK"/>
    <s v="OK"/>
    <s v="OK"/>
    <s v="OK"/>
    <n v="0.125"/>
    <n v="0.8125"/>
    <n v="0.1875"/>
    <n v="0.625"/>
  </r>
  <r>
    <n v="37"/>
    <s v="No"/>
    <s v="Non-Travel"/>
    <n v="1040"/>
    <s v="Research &amp; Development"/>
    <n v="2"/>
    <n v="2"/>
    <s v="Life Sciences"/>
    <n v="1"/>
    <n v="139"/>
    <n v="3"/>
    <s v="Male"/>
    <n v="100"/>
    <n v="2"/>
    <n v="2"/>
    <x v="4"/>
    <n v="4"/>
    <s v="Divorced"/>
    <n v="5163"/>
    <n v="15850"/>
    <n v="5"/>
    <s v="Y"/>
    <s v="No"/>
    <n v="14"/>
    <n v="3"/>
    <n v="4"/>
    <n v="80"/>
    <n v="1"/>
    <n v="17"/>
    <n v="2"/>
    <n v="4"/>
    <n v="1"/>
    <n v="0"/>
    <x v="0"/>
    <n v="0"/>
    <s v="OK"/>
    <s v="OK"/>
    <s v="OK"/>
    <s v="OK"/>
    <n v="0"/>
    <n v="0"/>
    <n v="2"/>
    <n v="0"/>
  </r>
  <r>
    <n v="59"/>
    <s v="No"/>
    <s v="Non-Travel"/>
    <n v="1420"/>
    <s v="Human Resources"/>
    <n v="2"/>
    <n v="4"/>
    <s v="Human Resources"/>
    <n v="1"/>
    <n v="140"/>
    <n v="3"/>
    <s v="Female"/>
    <n v="32"/>
    <n v="2"/>
    <n v="5"/>
    <x v="5"/>
    <n v="4"/>
    <s v="Married"/>
    <n v="18844"/>
    <n v="21922"/>
    <n v="9"/>
    <s v="Y"/>
    <s v="No"/>
    <n v="21"/>
    <n v="4"/>
    <n v="4"/>
    <n v="80"/>
    <n v="1"/>
    <n v="30"/>
    <n v="3"/>
    <n v="3"/>
    <n v="3"/>
    <n v="2"/>
    <x v="3"/>
    <n v="2"/>
    <s v="OK"/>
    <s v="OK"/>
    <s v="OK"/>
    <s v="OK"/>
    <n v="0.66666666666666663"/>
    <n v="0.66666666666666663"/>
    <n v="1"/>
    <n v="0.66666666666666663"/>
  </r>
  <r>
    <n v="50"/>
    <s v="No"/>
    <s v="Travel_Frequently"/>
    <n v="1115"/>
    <s v="Research &amp; Development"/>
    <n v="1"/>
    <n v="3"/>
    <s v="Life Sciences"/>
    <n v="1"/>
    <n v="141"/>
    <n v="1"/>
    <s v="Female"/>
    <n v="73"/>
    <n v="3"/>
    <n v="5"/>
    <x v="7"/>
    <n v="2"/>
    <s v="Married"/>
    <n v="18172"/>
    <n v="9755"/>
    <n v="3"/>
    <s v="Y"/>
    <s v="Yes"/>
    <n v="19"/>
    <n v="3"/>
    <n v="1"/>
    <n v="80"/>
    <n v="0"/>
    <n v="28"/>
    <n v="1"/>
    <n v="2"/>
    <n v="8"/>
    <n v="3"/>
    <x v="0"/>
    <n v="7"/>
    <s v="OK"/>
    <s v="OK"/>
    <s v="OK"/>
    <s v="OK"/>
    <n v="0"/>
    <n v="0.375"/>
    <n v="0.125"/>
    <n v="0.875"/>
  </r>
  <r>
    <n v="25"/>
    <s v="Yes"/>
    <s v="Travel_Rarely"/>
    <n v="240"/>
    <s v="Sales"/>
    <n v="5"/>
    <n v="3"/>
    <s v="Marketing"/>
    <n v="1"/>
    <n v="142"/>
    <n v="3"/>
    <s v="Male"/>
    <n v="46"/>
    <n v="2"/>
    <n v="2"/>
    <x v="0"/>
    <n v="3"/>
    <s v="Single"/>
    <n v="5744"/>
    <n v="26959"/>
    <n v="1"/>
    <s v="Y"/>
    <s v="Yes"/>
    <n v="11"/>
    <n v="3"/>
    <n v="4"/>
    <n v="80"/>
    <n v="0"/>
    <n v="6"/>
    <n v="1"/>
    <n v="3"/>
    <n v="6"/>
    <n v="4"/>
    <x v="0"/>
    <n v="3"/>
    <s v="OK"/>
    <s v="OK"/>
    <s v="OK"/>
    <s v="OK"/>
    <n v="0"/>
    <n v="0.66666666666666663"/>
    <n v="0.16666666666666666"/>
    <n v="0.5"/>
  </r>
  <r>
    <n v="25"/>
    <s v="No"/>
    <s v="Travel_Rarely"/>
    <n v="1280"/>
    <s v="Research &amp; Development"/>
    <n v="7"/>
    <n v="1"/>
    <s v="Medical"/>
    <n v="1"/>
    <n v="143"/>
    <n v="4"/>
    <s v="Male"/>
    <n v="64"/>
    <n v="2"/>
    <n v="1"/>
    <x v="1"/>
    <n v="4"/>
    <s v="Married"/>
    <n v="2889"/>
    <n v="26897"/>
    <n v="1"/>
    <s v="Y"/>
    <s v="No"/>
    <n v="11"/>
    <n v="3"/>
    <n v="3"/>
    <n v="80"/>
    <n v="2"/>
    <n v="2"/>
    <n v="2"/>
    <n v="3"/>
    <n v="2"/>
    <n v="2"/>
    <x v="3"/>
    <n v="1"/>
    <s v="OK"/>
    <s v="OK"/>
    <s v="OK"/>
    <s v="OK"/>
    <n v="1"/>
    <n v="1"/>
    <n v="1"/>
    <n v="0.5"/>
  </r>
  <r>
    <n v="22"/>
    <s v="No"/>
    <s v="Travel_Rarely"/>
    <n v="534"/>
    <s v="Research &amp; Development"/>
    <n v="15"/>
    <n v="3"/>
    <s v="Medical"/>
    <n v="1"/>
    <n v="144"/>
    <n v="2"/>
    <s v="Female"/>
    <n v="59"/>
    <n v="3"/>
    <n v="1"/>
    <x v="2"/>
    <n v="4"/>
    <s v="Single"/>
    <n v="2871"/>
    <n v="23785"/>
    <n v="1"/>
    <s v="Y"/>
    <s v="No"/>
    <n v="15"/>
    <n v="3"/>
    <n v="3"/>
    <n v="80"/>
    <n v="0"/>
    <n v="1"/>
    <n v="5"/>
    <n v="3"/>
    <n v="0"/>
    <n v="0"/>
    <x v="0"/>
    <n v="0"/>
    <s v="OK"/>
    <s v="OK"/>
    <s v="OK"/>
    <s v="OK"/>
    <n v="0"/>
    <n v="0"/>
    <n v="0"/>
    <n v="0"/>
  </r>
  <r>
    <n v="51"/>
    <s v="No"/>
    <s v="Travel_Frequently"/>
    <n v="1456"/>
    <s v="Research &amp; Development"/>
    <n v="1"/>
    <n v="4"/>
    <s v="Medical"/>
    <n v="1"/>
    <n v="145"/>
    <n v="1"/>
    <s v="Female"/>
    <n v="30"/>
    <n v="2"/>
    <n v="3"/>
    <x v="4"/>
    <n v="1"/>
    <s v="Single"/>
    <n v="7484"/>
    <n v="25796"/>
    <n v="3"/>
    <s v="Y"/>
    <s v="No"/>
    <n v="20"/>
    <n v="4"/>
    <n v="3"/>
    <n v="80"/>
    <n v="0"/>
    <n v="23"/>
    <n v="1"/>
    <n v="2"/>
    <n v="13"/>
    <n v="12"/>
    <x v="12"/>
    <n v="8"/>
    <s v="OK"/>
    <s v="OK"/>
    <s v="OK"/>
    <s v="OK"/>
    <n v="0.92307692307692313"/>
    <n v="0.92307692307692313"/>
    <n v="7.6923076923076927E-2"/>
    <n v="0.61538461538461542"/>
  </r>
  <r>
    <n v="34"/>
    <s v="Yes"/>
    <s v="Travel_Frequently"/>
    <n v="658"/>
    <s v="Research &amp; Development"/>
    <n v="7"/>
    <n v="3"/>
    <s v="Life Sciences"/>
    <n v="1"/>
    <n v="147"/>
    <n v="1"/>
    <s v="Male"/>
    <n v="66"/>
    <n v="1"/>
    <n v="2"/>
    <x v="2"/>
    <n v="3"/>
    <s v="Single"/>
    <n v="6074"/>
    <n v="22887"/>
    <n v="1"/>
    <s v="Y"/>
    <s v="Yes"/>
    <n v="24"/>
    <n v="4"/>
    <n v="4"/>
    <n v="80"/>
    <n v="0"/>
    <n v="9"/>
    <n v="3"/>
    <n v="3"/>
    <n v="9"/>
    <n v="7"/>
    <x v="0"/>
    <n v="6"/>
    <s v="OK"/>
    <s v="OK"/>
    <s v="OK"/>
    <s v="OK"/>
    <n v="0"/>
    <n v="0.77777777777777779"/>
    <n v="0.33333333333333331"/>
    <n v="0.66666666666666663"/>
  </r>
  <r>
    <n v="54"/>
    <s v="No"/>
    <s v="Non-Travel"/>
    <n v="142"/>
    <s v="Human Resources"/>
    <n v="26"/>
    <n v="3"/>
    <s v="Human Resources"/>
    <n v="1"/>
    <n v="148"/>
    <n v="4"/>
    <s v="Female"/>
    <n v="30"/>
    <n v="4"/>
    <n v="4"/>
    <x v="5"/>
    <n v="4"/>
    <s v="Single"/>
    <n v="17328"/>
    <n v="13871"/>
    <n v="2"/>
    <s v="Y"/>
    <s v="Yes"/>
    <n v="12"/>
    <n v="3"/>
    <n v="3"/>
    <n v="80"/>
    <n v="0"/>
    <n v="23"/>
    <n v="3"/>
    <n v="3"/>
    <n v="5"/>
    <n v="3"/>
    <x v="5"/>
    <n v="4"/>
    <s v="OK"/>
    <s v="OK"/>
    <s v="OK"/>
    <s v="OK"/>
    <n v="0.8"/>
    <n v="0.6"/>
    <n v="0.6"/>
    <n v="0.8"/>
  </r>
  <r>
    <n v="24"/>
    <s v="No"/>
    <s v="Travel_Rarely"/>
    <n v="1127"/>
    <s v="Research &amp; Development"/>
    <n v="18"/>
    <n v="1"/>
    <s v="Life Sciences"/>
    <n v="1"/>
    <n v="150"/>
    <n v="2"/>
    <s v="Male"/>
    <n v="52"/>
    <n v="3"/>
    <n v="1"/>
    <x v="2"/>
    <n v="3"/>
    <s v="Married"/>
    <n v="2774"/>
    <n v="13257"/>
    <n v="0"/>
    <s v="Y"/>
    <s v="No"/>
    <n v="12"/>
    <n v="3"/>
    <n v="3"/>
    <n v="80"/>
    <n v="1"/>
    <n v="6"/>
    <n v="2"/>
    <n v="3"/>
    <n v="5"/>
    <n v="3"/>
    <x v="1"/>
    <n v="2"/>
    <s v="OK"/>
    <s v="OK"/>
    <s v="OK"/>
    <s v="OK"/>
    <n v="0.2"/>
    <n v="0.6"/>
    <n v="0.4"/>
    <n v="0.4"/>
  </r>
  <r>
    <n v="34"/>
    <s v="No"/>
    <s v="Travel_Rarely"/>
    <n v="1031"/>
    <s v="Research &amp; Development"/>
    <n v="6"/>
    <n v="4"/>
    <s v="Life Sciences"/>
    <n v="1"/>
    <n v="151"/>
    <n v="3"/>
    <s v="Female"/>
    <n v="45"/>
    <n v="2"/>
    <n v="2"/>
    <x v="1"/>
    <n v="2"/>
    <s v="Divorced"/>
    <n v="4505"/>
    <n v="15000"/>
    <n v="6"/>
    <s v="Y"/>
    <s v="No"/>
    <n v="15"/>
    <n v="3"/>
    <n v="3"/>
    <n v="80"/>
    <n v="1"/>
    <n v="12"/>
    <n v="3"/>
    <n v="3"/>
    <n v="1"/>
    <n v="0"/>
    <x v="0"/>
    <n v="0"/>
    <s v="OK"/>
    <s v="OK"/>
    <s v="OK"/>
    <s v="OK"/>
    <n v="0"/>
    <n v="0"/>
    <n v="3"/>
    <n v="0"/>
  </r>
  <r>
    <n v="37"/>
    <s v="No"/>
    <s v="Travel_Rarely"/>
    <n v="1189"/>
    <s v="Sales"/>
    <n v="3"/>
    <n v="3"/>
    <s v="Life Sciences"/>
    <n v="1"/>
    <n v="152"/>
    <n v="3"/>
    <s v="Male"/>
    <n v="87"/>
    <n v="3"/>
    <n v="3"/>
    <x v="0"/>
    <n v="4"/>
    <s v="Single"/>
    <n v="7428"/>
    <n v="14506"/>
    <n v="2"/>
    <s v="Y"/>
    <s v="No"/>
    <n v="12"/>
    <n v="3"/>
    <n v="1"/>
    <n v="80"/>
    <n v="0"/>
    <n v="12"/>
    <n v="3"/>
    <n v="3"/>
    <n v="5"/>
    <n v="3"/>
    <x v="1"/>
    <n v="3"/>
    <s v="OK"/>
    <s v="OK"/>
    <s v="OK"/>
    <s v="OK"/>
    <n v="0.2"/>
    <n v="0.6"/>
    <n v="0.6"/>
    <n v="0.6"/>
  </r>
  <r>
    <n v="34"/>
    <s v="No"/>
    <s v="Travel_Rarely"/>
    <n v="1354"/>
    <s v="Research &amp; Development"/>
    <n v="5"/>
    <n v="3"/>
    <s v="Medical"/>
    <n v="1"/>
    <n v="153"/>
    <n v="3"/>
    <s v="Female"/>
    <n v="45"/>
    <n v="2"/>
    <n v="3"/>
    <x v="5"/>
    <n v="1"/>
    <s v="Single"/>
    <n v="11631"/>
    <n v="5615"/>
    <n v="2"/>
    <s v="Y"/>
    <s v="No"/>
    <n v="12"/>
    <n v="3"/>
    <n v="4"/>
    <n v="80"/>
    <n v="0"/>
    <n v="14"/>
    <n v="6"/>
    <n v="3"/>
    <n v="11"/>
    <n v="10"/>
    <x v="8"/>
    <n v="8"/>
    <s v="OK"/>
    <s v="OK"/>
    <s v="OK"/>
    <s v="OK"/>
    <n v="0.45454545454545453"/>
    <n v="0.90909090909090906"/>
    <n v="0.54545454545454541"/>
    <n v="0.72727272727272729"/>
  </r>
  <r>
    <n v="36"/>
    <s v="No"/>
    <s v="Travel_Frequently"/>
    <n v="1467"/>
    <s v="Sales"/>
    <n v="11"/>
    <n v="2"/>
    <s v="Technical Degree"/>
    <n v="1"/>
    <n v="154"/>
    <n v="2"/>
    <s v="Female"/>
    <n v="92"/>
    <n v="3"/>
    <n v="3"/>
    <x v="0"/>
    <n v="4"/>
    <s v="Married"/>
    <n v="9738"/>
    <n v="22952"/>
    <n v="0"/>
    <s v="Y"/>
    <s v="No"/>
    <n v="14"/>
    <n v="3"/>
    <n v="3"/>
    <n v="80"/>
    <n v="1"/>
    <n v="10"/>
    <n v="6"/>
    <n v="3"/>
    <n v="9"/>
    <n v="7"/>
    <x v="3"/>
    <n v="8"/>
    <s v="OK"/>
    <s v="OK"/>
    <s v="OK"/>
    <s v="OK"/>
    <n v="0.22222222222222221"/>
    <n v="0.77777777777777779"/>
    <n v="0.66666666666666663"/>
    <n v="0.88888888888888884"/>
  </r>
  <r>
    <n v="36"/>
    <s v="No"/>
    <s v="Travel_Rarely"/>
    <n v="922"/>
    <s v="Research &amp; Development"/>
    <n v="3"/>
    <n v="2"/>
    <s v="Life Sciences"/>
    <n v="1"/>
    <n v="155"/>
    <n v="1"/>
    <s v="Female"/>
    <n v="39"/>
    <n v="3"/>
    <n v="1"/>
    <x v="2"/>
    <n v="4"/>
    <s v="Divorced"/>
    <n v="2835"/>
    <n v="2561"/>
    <n v="5"/>
    <s v="Y"/>
    <s v="No"/>
    <n v="22"/>
    <n v="4"/>
    <n v="1"/>
    <n v="80"/>
    <n v="1"/>
    <n v="7"/>
    <n v="2"/>
    <n v="3"/>
    <n v="1"/>
    <n v="0"/>
    <x v="0"/>
    <n v="0"/>
    <s v="OK"/>
    <s v="OK"/>
    <s v="OK"/>
    <s v="OK"/>
    <n v="0"/>
    <n v="0"/>
    <n v="2"/>
    <n v="0"/>
  </r>
  <r>
    <n v="43"/>
    <s v="No"/>
    <s v="Travel_Frequently"/>
    <n v="394"/>
    <s v="Sales"/>
    <n v="26"/>
    <n v="2"/>
    <s v="Life Sciences"/>
    <n v="1"/>
    <n v="158"/>
    <n v="3"/>
    <s v="Male"/>
    <n v="92"/>
    <n v="3"/>
    <n v="4"/>
    <x v="5"/>
    <n v="4"/>
    <s v="Married"/>
    <n v="16959"/>
    <n v="19494"/>
    <n v="1"/>
    <s v="Y"/>
    <s v="Yes"/>
    <n v="12"/>
    <n v="3"/>
    <n v="4"/>
    <n v="80"/>
    <n v="2"/>
    <n v="25"/>
    <n v="3"/>
    <n v="4"/>
    <n v="25"/>
    <n v="12"/>
    <x v="5"/>
    <n v="12"/>
    <s v="OK"/>
    <s v="OK"/>
    <s v="OK"/>
    <s v="OK"/>
    <n v="0.16"/>
    <n v="0.48"/>
    <n v="0.12"/>
    <n v="0.48"/>
  </r>
  <r>
    <n v="30"/>
    <s v="No"/>
    <s v="Travel_Frequently"/>
    <n v="1312"/>
    <s v="Research &amp; Development"/>
    <n v="23"/>
    <n v="3"/>
    <s v="Life Sciences"/>
    <n v="1"/>
    <n v="159"/>
    <n v="1"/>
    <s v="Male"/>
    <n v="96"/>
    <n v="1"/>
    <n v="1"/>
    <x v="1"/>
    <n v="3"/>
    <s v="Divorced"/>
    <n v="2613"/>
    <n v="22310"/>
    <n v="1"/>
    <s v="Y"/>
    <s v="No"/>
    <n v="25"/>
    <n v="4"/>
    <n v="3"/>
    <n v="80"/>
    <n v="3"/>
    <n v="10"/>
    <n v="2"/>
    <n v="2"/>
    <n v="10"/>
    <n v="7"/>
    <x v="0"/>
    <n v="9"/>
    <s v="OK"/>
    <s v="OK"/>
    <s v="OK"/>
    <s v="OK"/>
    <n v="0"/>
    <n v="0.7"/>
    <n v="0.2"/>
    <n v="0.9"/>
  </r>
  <r>
    <n v="33"/>
    <s v="No"/>
    <s v="Non-Travel"/>
    <n v="750"/>
    <s v="Sales"/>
    <n v="22"/>
    <n v="2"/>
    <s v="Marketing"/>
    <n v="1"/>
    <n v="160"/>
    <n v="3"/>
    <s v="Male"/>
    <n v="95"/>
    <n v="3"/>
    <n v="2"/>
    <x v="0"/>
    <n v="2"/>
    <s v="Married"/>
    <n v="6146"/>
    <n v="15480"/>
    <n v="0"/>
    <s v="Y"/>
    <s v="No"/>
    <n v="13"/>
    <n v="3"/>
    <n v="1"/>
    <n v="80"/>
    <n v="1"/>
    <n v="8"/>
    <n v="2"/>
    <n v="4"/>
    <n v="7"/>
    <n v="7"/>
    <x v="0"/>
    <n v="7"/>
    <s v="OK"/>
    <s v="OK"/>
    <s v="OK"/>
    <s v="OK"/>
    <n v="0"/>
    <n v="1"/>
    <n v="0.2857142857142857"/>
    <n v="1"/>
  </r>
  <r>
    <n v="56"/>
    <s v="Yes"/>
    <s v="Travel_Rarely"/>
    <n v="441"/>
    <s v="Research &amp; Development"/>
    <n v="14"/>
    <n v="4"/>
    <s v="Life Sciences"/>
    <n v="1"/>
    <n v="161"/>
    <n v="2"/>
    <s v="Female"/>
    <n v="72"/>
    <n v="3"/>
    <n v="1"/>
    <x v="1"/>
    <n v="2"/>
    <s v="Married"/>
    <n v="4963"/>
    <n v="4510"/>
    <n v="9"/>
    <s v="Y"/>
    <s v="Yes"/>
    <n v="18"/>
    <n v="3"/>
    <n v="1"/>
    <n v="80"/>
    <n v="3"/>
    <n v="7"/>
    <n v="2"/>
    <n v="3"/>
    <n v="5"/>
    <n v="4"/>
    <x v="5"/>
    <n v="3"/>
    <s v="OK"/>
    <s v="OK"/>
    <s v="OK"/>
    <s v="OK"/>
    <n v="0.8"/>
    <n v="0.8"/>
    <n v="0.4"/>
    <n v="0.6"/>
  </r>
  <r>
    <n v="51"/>
    <s v="No"/>
    <s v="Travel_Rarely"/>
    <n v="684"/>
    <s v="Research &amp; Development"/>
    <n v="6"/>
    <n v="3"/>
    <s v="Life Sciences"/>
    <n v="1"/>
    <n v="162"/>
    <n v="1"/>
    <s v="Male"/>
    <n v="51"/>
    <n v="3"/>
    <n v="5"/>
    <x v="7"/>
    <n v="3"/>
    <s v="Single"/>
    <n v="19537"/>
    <n v="6462"/>
    <n v="7"/>
    <s v="Y"/>
    <s v="No"/>
    <n v="13"/>
    <n v="3"/>
    <n v="3"/>
    <n v="80"/>
    <n v="0"/>
    <n v="23"/>
    <n v="5"/>
    <n v="3"/>
    <n v="20"/>
    <n v="18"/>
    <x v="9"/>
    <n v="15"/>
    <s v="OK"/>
    <s v="OK"/>
    <s v="OK"/>
    <s v="OK"/>
    <n v="0.75"/>
    <n v="0.9"/>
    <n v="0.25"/>
    <n v="0.75"/>
  </r>
  <r>
    <n v="31"/>
    <s v="Yes"/>
    <s v="Travel_Rarely"/>
    <n v="249"/>
    <s v="Sales"/>
    <n v="6"/>
    <n v="4"/>
    <s v="Life Sciences"/>
    <n v="1"/>
    <n v="163"/>
    <n v="2"/>
    <s v="Male"/>
    <n v="76"/>
    <n v="1"/>
    <n v="2"/>
    <x v="0"/>
    <n v="3"/>
    <s v="Married"/>
    <n v="6172"/>
    <n v="20739"/>
    <n v="4"/>
    <s v="Y"/>
    <s v="Yes"/>
    <n v="18"/>
    <n v="3"/>
    <n v="2"/>
    <n v="80"/>
    <n v="0"/>
    <n v="12"/>
    <n v="3"/>
    <n v="2"/>
    <n v="7"/>
    <n v="7"/>
    <x v="4"/>
    <n v="7"/>
    <s v="OK"/>
    <s v="OK"/>
    <s v="OK"/>
    <s v="OK"/>
    <n v="1"/>
    <n v="1"/>
    <n v="0.42857142857142855"/>
    <n v="1"/>
  </r>
  <r>
    <n v="26"/>
    <s v="No"/>
    <s v="Travel_Rarely"/>
    <n v="841"/>
    <s v="Research &amp; Development"/>
    <n v="6"/>
    <n v="3"/>
    <s v="Other"/>
    <n v="1"/>
    <n v="164"/>
    <n v="3"/>
    <s v="Female"/>
    <n v="46"/>
    <n v="2"/>
    <n v="1"/>
    <x v="1"/>
    <n v="2"/>
    <s v="Married"/>
    <n v="2368"/>
    <n v="23300"/>
    <n v="1"/>
    <s v="Y"/>
    <s v="No"/>
    <n v="19"/>
    <n v="3"/>
    <n v="3"/>
    <n v="80"/>
    <n v="0"/>
    <n v="5"/>
    <n v="3"/>
    <n v="2"/>
    <n v="5"/>
    <n v="4"/>
    <x v="5"/>
    <n v="3"/>
    <s v="OK"/>
    <s v="OK"/>
    <s v="OK"/>
    <s v="OK"/>
    <n v="0.8"/>
    <n v="0.8"/>
    <n v="0.6"/>
    <n v="0.6"/>
  </r>
  <r>
    <n v="58"/>
    <s v="Yes"/>
    <s v="Travel_Rarely"/>
    <n v="147"/>
    <s v="Research &amp; Development"/>
    <n v="23"/>
    <n v="4"/>
    <s v="Medical"/>
    <n v="1"/>
    <n v="165"/>
    <n v="4"/>
    <s v="Female"/>
    <n v="94"/>
    <n v="3"/>
    <n v="3"/>
    <x v="4"/>
    <n v="4"/>
    <s v="Married"/>
    <n v="10312"/>
    <n v="3465"/>
    <n v="1"/>
    <s v="Y"/>
    <s v="No"/>
    <n v="12"/>
    <n v="3"/>
    <n v="4"/>
    <n v="80"/>
    <n v="1"/>
    <n v="40"/>
    <n v="3"/>
    <n v="2"/>
    <n v="40"/>
    <n v="10"/>
    <x v="9"/>
    <n v="6"/>
    <s v="OK"/>
    <s v="OK"/>
    <s v="OK"/>
    <s v="OK"/>
    <n v="0.375"/>
    <n v="0.25"/>
    <n v="7.4999999999999997E-2"/>
    <n v="0.15"/>
  </r>
  <r>
    <n v="19"/>
    <s v="Yes"/>
    <s v="Travel_Rarely"/>
    <n v="528"/>
    <s v="Sales"/>
    <n v="22"/>
    <n v="1"/>
    <s v="Marketing"/>
    <n v="1"/>
    <n v="167"/>
    <n v="4"/>
    <s v="Male"/>
    <n v="50"/>
    <n v="3"/>
    <n v="1"/>
    <x v="6"/>
    <n v="3"/>
    <s v="Single"/>
    <n v="1675"/>
    <n v="26820"/>
    <n v="1"/>
    <s v="Y"/>
    <s v="Yes"/>
    <n v="19"/>
    <n v="3"/>
    <n v="4"/>
    <n v="80"/>
    <n v="0"/>
    <n v="0"/>
    <n v="2"/>
    <n v="2"/>
    <n v="0"/>
    <n v="0"/>
    <x v="0"/>
    <n v="0"/>
    <s v="OK"/>
    <s v="OK"/>
    <s v="OK"/>
    <s v="OK"/>
    <n v="0"/>
    <n v="0"/>
    <n v="0"/>
    <n v="0"/>
  </r>
  <r>
    <n v="22"/>
    <s v="No"/>
    <s v="Travel_Rarely"/>
    <n v="594"/>
    <s v="Research &amp; Development"/>
    <n v="2"/>
    <n v="1"/>
    <s v="Technical Degree"/>
    <n v="1"/>
    <n v="169"/>
    <n v="3"/>
    <s v="Male"/>
    <n v="100"/>
    <n v="3"/>
    <n v="1"/>
    <x v="2"/>
    <n v="4"/>
    <s v="Married"/>
    <n v="2523"/>
    <n v="19299"/>
    <n v="0"/>
    <s v="Y"/>
    <s v="No"/>
    <n v="14"/>
    <n v="3"/>
    <n v="3"/>
    <n v="80"/>
    <n v="1"/>
    <n v="3"/>
    <n v="2"/>
    <n v="3"/>
    <n v="2"/>
    <n v="1"/>
    <x v="3"/>
    <n v="1"/>
    <s v="OK"/>
    <s v="OK"/>
    <s v="OK"/>
    <s v="OK"/>
    <n v="1"/>
    <n v="0.5"/>
    <n v="1"/>
    <n v="0.5"/>
  </r>
  <r>
    <n v="49"/>
    <s v="No"/>
    <s v="Travel_Rarely"/>
    <n v="470"/>
    <s v="Research &amp; Development"/>
    <n v="20"/>
    <n v="4"/>
    <s v="Medical"/>
    <n v="1"/>
    <n v="170"/>
    <n v="3"/>
    <s v="Female"/>
    <n v="96"/>
    <n v="3"/>
    <n v="2"/>
    <x v="3"/>
    <n v="1"/>
    <s v="Married"/>
    <n v="6567"/>
    <n v="5549"/>
    <n v="1"/>
    <s v="Y"/>
    <s v="No"/>
    <n v="14"/>
    <n v="3"/>
    <n v="3"/>
    <n v="80"/>
    <n v="0"/>
    <n v="16"/>
    <n v="2"/>
    <n v="2"/>
    <n v="15"/>
    <n v="11"/>
    <x v="8"/>
    <n v="11"/>
    <s v="OK"/>
    <s v="OK"/>
    <s v="OK"/>
    <s v="OK"/>
    <n v="0.33333333333333331"/>
    <n v="0.73333333333333328"/>
    <n v="0.13333333333333333"/>
    <n v="0.73333333333333328"/>
  </r>
  <r>
    <n v="43"/>
    <s v="No"/>
    <s v="Travel_Frequently"/>
    <n v="957"/>
    <s v="Research &amp; Development"/>
    <n v="28"/>
    <n v="3"/>
    <s v="Medical"/>
    <n v="1"/>
    <n v="171"/>
    <n v="2"/>
    <s v="Female"/>
    <n v="72"/>
    <n v="4"/>
    <n v="1"/>
    <x v="1"/>
    <n v="3"/>
    <s v="Single"/>
    <n v="4739"/>
    <n v="16090"/>
    <n v="4"/>
    <s v="Y"/>
    <s v="No"/>
    <n v="12"/>
    <n v="3"/>
    <n v="4"/>
    <n v="80"/>
    <n v="0"/>
    <n v="18"/>
    <n v="2"/>
    <n v="3"/>
    <n v="3"/>
    <n v="2"/>
    <x v="1"/>
    <n v="2"/>
    <s v="OK"/>
    <s v="OK"/>
    <s v="OK"/>
    <s v="OK"/>
    <n v="0.33333333333333331"/>
    <n v="0.66666666666666663"/>
    <n v="0.66666666666666663"/>
    <n v="0.66666666666666663"/>
  </r>
  <r>
    <n v="50"/>
    <s v="No"/>
    <s v="Travel_Frequently"/>
    <n v="809"/>
    <s v="Sales"/>
    <n v="12"/>
    <n v="3"/>
    <s v="Marketing"/>
    <n v="1"/>
    <n v="174"/>
    <n v="3"/>
    <s v="Female"/>
    <n v="77"/>
    <n v="3"/>
    <n v="3"/>
    <x v="0"/>
    <n v="4"/>
    <s v="Single"/>
    <n v="9208"/>
    <n v="6645"/>
    <n v="4"/>
    <s v="Y"/>
    <s v="No"/>
    <n v="11"/>
    <n v="3"/>
    <n v="4"/>
    <n v="80"/>
    <n v="0"/>
    <n v="16"/>
    <n v="3"/>
    <n v="3"/>
    <n v="2"/>
    <n v="2"/>
    <x v="3"/>
    <n v="1"/>
    <s v="OK"/>
    <s v="OK"/>
    <s v="OK"/>
    <s v="OK"/>
    <n v="1"/>
    <n v="1"/>
    <n v="1.5"/>
    <n v="0.5"/>
  </r>
  <r>
    <n v="31"/>
    <s v="Yes"/>
    <s v="Travel_Rarely"/>
    <n v="542"/>
    <s v="Sales"/>
    <n v="20"/>
    <n v="3"/>
    <s v="Life Sciences"/>
    <n v="1"/>
    <n v="175"/>
    <n v="2"/>
    <s v="Female"/>
    <n v="71"/>
    <n v="1"/>
    <n v="2"/>
    <x v="0"/>
    <n v="3"/>
    <s v="Married"/>
    <n v="4559"/>
    <n v="24788"/>
    <n v="3"/>
    <s v="Y"/>
    <s v="Yes"/>
    <n v="11"/>
    <n v="3"/>
    <n v="3"/>
    <n v="80"/>
    <n v="1"/>
    <n v="4"/>
    <n v="2"/>
    <n v="3"/>
    <n v="2"/>
    <n v="2"/>
    <x v="3"/>
    <n v="2"/>
    <s v="OK"/>
    <s v="OK"/>
    <s v="OK"/>
    <s v="OK"/>
    <n v="1"/>
    <n v="1"/>
    <n v="1"/>
    <n v="1"/>
  </r>
  <r>
    <n v="41"/>
    <s v="No"/>
    <s v="Travel_Rarely"/>
    <n v="802"/>
    <s v="Sales"/>
    <n v="9"/>
    <n v="1"/>
    <s v="Life Sciences"/>
    <n v="1"/>
    <n v="176"/>
    <n v="3"/>
    <s v="Male"/>
    <n v="96"/>
    <n v="3"/>
    <n v="3"/>
    <x v="0"/>
    <n v="3"/>
    <s v="Divorced"/>
    <n v="8189"/>
    <n v="21196"/>
    <n v="3"/>
    <s v="Y"/>
    <s v="Yes"/>
    <n v="13"/>
    <n v="3"/>
    <n v="3"/>
    <n v="80"/>
    <n v="1"/>
    <n v="12"/>
    <n v="2"/>
    <n v="3"/>
    <n v="9"/>
    <n v="7"/>
    <x v="0"/>
    <n v="7"/>
    <s v="OK"/>
    <s v="OK"/>
    <s v="OK"/>
    <s v="OK"/>
    <n v="0"/>
    <n v="0.77777777777777779"/>
    <n v="0.22222222222222221"/>
    <n v="0.77777777777777779"/>
  </r>
  <r>
    <n v="26"/>
    <s v="No"/>
    <s v="Travel_Rarely"/>
    <n v="1355"/>
    <s v="Human Resources"/>
    <n v="25"/>
    <n v="1"/>
    <s v="Life Sciences"/>
    <n v="1"/>
    <n v="177"/>
    <n v="3"/>
    <s v="Female"/>
    <n v="61"/>
    <n v="3"/>
    <n v="1"/>
    <x v="8"/>
    <n v="3"/>
    <s v="Married"/>
    <n v="2942"/>
    <n v="8916"/>
    <n v="1"/>
    <s v="Y"/>
    <s v="No"/>
    <n v="23"/>
    <n v="4"/>
    <n v="4"/>
    <n v="80"/>
    <n v="1"/>
    <n v="8"/>
    <n v="3"/>
    <n v="3"/>
    <n v="8"/>
    <n v="7"/>
    <x v="8"/>
    <n v="7"/>
    <s v="OK"/>
    <s v="OK"/>
    <s v="OK"/>
    <s v="OK"/>
    <n v="0.625"/>
    <n v="0.875"/>
    <n v="0.375"/>
    <n v="0.875"/>
  </r>
  <r>
    <n v="36"/>
    <s v="No"/>
    <s v="Travel_Rarely"/>
    <n v="216"/>
    <s v="Research &amp; Development"/>
    <n v="6"/>
    <n v="2"/>
    <s v="Medical"/>
    <n v="1"/>
    <n v="178"/>
    <n v="2"/>
    <s v="Male"/>
    <n v="84"/>
    <n v="3"/>
    <n v="2"/>
    <x v="3"/>
    <n v="2"/>
    <s v="Divorced"/>
    <n v="4941"/>
    <n v="2819"/>
    <n v="6"/>
    <s v="Y"/>
    <s v="No"/>
    <n v="20"/>
    <n v="4"/>
    <n v="4"/>
    <n v="80"/>
    <n v="2"/>
    <n v="7"/>
    <n v="0"/>
    <n v="3"/>
    <n v="3"/>
    <n v="2"/>
    <x v="0"/>
    <n v="1"/>
    <s v="OK"/>
    <s v="OK"/>
    <s v="OK"/>
    <s v="OK"/>
    <n v="0"/>
    <n v="0.66666666666666663"/>
    <n v="0"/>
    <n v="0.33333333333333331"/>
  </r>
  <r>
    <n v="51"/>
    <s v="Yes"/>
    <s v="Travel_Frequently"/>
    <n v="1150"/>
    <s v="Research &amp; Development"/>
    <n v="8"/>
    <n v="4"/>
    <s v="Life Sciences"/>
    <n v="1"/>
    <n v="179"/>
    <n v="1"/>
    <s v="Male"/>
    <n v="53"/>
    <n v="1"/>
    <n v="3"/>
    <x v="3"/>
    <n v="4"/>
    <s v="Single"/>
    <n v="10650"/>
    <n v="25150"/>
    <n v="2"/>
    <s v="Y"/>
    <s v="No"/>
    <n v="15"/>
    <n v="3"/>
    <n v="4"/>
    <n v="80"/>
    <n v="0"/>
    <n v="18"/>
    <n v="2"/>
    <n v="3"/>
    <n v="4"/>
    <n v="2"/>
    <x v="0"/>
    <n v="3"/>
    <s v="OK"/>
    <s v="OK"/>
    <s v="OK"/>
    <s v="OK"/>
    <n v="0"/>
    <n v="0.5"/>
    <n v="0.5"/>
    <n v="0.75"/>
  </r>
  <r>
    <n v="39"/>
    <s v="No"/>
    <s v="Travel_Rarely"/>
    <n v="1329"/>
    <s v="Sales"/>
    <n v="4"/>
    <n v="4"/>
    <s v="Life Sciences"/>
    <n v="1"/>
    <n v="182"/>
    <n v="4"/>
    <s v="Female"/>
    <n v="47"/>
    <n v="2"/>
    <n v="2"/>
    <x v="0"/>
    <n v="3"/>
    <s v="Married"/>
    <n v="5902"/>
    <n v="14590"/>
    <n v="4"/>
    <s v="Y"/>
    <s v="No"/>
    <n v="14"/>
    <n v="3"/>
    <n v="3"/>
    <n v="80"/>
    <n v="1"/>
    <n v="17"/>
    <n v="1"/>
    <n v="4"/>
    <n v="15"/>
    <n v="11"/>
    <x v="8"/>
    <n v="9"/>
    <s v="OK"/>
    <s v="OK"/>
    <s v="OK"/>
    <s v="OK"/>
    <n v="0.33333333333333331"/>
    <n v="0.73333333333333328"/>
    <n v="6.6666666666666666E-2"/>
    <n v="0.6"/>
  </r>
  <r>
    <n v="25"/>
    <s v="No"/>
    <s v="Travel_Rarely"/>
    <n v="959"/>
    <s v="Sales"/>
    <n v="28"/>
    <n v="3"/>
    <s v="Life Sciences"/>
    <n v="1"/>
    <n v="183"/>
    <n v="1"/>
    <s v="Male"/>
    <n v="41"/>
    <n v="2"/>
    <n v="2"/>
    <x v="0"/>
    <n v="3"/>
    <s v="Married"/>
    <n v="8639"/>
    <n v="24835"/>
    <n v="2"/>
    <s v="Y"/>
    <s v="No"/>
    <n v="18"/>
    <n v="3"/>
    <n v="4"/>
    <n v="80"/>
    <n v="0"/>
    <n v="6"/>
    <n v="3"/>
    <n v="3"/>
    <n v="2"/>
    <n v="2"/>
    <x v="3"/>
    <n v="2"/>
    <s v="OK"/>
    <s v="OK"/>
    <s v="OK"/>
    <s v="OK"/>
    <n v="1"/>
    <n v="1"/>
    <n v="1.5"/>
    <n v="1"/>
  </r>
  <r>
    <n v="30"/>
    <s v="No"/>
    <s v="Travel_Rarely"/>
    <n v="1240"/>
    <s v="Human Resources"/>
    <n v="9"/>
    <n v="3"/>
    <s v="Human Resources"/>
    <n v="1"/>
    <n v="184"/>
    <n v="3"/>
    <s v="Male"/>
    <n v="48"/>
    <n v="3"/>
    <n v="2"/>
    <x v="8"/>
    <n v="4"/>
    <s v="Married"/>
    <n v="6347"/>
    <n v="13982"/>
    <n v="0"/>
    <s v="Y"/>
    <s v="Yes"/>
    <n v="19"/>
    <n v="3"/>
    <n v="4"/>
    <n v="80"/>
    <n v="0"/>
    <n v="12"/>
    <n v="2"/>
    <n v="1"/>
    <n v="11"/>
    <n v="9"/>
    <x v="5"/>
    <n v="7"/>
    <s v="OK"/>
    <s v="OK"/>
    <s v="OK"/>
    <s v="OK"/>
    <n v="0.36363636363636365"/>
    <n v="0.81818181818181823"/>
    <n v="0.18181818181818182"/>
    <n v="0.63636363636363635"/>
  </r>
  <r>
    <n v="32"/>
    <s v="Yes"/>
    <s v="Travel_Rarely"/>
    <n v="1033"/>
    <s v="Research &amp; Development"/>
    <n v="9"/>
    <n v="3"/>
    <s v="Medical"/>
    <n v="1"/>
    <n v="190"/>
    <n v="1"/>
    <s v="Female"/>
    <n v="41"/>
    <n v="3"/>
    <n v="1"/>
    <x v="2"/>
    <n v="1"/>
    <s v="Single"/>
    <n v="4200"/>
    <n v="10224"/>
    <n v="7"/>
    <s v="Y"/>
    <s v="No"/>
    <n v="22"/>
    <n v="4"/>
    <n v="1"/>
    <n v="80"/>
    <n v="0"/>
    <n v="10"/>
    <n v="2"/>
    <n v="4"/>
    <n v="5"/>
    <n v="4"/>
    <x v="0"/>
    <n v="4"/>
    <s v="OK"/>
    <s v="OK"/>
    <s v="OK"/>
    <s v="OK"/>
    <n v="0"/>
    <n v="0.8"/>
    <n v="0.4"/>
    <n v="0.8"/>
  </r>
  <r>
    <n v="45"/>
    <s v="No"/>
    <s v="Travel_Rarely"/>
    <n v="1316"/>
    <s v="Research &amp; Development"/>
    <n v="29"/>
    <n v="3"/>
    <s v="Medical"/>
    <n v="1"/>
    <n v="192"/>
    <n v="3"/>
    <s v="Male"/>
    <n v="83"/>
    <n v="3"/>
    <n v="1"/>
    <x v="1"/>
    <n v="4"/>
    <s v="Single"/>
    <n v="3452"/>
    <n v="9752"/>
    <n v="5"/>
    <s v="Y"/>
    <s v="No"/>
    <n v="13"/>
    <n v="3"/>
    <n v="2"/>
    <n v="80"/>
    <n v="0"/>
    <n v="9"/>
    <n v="2"/>
    <n v="2"/>
    <n v="6"/>
    <n v="5"/>
    <x v="0"/>
    <n v="3"/>
    <s v="OK"/>
    <s v="OK"/>
    <s v="OK"/>
    <s v="OK"/>
    <n v="0"/>
    <n v="0.83333333333333337"/>
    <n v="0.33333333333333331"/>
    <n v="0.5"/>
  </r>
  <r>
    <n v="38"/>
    <s v="No"/>
    <s v="Travel_Rarely"/>
    <n v="364"/>
    <s v="Research &amp; Development"/>
    <n v="3"/>
    <n v="5"/>
    <s v="Technical Degree"/>
    <n v="1"/>
    <n v="193"/>
    <n v="4"/>
    <s v="Female"/>
    <n v="32"/>
    <n v="3"/>
    <n v="2"/>
    <x v="1"/>
    <n v="3"/>
    <s v="Single"/>
    <n v="4317"/>
    <n v="2302"/>
    <n v="3"/>
    <s v="Y"/>
    <s v="Yes"/>
    <n v="20"/>
    <n v="4"/>
    <n v="2"/>
    <n v="80"/>
    <n v="0"/>
    <n v="19"/>
    <n v="2"/>
    <n v="3"/>
    <n v="3"/>
    <n v="2"/>
    <x v="3"/>
    <n v="2"/>
    <s v="OK"/>
    <s v="OK"/>
    <s v="OK"/>
    <s v="OK"/>
    <n v="0.66666666666666663"/>
    <n v="0.66666666666666663"/>
    <n v="0.66666666666666663"/>
    <n v="0.66666666666666663"/>
  </r>
  <r>
    <n v="30"/>
    <s v="No"/>
    <s v="Travel_Rarely"/>
    <n v="438"/>
    <s v="Research &amp; Development"/>
    <n v="18"/>
    <n v="3"/>
    <s v="Life Sciences"/>
    <n v="1"/>
    <n v="194"/>
    <n v="1"/>
    <s v="Female"/>
    <n v="75"/>
    <n v="3"/>
    <n v="1"/>
    <x v="1"/>
    <n v="3"/>
    <s v="Single"/>
    <n v="2632"/>
    <n v="23910"/>
    <n v="1"/>
    <s v="Y"/>
    <s v="No"/>
    <n v="14"/>
    <n v="3"/>
    <n v="3"/>
    <n v="80"/>
    <n v="0"/>
    <n v="5"/>
    <n v="4"/>
    <n v="2"/>
    <n v="5"/>
    <n v="4"/>
    <x v="0"/>
    <n v="4"/>
    <s v="OK"/>
    <s v="OK"/>
    <s v="OK"/>
    <s v="OK"/>
    <n v="0"/>
    <n v="0.8"/>
    <n v="0.8"/>
    <n v="0.8"/>
  </r>
  <r>
    <n v="32"/>
    <s v="No"/>
    <s v="Travel_Frequently"/>
    <n v="689"/>
    <s v="Sales"/>
    <n v="9"/>
    <n v="2"/>
    <s v="Medical"/>
    <n v="1"/>
    <n v="195"/>
    <n v="4"/>
    <s v="Male"/>
    <n v="35"/>
    <n v="1"/>
    <n v="2"/>
    <x v="0"/>
    <n v="4"/>
    <s v="Divorced"/>
    <n v="4668"/>
    <n v="22812"/>
    <n v="0"/>
    <s v="Y"/>
    <s v="No"/>
    <n v="17"/>
    <n v="3"/>
    <n v="4"/>
    <n v="80"/>
    <n v="3"/>
    <n v="9"/>
    <n v="2"/>
    <n v="4"/>
    <n v="8"/>
    <n v="7"/>
    <x v="0"/>
    <n v="7"/>
    <s v="OK"/>
    <s v="OK"/>
    <s v="OK"/>
    <s v="OK"/>
    <n v="0"/>
    <n v="0.875"/>
    <n v="0.25"/>
    <n v="0.875"/>
  </r>
  <r>
    <n v="30"/>
    <s v="No"/>
    <s v="Travel_Rarely"/>
    <n v="201"/>
    <s v="Research &amp; Development"/>
    <n v="5"/>
    <n v="3"/>
    <s v="Technical Degree"/>
    <n v="1"/>
    <n v="197"/>
    <n v="4"/>
    <s v="Female"/>
    <n v="84"/>
    <n v="3"/>
    <n v="1"/>
    <x v="1"/>
    <n v="1"/>
    <s v="Divorced"/>
    <n v="3204"/>
    <n v="10415"/>
    <n v="5"/>
    <s v="Y"/>
    <s v="No"/>
    <n v="14"/>
    <n v="3"/>
    <n v="4"/>
    <n v="80"/>
    <n v="1"/>
    <n v="8"/>
    <n v="3"/>
    <n v="3"/>
    <n v="3"/>
    <n v="2"/>
    <x v="3"/>
    <n v="2"/>
    <s v="OK"/>
    <s v="OK"/>
    <s v="OK"/>
    <s v="OK"/>
    <n v="0.66666666666666663"/>
    <n v="0.66666666666666663"/>
    <n v="1"/>
    <n v="0.66666666666666663"/>
  </r>
  <r>
    <n v="30"/>
    <s v="No"/>
    <s v="Travel_Rarely"/>
    <n v="1427"/>
    <s v="Research &amp; Development"/>
    <n v="2"/>
    <n v="1"/>
    <s v="Medical"/>
    <n v="1"/>
    <n v="198"/>
    <n v="2"/>
    <s v="Male"/>
    <n v="35"/>
    <n v="2"/>
    <n v="1"/>
    <x v="2"/>
    <n v="4"/>
    <s v="Single"/>
    <n v="2720"/>
    <n v="11162"/>
    <n v="0"/>
    <s v="Y"/>
    <s v="No"/>
    <n v="13"/>
    <n v="3"/>
    <n v="4"/>
    <n v="80"/>
    <n v="0"/>
    <n v="6"/>
    <n v="3"/>
    <n v="3"/>
    <n v="5"/>
    <n v="3"/>
    <x v="1"/>
    <n v="2"/>
    <s v="OK"/>
    <s v="OK"/>
    <s v="OK"/>
    <s v="OK"/>
    <n v="0.2"/>
    <n v="0.6"/>
    <n v="0.6"/>
    <n v="0.4"/>
  </r>
  <r>
    <n v="41"/>
    <s v="No"/>
    <s v="Travel_Frequently"/>
    <n v="857"/>
    <s v="Research &amp; Development"/>
    <n v="10"/>
    <n v="3"/>
    <s v="Life Sciences"/>
    <n v="1"/>
    <n v="199"/>
    <n v="4"/>
    <s v="Male"/>
    <n v="91"/>
    <n v="2"/>
    <n v="4"/>
    <x v="5"/>
    <n v="1"/>
    <s v="Divorced"/>
    <n v="17181"/>
    <n v="12888"/>
    <n v="4"/>
    <s v="Y"/>
    <s v="No"/>
    <n v="13"/>
    <n v="3"/>
    <n v="2"/>
    <n v="80"/>
    <n v="1"/>
    <n v="21"/>
    <n v="2"/>
    <n v="2"/>
    <n v="7"/>
    <n v="6"/>
    <x v="4"/>
    <n v="7"/>
    <s v="OK"/>
    <s v="OK"/>
    <s v="OK"/>
    <s v="OK"/>
    <n v="1"/>
    <n v="0.8571428571428571"/>
    <n v="0.2857142857142857"/>
    <n v="1"/>
  </r>
  <r>
    <n v="41"/>
    <s v="No"/>
    <s v="Travel_Rarely"/>
    <n v="933"/>
    <s v="Research &amp; Development"/>
    <n v="9"/>
    <n v="4"/>
    <s v="Life Sciences"/>
    <n v="1"/>
    <n v="200"/>
    <n v="3"/>
    <s v="Male"/>
    <n v="94"/>
    <n v="3"/>
    <n v="1"/>
    <x v="2"/>
    <n v="1"/>
    <s v="Married"/>
    <n v="2238"/>
    <n v="6961"/>
    <n v="2"/>
    <s v="Y"/>
    <s v="No"/>
    <n v="21"/>
    <n v="4"/>
    <n v="4"/>
    <n v="80"/>
    <n v="1"/>
    <n v="7"/>
    <n v="2"/>
    <n v="3"/>
    <n v="5"/>
    <n v="0"/>
    <x v="1"/>
    <n v="4"/>
    <s v="OK"/>
    <s v="OK"/>
    <s v="OK"/>
    <s v="OK"/>
    <n v="0.2"/>
    <n v="0"/>
    <n v="0.4"/>
    <n v="0.8"/>
  </r>
  <r>
    <n v="19"/>
    <s v="No"/>
    <s v="Travel_Rarely"/>
    <n v="1181"/>
    <s v="Research &amp; Development"/>
    <n v="3"/>
    <n v="1"/>
    <s v="Medical"/>
    <n v="1"/>
    <n v="201"/>
    <n v="2"/>
    <s v="Female"/>
    <n v="79"/>
    <n v="3"/>
    <n v="1"/>
    <x v="2"/>
    <n v="2"/>
    <s v="Single"/>
    <n v="1483"/>
    <n v="16102"/>
    <n v="1"/>
    <s v="Y"/>
    <s v="No"/>
    <n v="14"/>
    <n v="3"/>
    <n v="4"/>
    <n v="80"/>
    <n v="0"/>
    <n v="1"/>
    <n v="3"/>
    <n v="3"/>
    <n v="1"/>
    <n v="0"/>
    <x v="0"/>
    <n v="0"/>
    <s v="OK"/>
    <s v="OK"/>
    <s v="OK"/>
    <s v="OK"/>
    <n v="0"/>
    <n v="0"/>
    <n v="3"/>
    <n v="0"/>
  </r>
  <r>
    <n v="40"/>
    <s v="No"/>
    <s v="Travel_Frequently"/>
    <n v="1395"/>
    <s v="Research &amp; Development"/>
    <n v="26"/>
    <n v="3"/>
    <s v="Medical"/>
    <n v="1"/>
    <n v="202"/>
    <n v="2"/>
    <s v="Female"/>
    <n v="54"/>
    <n v="3"/>
    <n v="2"/>
    <x v="1"/>
    <n v="2"/>
    <s v="Divorced"/>
    <n v="5605"/>
    <n v="8504"/>
    <n v="1"/>
    <s v="Y"/>
    <s v="No"/>
    <n v="11"/>
    <n v="3"/>
    <n v="1"/>
    <n v="80"/>
    <n v="1"/>
    <n v="20"/>
    <n v="2"/>
    <n v="3"/>
    <n v="20"/>
    <n v="7"/>
    <x v="3"/>
    <n v="13"/>
    <s v="OK"/>
    <s v="OK"/>
    <s v="OK"/>
    <s v="OK"/>
    <n v="0.1"/>
    <n v="0.35"/>
    <n v="0.1"/>
    <n v="0.65"/>
  </r>
  <r>
    <n v="35"/>
    <s v="No"/>
    <s v="Travel_Rarely"/>
    <n v="662"/>
    <s v="Sales"/>
    <n v="1"/>
    <n v="5"/>
    <s v="Marketing"/>
    <n v="1"/>
    <n v="204"/>
    <n v="3"/>
    <s v="Male"/>
    <n v="94"/>
    <n v="3"/>
    <n v="3"/>
    <x v="0"/>
    <n v="2"/>
    <s v="Married"/>
    <n v="7295"/>
    <n v="11439"/>
    <n v="1"/>
    <s v="Y"/>
    <s v="No"/>
    <n v="13"/>
    <n v="3"/>
    <n v="1"/>
    <n v="80"/>
    <n v="2"/>
    <n v="10"/>
    <n v="3"/>
    <n v="3"/>
    <n v="10"/>
    <n v="8"/>
    <x v="0"/>
    <n v="6"/>
    <s v="OK"/>
    <s v="OK"/>
    <s v="OK"/>
    <s v="OK"/>
    <n v="0"/>
    <n v="0.8"/>
    <n v="0.3"/>
    <n v="0.6"/>
  </r>
  <r>
    <n v="53"/>
    <s v="No"/>
    <s v="Travel_Rarely"/>
    <n v="1436"/>
    <s v="Sales"/>
    <n v="6"/>
    <n v="2"/>
    <s v="Marketing"/>
    <n v="1"/>
    <n v="205"/>
    <n v="2"/>
    <s v="Male"/>
    <n v="34"/>
    <n v="3"/>
    <n v="2"/>
    <x v="6"/>
    <n v="3"/>
    <s v="Married"/>
    <n v="2306"/>
    <n v="16047"/>
    <n v="2"/>
    <s v="Y"/>
    <s v="Yes"/>
    <n v="20"/>
    <n v="4"/>
    <n v="4"/>
    <n v="80"/>
    <n v="1"/>
    <n v="13"/>
    <n v="3"/>
    <n v="1"/>
    <n v="7"/>
    <n v="7"/>
    <x v="5"/>
    <n v="5"/>
    <s v="OK"/>
    <s v="OK"/>
    <s v="OK"/>
    <s v="OK"/>
    <n v="0.5714285714285714"/>
    <n v="1"/>
    <n v="0.42857142857142855"/>
    <n v="0.7142857142857143"/>
  </r>
  <r>
    <n v="45"/>
    <s v="No"/>
    <s v="Travel_Rarely"/>
    <n v="194"/>
    <s v="Research &amp; Development"/>
    <n v="9"/>
    <n v="3"/>
    <s v="Life Sciences"/>
    <n v="1"/>
    <n v="206"/>
    <n v="2"/>
    <s v="Male"/>
    <n v="60"/>
    <n v="3"/>
    <n v="2"/>
    <x v="2"/>
    <n v="2"/>
    <s v="Divorced"/>
    <n v="2348"/>
    <n v="10901"/>
    <n v="8"/>
    <s v="Y"/>
    <s v="No"/>
    <n v="18"/>
    <n v="3"/>
    <n v="3"/>
    <n v="80"/>
    <n v="1"/>
    <n v="20"/>
    <n v="2"/>
    <n v="1"/>
    <n v="17"/>
    <n v="9"/>
    <x v="0"/>
    <n v="15"/>
    <s v="OK"/>
    <s v="OK"/>
    <s v="OK"/>
    <s v="OK"/>
    <n v="0"/>
    <n v="0.52941176470588236"/>
    <n v="0.11764705882352941"/>
    <n v="0.88235294117647056"/>
  </r>
  <r>
    <n v="32"/>
    <s v="No"/>
    <s v="Travel_Frequently"/>
    <n v="967"/>
    <s v="Sales"/>
    <n v="8"/>
    <n v="3"/>
    <s v="Marketing"/>
    <n v="1"/>
    <n v="207"/>
    <n v="2"/>
    <s v="Female"/>
    <n v="43"/>
    <n v="3"/>
    <n v="3"/>
    <x v="0"/>
    <n v="4"/>
    <s v="Single"/>
    <n v="8998"/>
    <n v="15589"/>
    <n v="1"/>
    <s v="Y"/>
    <s v="No"/>
    <n v="14"/>
    <n v="3"/>
    <n v="4"/>
    <n v="80"/>
    <n v="0"/>
    <n v="9"/>
    <n v="2"/>
    <n v="3"/>
    <n v="9"/>
    <n v="8"/>
    <x v="2"/>
    <n v="7"/>
    <s v="OK"/>
    <s v="OK"/>
    <s v="OK"/>
    <s v="OK"/>
    <n v="0.33333333333333331"/>
    <n v="0.88888888888888884"/>
    <n v="0.22222222222222221"/>
    <n v="0.77777777777777779"/>
  </r>
  <r>
    <n v="29"/>
    <s v="No"/>
    <s v="Non-Travel"/>
    <n v="1496"/>
    <s v="Research &amp; Development"/>
    <n v="1"/>
    <n v="1"/>
    <s v="Technical Degree"/>
    <n v="1"/>
    <n v="208"/>
    <n v="4"/>
    <s v="Male"/>
    <n v="41"/>
    <n v="3"/>
    <n v="2"/>
    <x v="3"/>
    <n v="3"/>
    <s v="Married"/>
    <n v="4319"/>
    <n v="26283"/>
    <n v="1"/>
    <s v="Y"/>
    <s v="No"/>
    <n v="13"/>
    <n v="3"/>
    <n v="1"/>
    <n v="80"/>
    <n v="1"/>
    <n v="10"/>
    <n v="1"/>
    <n v="3"/>
    <n v="10"/>
    <n v="7"/>
    <x v="0"/>
    <n v="9"/>
    <s v="OK"/>
    <s v="OK"/>
    <s v="OK"/>
    <s v="OK"/>
    <n v="0"/>
    <n v="0.7"/>
    <n v="0.1"/>
    <n v="0.9"/>
  </r>
  <r>
    <n v="51"/>
    <s v="No"/>
    <s v="Travel_Rarely"/>
    <n v="1169"/>
    <s v="Research &amp; Development"/>
    <n v="7"/>
    <n v="4"/>
    <s v="Medical"/>
    <n v="1"/>
    <n v="211"/>
    <n v="2"/>
    <s v="Male"/>
    <n v="34"/>
    <n v="2"/>
    <n v="2"/>
    <x v="3"/>
    <n v="3"/>
    <s v="Married"/>
    <n v="6132"/>
    <n v="13983"/>
    <n v="2"/>
    <s v="Y"/>
    <s v="No"/>
    <n v="17"/>
    <n v="3"/>
    <n v="3"/>
    <n v="80"/>
    <n v="0"/>
    <n v="10"/>
    <n v="2"/>
    <n v="3"/>
    <n v="1"/>
    <n v="0"/>
    <x v="0"/>
    <n v="0"/>
    <s v="OK"/>
    <s v="OK"/>
    <s v="OK"/>
    <s v="OK"/>
    <n v="0"/>
    <n v="0"/>
    <n v="2"/>
    <n v="0"/>
  </r>
  <r>
    <n v="58"/>
    <s v="No"/>
    <s v="Travel_Rarely"/>
    <n v="1145"/>
    <s v="Research &amp; Development"/>
    <n v="9"/>
    <n v="3"/>
    <s v="Medical"/>
    <n v="1"/>
    <n v="214"/>
    <n v="2"/>
    <s v="Female"/>
    <n v="75"/>
    <n v="2"/>
    <n v="1"/>
    <x v="1"/>
    <n v="2"/>
    <s v="Married"/>
    <n v="3346"/>
    <n v="11873"/>
    <n v="4"/>
    <s v="Y"/>
    <s v="Yes"/>
    <n v="20"/>
    <n v="4"/>
    <n v="2"/>
    <n v="80"/>
    <n v="1"/>
    <n v="9"/>
    <n v="3"/>
    <n v="2"/>
    <n v="1"/>
    <n v="0"/>
    <x v="0"/>
    <n v="0"/>
    <s v="OK"/>
    <s v="OK"/>
    <s v="OK"/>
    <s v="OK"/>
    <n v="0"/>
    <n v="0"/>
    <n v="3"/>
    <n v="0"/>
  </r>
  <r>
    <n v="40"/>
    <s v="No"/>
    <s v="Travel_Rarely"/>
    <n v="630"/>
    <s v="Sales"/>
    <n v="4"/>
    <n v="4"/>
    <s v="Marketing"/>
    <n v="1"/>
    <n v="215"/>
    <n v="3"/>
    <s v="Male"/>
    <n v="67"/>
    <n v="2"/>
    <n v="3"/>
    <x v="0"/>
    <n v="4"/>
    <s v="Married"/>
    <n v="10855"/>
    <n v="8552"/>
    <n v="7"/>
    <s v="Y"/>
    <s v="No"/>
    <n v="11"/>
    <n v="3"/>
    <n v="1"/>
    <n v="80"/>
    <n v="1"/>
    <n v="15"/>
    <n v="2"/>
    <n v="2"/>
    <n v="12"/>
    <n v="11"/>
    <x v="3"/>
    <n v="11"/>
    <s v="OK"/>
    <s v="OK"/>
    <s v="OK"/>
    <s v="OK"/>
    <n v="0.16666666666666666"/>
    <n v="0.91666666666666663"/>
    <n v="0.16666666666666666"/>
    <n v="0.91666666666666663"/>
  </r>
  <r>
    <n v="34"/>
    <s v="No"/>
    <s v="Travel_Frequently"/>
    <n v="303"/>
    <s v="Sales"/>
    <n v="2"/>
    <n v="4"/>
    <s v="Marketing"/>
    <n v="1"/>
    <n v="216"/>
    <n v="3"/>
    <s v="Female"/>
    <n v="75"/>
    <n v="3"/>
    <n v="1"/>
    <x v="6"/>
    <n v="3"/>
    <s v="Married"/>
    <n v="2231"/>
    <n v="11314"/>
    <n v="6"/>
    <s v="Y"/>
    <s v="No"/>
    <n v="18"/>
    <n v="3"/>
    <n v="4"/>
    <n v="80"/>
    <n v="1"/>
    <n v="6"/>
    <n v="3"/>
    <n v="3"/>
    <n v="4"/>
    <n v="3"/>
    <x v="1"/>
    <n v="2"/>
    <s v="OK"/>
    <s v="OK"/>
    <s v="OK"/>
    <s v="OK"/>
    <n v="0.25"/>
    <n v="0.75"/>
    <n v="0.75"/>
    <n v="0.5"/>
  </r>
  <r>
    <n v="22"/>
    <s v="No"/>
    <s v="Travel_Rarely"/>
    <n v="1256"/>
    <s v="Research &amp; Development"/>
    <n v="19"/>
    <n v="1"/>
    <s v="Medical"/>
    <n v="1"/>
    <n v="217"/>
    <n v="3"/>
    <s v="Male"/>
    <n v="80"/>
    <n v="3"/>
    <n v="1"/>
    <x v="1"/>
    <n v="4"/>
    <s v="Married"/>
    <n v="2323"/>
    <n v="11992"/>
    <n v="1"/>
    <s v="Y"/>
    <s v="No"/>
    <n v="24"/>
    <n v="4"/>
    <n v="1"/>
    <n v="80"/>
    <n v="2"/>
    <n v="2"/>
    <n v="6"/>
    <n v="3"/>
    <n v="2"/>
    <n v="2"/>
    <x v="3"/>
    <n v="2"/>
    <s v="OK"/>
    <s v="OK"/>
    <s v="OK"/>
    <s v="OK"/>
    <n v="1"/>
    <n v="1"/>
    <n v="3"/>
    <n v="1"/>
  </r>
  <r>
    <n v="27"/>
    <s v="No"/>
    <s v="Non-Travel"/>
    <n v="691"/>
    <s v="Research &amp; Development"/>
    <n v="9"/>
    <n v="3"/>
    <s v="Medical"/>
    <n v="1"/>
    <n v="218"/>
    <n v="4"/>
    <s v="Male"/>
    <n v="57"/>
    <n v="3"/>
    <n v="1"/>
    <x v="1"/>
    <n v="2"/>
    <s v="Divorced"/>
    <n v="2024"/>
    <n v="5970"/>
    <n v="6"/>
    <s v="Y"/>
    <s v="No"/>
    <n v="18"/>
    <n v="3"/>
    <n v="4"/>
    <n v="80"/>
    <n v="1"/>
    <n v="6"/>
    <n v="1"/>
    <n v="1"/>
    <n v="2"/>
    <n v="2"/>
    <x v="3"/>
    <n v="2"/>
    <s v="OK"/>
    <s v="OK"/>
    <s v="OK"/>
    <s v="OK"/>
    <n v="1"/>
    <n v="1"/>
    <n v="0.5"/>
    <n v="1"/>
  </r>
  <r>
    <n v="28"/>
    <s v="No"/>
    <s v="Travel_Rarely"/>
    <n v="440"/>
    <s v="Research &amp; Development"/>
    <n v="21"/>
    <n v="3"/>
    <s v="Medical"/>
    <n v="1"/>
    <n v="221"/>
    <n v="3"/>
    <s v="Male"/>
    <n v="42"/>
    <n v="3"/>
    <n v="1"/>
    <x v="1"/>
    <n v="4"/>
    <s v="Married"/>
    <n v="2713"/>
    <n v="6672"/>
    <n v="1"/>
    <s v="Y"/>
    <s v="No"/>
    <n v="11"/>
    <n v="3"/>
    <n v="3"/>
    <n v="80"/>
    <n v="1"/>
    <n v="5"/>
    <n v="2"/>
    <n v="1"/>
    <n v="5"/>
    <n v="2"/>
    <x v="0"/>
    <n v="2"/>
    <s v="OK"/>
    <s v="OK"/>
    <s v="OK"/>
    <s v="OK"/>
    <n v="0"/>
    <n v="0.4"/>
    <n v="0.4"/>
    <n v="0.4"/>
  </r>
  <r>
    <n v="57"/>
    <s v="No"/>
    <s v="Travel_Rarely"/>
    <n v="334"/>
    <s v="Research &amp; Development"/>
    <n v="24"/>
    <n v="2"/>
    <s v="Life Sciences"/>
    <n v="1"/>
    <n v="223"/>
    <n v="3"/>
    <s v="Male"/>
    <n v="83"/>
    <n v="4"/>
    <n v="3"/>
    <x v="4"/>
    <n v="4"/>
    <s v="Divorced"/>
    <n v="9439"/>
    <n v="23402"/>
    <n v="3"/>
    <s v="Y"/>
    <s v="Yes"/>
    <n v="16"/>
    <n v="3"/>
    <n v="2"/>
    <n v="80"/>
    <n v="1"/>
    <n v="12"/>
    <n v="2"/>
    <n v="1"/>
    <n v="5"/>
    <n v="3"/>
    <x v="1"/>
    <n v="4"/>
    <s v="OK"/>
    <s v="OK"/>
    <s v="OK"/>
    <s v="OK"/>
    <n v="0.2"/>
    <n v="0.6"/>
    <n v="0.4"/>
    <n v="0.8"/>
  </r>
  <r>
    <n v="27"/>
    <s v="No"/>
    <s v="Non-Travel"/>
    <n v="1450"/>
    <s v="Research &amp; Development"/>
    <n v="3"/>
    <n v="3"/>
    <s v="Medical"/>
    <n v="1"/>
    <n v="224"/>
    <n v="3"/>
    <s v="Male"/>
    <n v="79"/>
    <n v="2"/>
    <n v="1"/>
    <x v="1"/>
    <n v="3"/>
    <s v="Divorced"/>
    <n v="2566"/>
    <n v="25326"/>
    <n v="1"/>
    <s v="Y"/>
    <s v="Yes"/>
    <n v="15"/>
    <n v="3"/>
    <n v="4"/>
    <n v="80"/>
    <n v="1"/>
    <n v="1"/>
    <n v="2"/>
    <n v="2"/>
    <n v="1"/>
    <n v="1"/>
    <x v="0"/>
    <n v="1"/>
    <s v="OK"/>
    <s v="OK"/>
    <s v="OK"/>
    <s v="OK"/>
    <n v="0"/>
    <n v="1"/>
    <n v="2"/>
    <n v="1"/>
  </r>
  <r>
    <n v="50"/>
    <s v="No"/>
    <s v="Travel_Rarely"/>
    <n v="1452"/>
    <s v="Research &amp; Development"/>
    <n v="11"/>
    <n v="3"/>
    <s v="Life Sciences"/>
    <n v="1"/>
    <n v="226"/>
    <n v="3"/>
    <s v="Female"/>
    <n v="53"/>
    <n v="3"/>
    <n v="5"/>
    <x v="5"/>
    <n v="2"/>
    <s v="Single"/>
    <n v="19926"/>
    <n v="17053"/>
    <n v="3"/>
    <s v="Y"/>
    <s v="No"/>
    <n v="15"/>
    <n v="3"/>
    <n v="2"/>
    <n v="80"/>
    <n v="0"/>
    <n v="21"/>
    <n v="5"/>
    <n v="3"/>
    <n v="5"/>
    <n v="4"/>
    <x v="5"/>
    <n v="4"/>
    <s v="OK"/>
    <s v="OK"/>
    <s v="OK"/>
    <s v="OK"/>
    <n v="0.8"/>
    <n v="0.8"/>
    <n v="1"/>
    <n v="0.8"/>
  </r>
  <r>
    <n v="41"/>
    <s v="No"/>
    <s v="Travel_Rarely"/>
    <n v="465"/>
    <s v="Research &amp; Development"/>
    <n v="14"/>
    <n v="3"/>
    <s v="Life Sciences"/>
    <n v="1"/>
    <n v="227"/>
    <n v="1"/>
    <s v="Male"/>
    <n v="56"/>
    <n v="3"/>
    <n v="1"/>
    <x v="1"/>
    <n v="3"/>
    <s v="Divorced"/>
    <n v="2451"/>
    <n v="4609"/>
    <n v="4"/>
    <s v="Y"/>
    <s v="No"/>
    <n v="12"/>
    <n v="3"/>
    <n v="1"/>
    <n v="80"/>
    <n v="1"/>
    <n v="13"/>
    <n v="2"/>
    <n v="3"/>
    <n v="9"/>
    <n v="8"/>
    <x v="1"/>
    <n v="8"/>
    <s v="OK"/>
    <s v="OK"/>
    <s v="OK"/>
    <s v="OK"/>
    <n v="0.1111111111111111"/>
    <n v="0.88888888888888884"/>
    <n v="0.22222222222222221"/>
    <n v="0.88888888888888884"/>
  </r>
  <r>
    <n v="30"/>
    <s v="No"/>
    <s v="Travel_Rarely"/>
    <n v="1339"/>
    <s v="Sales"/>
    <n v="5"/>
    <n v="3"/>
    <s v="Life Sciences"/>
    <n v="1"/>
    <n v="228"/>
    <n v="2"/>
    <s v="Female"/>
    <n v="41"/>
    <n v="3"/>
    <n v="3"/>
    <x v="0"/>
    <n v="4"/>
    <s v="Married"/>
    <n v="9419"/>
    <n v="8053"/>
    <n v="2"/>
    <s v="Y"/>
    <s v="No"/>
    <n v="12"/>
    <n v="3"/>
    <n v="3"/>
    <n v="80"/>
    <n v="1"/>
    <n v="12"/>
    <n v="2"/>
    <n v="3"/>
    <n v="10"/>
    <n v="9"/>
    <x v="4"/>
    <n v="4"/>
    <s v="OK"/>
    <s v="OK"/>
    <s v="OK"/>
    <s v="OK"/>
    <n v="0.7"/>
    <n v="0.9"/>
    <n v="0.2"/>
    <n v="0.4"/>
  </r>
  <r>
    <n v="38"/>
    <s v="No"/>
    <s v="Travel_Rarely"/>
    <n v="702"/>
    <s v="Sales"/>
    <n v="1"/>
    <n v="4"/>
    <s v="Life Sciences"/>
    <n v="1"/>
    <n v="230"/>
    <n v="1"/>
    <s v="Female"/>
    <n v="59"/>
    <n v="2"/>
    <n v="2"/>
    <x v="0"/>
    <n v="4"/>
    <s v="Single"/>
    <n v="8686"/>
    <n v="12930"/>
    <n v="4"/>
    <s v="Y"/>
    <s v="No"/>
    <n v="22"/>
    <n v="4"/>
    <n v="3"/>
    <n v="80"/>
    <n v="0"/>
    <n v="12"/>
    <n v="2"/>
    <n v="4"/>
    <n v="8"/>
    <n v="3"/>
    <x v="0"/>
    <n v="7"/>
    <s v="OK"/>
    <s v="OK"/>
    <s v="OK"/>
    <s v="OK"/>
    <n v="0"/>
    <n v="0.375"/>
    <n v="0.25"/>
    <n v="0.875"/>
  </r>
  <r>
    <n v="32"/>
    <s v="No"/>
    <s v="Travel_Rarely"/>
    <n v="120"/>
    <s v="Research &amp; Development"/>
    <n v="6"/>
    <n v="5"/>
    <s v="Life Sciences"/>
    <n v="1"/>
    <n v="231"/>
    <n v="3"/>
    <s v="Male"/>
    <n v="43"/>
    <n v="3"/>
    <n v="1"/>
    <x v="1"/>
    <n v="3"/>
    <s v="Single"/>
    <n v="3038"/>
    <n v="12430"/>
    <n v="3"/>
    <s v="Y"/>
    <s v="No"/>
    <n v="20"/>
    <n v="4"/>
    <n v="1"/>
    <n v="80"/>
    <n v="0"/>
    <n v="8"/>
    <n v="2"/>
    <n v="3"/>
    <n v="5"/>
    <n v="4"/>
    <x v="1"/>
    <n v="4"/>
    <s v="OK"/>
    <s v="OK"/>
    <s v="OK"/>
    <s v="OK"/>
    <n v="0.2"/>
    <n v="0.8"/>
    <n v="0.4"/>
    <n v="0.8"/>
  </r>
  <r>
    <n v="27"/>
    <s v="No"/>
    <s v="Travel_Rarely"/>
    <n v="1157"/>
    <s v="Research &amp; Development"/>
    <n v="17"/>
    <n v="3"/>
    <s v="Technical Degree"/>
    <n v="1"/>
    <n v="233"/>
    <n v="3"/>
    <s v="Male"/>
    <n v="51"/>
    <n v="3"/>
    <n v="1"/>
    <x v="1"/>
    <n v="2"/>
    <s v="Married"/>
    <n v="3058"/>
    <n v="13364"/>
    <n v="0"/>
    <s v="Y"/>
    <s v="Yes"/>
    <n v="16"/>
    <n v="3"/>
    <n v="4"/>
    <n v="80"/>
    <n v="1"/>
    <n v="6"/>
    <n v="3"/>
    <n v="2"/>
    <n v="5"/>
    <n v="2"/>
    <x v="1"/>
    <n v="1"/>
    <s v="OK"/>
    <s v="OK"/>
    <s v="OK"/>
    <s v="OK"/>
    <n v="0.2"/>
    <n v="0.4"/>
    <n v="0.6"/>
    <n v="0.2"/>
  </r>
  <r>
    <n v="19"/>
    <s v="Yes"/>
    <s v="Travel_Frequently"/>
    <n v="602"/>
    <s v="Sales"/>
    <n v="1"/>
    <n v="1"/>
    <s v="Technical Degree"/>
    <n v="1"/>
    <n v="235"/>
    <n v="3"/>
    <s v="Female"/>
    <n v="100"/>
    <n v="1"/>
    <n v="1"/>
    <x v="6"/>
    <n v="1"/>
    <s v="Single"/>
    <n v="2325"/>
    <n v="20989"/>
    <n v="0"/>
    <s v="Y"/>
    <s v="No"/>
    <n v="21"/>
    <n v="4"/>
    <n v="1"/>
    <n v="80"/>
    <n v="0"/>
    <n v="1"/>
    <n v="5"/>
    <n v="4"/>
    <n v="0"/>
    <n v="0"/>
    <x v="0"/>
    <n v="0"/>
    <s v="OK"/>
    <s v="OK"/>
    <s v="OK"/>
    <s v="OK"/>
    <n v="0"/>
    <n v="0"/>
    <n v="0"/>
    <n v="0"/>
  </r>
  <r>
    <n v="36"/>
    <s v="No"/>
    <s v="Travel_Frequently"/>
    <n v="1480"/>
    <s v="Research &amp; Development"/>
    <n v="3"/>
    <n v="2"/>
    <s v="Medical"/>
    <n v="1"/>
    <n v="238"/>
    <n v="4"/>
    <s v="Male"/>
    <n v="30"/>
    <n v="3"/>
    <n v="1"/>
    <x v="2"/>
    <n v="2"/>
    <s v="Single"/>
    <n v="2088"/>
    <n v="15062"/>
    <n v="4"/>
    <s v="Y"/>
    <s v="No"/>
    <n v="12"/>
    <n v="3"/>
    <n v="3"/>
    <n v="80"/>
    <n v="0"/>
    <n v="13"/>
    <n v="3"/>
    <n v="2"/>
    <n v="8"/>
    <n v="7"/>
    <x v="4"/>
    <n v="2"/>
    <s v="OK"/>
    <s v="OK"/>
    <s v="OK"/>
    <s v="OK"/>
    <n v="0.875"/>
    <n v="0.875"/>
    <n v="0.375"/>
    <n v="0.25"/>
  </r>
  <r>
    <n v="30"/>
    <s v="No"/>
    <s v="Non-Travel"/>
    <n v="111"/>
    <s v="Research &amp; Development"/>
    <n v="9"/>
    <n v="3"/>
    <s v="Medical"/>
    <n v="1"/>
    <n v="239"/>
    <n v="3"/>
    <s v="Male"/>
    <n v="66"/>
    <n v="3"/>
    <n v="2"/>
    <x v="2"/>
    <n v="1"/>
    <s v="Divorced"/>
    <n v="3072"/>
    <n v="11012"/>
    <n v="1"/>
    <s v="Y"/>
    <s v="No"/>
    <n v="11"/>
    <n v="3"/>
    <n v="3"/>
    <n v="80"/>
    <n v="2"/>
    <n v="12"/>
    <n v="4"/>
    <n v="3"/>
    <n v="12"/>
    <n v="9"/>
    <x v="7"/>
    <n v="10"/>
    <s v="OK"/>
    <s v="OK"/>
    <s v="OK"/>
    <s v="OK"/>
    <n v="0.5"/>
    <n v="0.75"/>
    <n v="0.33333333333333331"/>
    <n v="0.83333333333333337"/>
  </r>
  <r>
    <n v="45"/>
    <s v="No"/>
    <s v="Travel_Rarely"/>
    <n v="1268"/>
    <s v="Sales"/>
    <n v="4"/>
    <n v="2"/>
    <s v="Life Sciences"/>
    <n v="1"/>
    <n v="240"/>
    <n v="3"/>
    <s v="Female"/>
    <n v="30"/>
    <n v="3"/>
    <n v="2"/>
    <x v="0"/>
    <n v="1"/>
    <s v="Divorced"/>
    <n v="5006"/>
    <n v="6319"/>
    <n v="4"/>
    <s v="Y"/>
    <s v="Yes"/>
    <n v="11"/>
    <n v="3"/>
    <n v="1"/>
    <n v="80"/>
    <n v="1"/>
    <n v="9"/>
    <n v="3"/>
    <n v="4"/>
    <n v="5"/>
    <n v="4"/>
    <x v="0"/>
    <n v="3"/>
    <s v="OK"/>
    <s v="OK"/>
    <s v="OK"/>
    <s v="OK"/>
    <n v="0"/>
    <n v="0.8"/>
    <n v="0.6"/>
    <n v="0.6"/>
  </r>
  <r>
    <n v="56"/>
    <s v="No"/>
    <s v="Travel_Rarely"/>
    <n v="713"/>
    <s v="Research &amp; Development"/>
    <n v="8"/>
    <n v="3"/>
    <s v="Life Sciences"/>
    <n v="1"/>
    <n v="241"/>
    <n v="3"/>
    <s v="Female"/>
    <n v="67"/>
    <n v="3"/>
    <n v="1"/>
    <x v="1"/>
    <n v="1"/>
    <s v="Divorced"/>
    <n v="4257"/>
    <n v="13939"/>
    <n v="4"/>
    <s v="Y"/>
    <s v="Yes"/>
    <n v="18"/>
    <n v="3"/>
    <n v="3"/>
    <n v="80"/>
    <n v="1"/>
    <n v="19"/>
    <n v="3"/>
    <n v="3"/>
    <n v="2"/>
    <n v="2"/>
    <x v="3"/>
    <n v="2"/>
    <s v="OK"/>
    <s v="OK"/>
    <s v="OK"/>
    <s v="OK"/>
    <n v="1"/>
    <n v="1"/>
    <n v="1.5"/>
    <n v="1"/>
  </r>
  <r>
    <n v="33"/>
    <s v="No"/>
    <s v="Travel_Rarely"/>
    <n v="134"/>
    <s v="Research &amp; Development"/>
    <n v="2"/>
    <n v="3"/>
    <s v="Life Sciences"/>
    <n v="1"/>
    <n v="242"/>
    <n v="3"/>
    <s v="Male"/>
    <n v="90"/>
    <n v="3"/>
    <n v="1"/>
    <x v="1"/>
    <n v="4"/>
    <s v="Single"/>
    <n v="2500"/>
    <n v="10515"/>
    <n v="0"/>
    <s v="Y"/>
    <s v="No"/>
    <n v="14"/>
    <n v="3"/>
    <n v="1"/>
    <n v="80"/>
    <n v="0"/>
    <n v="4"/>
    <n v="2"/>
    <n v="4"/>
    <n v="3"/>
    <n v="1"/>
    <x v="0"/>
    <n v="2"/>
    <s v="OK"/>
    <s v="OK"/>
    <s v="OK"/>
    <s v="OK"/>
    <n v="0"/>
    <n v="0.33333333333333331"/>
    <n v="0.66666666666666663"/>
    <n v="0.66666666666666663"/>
  </r>
  <r>
    <n v="19"/>
    <s v="Yes"/>
    <s v="Travel_Rarely"/>
    <n v="303"/>
    <s v="Research &amp; Development"/>
    <n v="2"/>
    <n v="3"/>
    <s v="Life Sciences"/>
    <n v="1"/>
    <n v="243"/>
    <n v="2"/>
    <s v="Male"/>
    <n v="47"/>
    <n v="2"/>
    <n v="1"/>
    <x v="2"/>
    <n v="4"/>
    <s v="Single"/>
    <n v="1102"/>
    <n v="9241"/>
    <n v="1"/>
    <s v="Y"/>
    <s v="No"/>
    <n v="22"/>
    <n v="4"/>
    <n v="3"/>
    <n v="80"/>
    <n v="0"/>
    <n v="1"/>
    <n v="3"/>
    <n v="2"/>
    <n v="1"/>
    <n v="0"/>
    <x v="1"/>
    <n v="0"/>
    <s v="OK"/>
    <s v="OK"/>
    <s v="OK"/>
    <s v="OK"/>
    <n v="1"/>
    <n v="0"/>
    <n v="3"/>
    <n v="0"/>
  </r>
  <r>
    <n v="46"/>
    <s v="No"/>
    <s v="Travel_Rarely"/>
    <n v="526"/>
    <s v="Sales"/>
    <n v="1"/>
    <n v="2"/>
    <s v="Marketing"/>
    <n v="1"/>
    <n v="244"/>
    <n v="2"/>
    <s v="Female"/>
    <n v="92"/>
    <n v="3"/>
    <n v="3"/>
    <x v="0"/>
    <n v="1"/>
    <s v="Divorced"/>
    <n v="10453"/>
    <n v="2137"/>
    <n v="1"/>
    <s v="Y"/>
    <s v="No"/>
    <n v="25"/>
    <n v="4"/>
    <n v="3"/>
    <n v="80"/>
    <n v="3"/>
    <n v="24"/>
    <n v="2"/>
    <n v="3"/>
    <n v="24"/>
    <n v="13"/>
    <x v="9"/>
    <n v="7"/>
    <s v="OK"/>
    <s v="OK"/>
    <s v="OK"/>
    <s v="OK"/>
    <n v="0.625"/>
    <n v="0.54166666666666663"/>
    <n v="8.3333333333333329E-2"/>
    <n v="0.29166666666666669"/>
  </r>
  <r>
    <n v="38"/>
    <s v="No"/>
    <s v="Travel_Rarely"/>
    <n v="1380"/>
    <s v="Research &amp; Development"/>
    <n v="9"/>
    <n v="2"/>
    <s v="Life Sciences"/>
    <n v="1"/>
    <n v="245"/>
    <n v="3"/>
    <s v="Female"/>
    <n v="75"/>
    <n v="3"/>
    <n v="1"/>
    <x v="2"/>
    <n v="4"/>
    <s v="Single"/>
    <n v="2288"/>
    <n v="6319"/>
    <n v="1"/>
    <s v="Y"/>
    <s v="No"/>
    <n v="12"/>
    <n v="3"/>
    <n v="3"/>
    <n v="80"/>
    <n v="0"/>
    <n v="2"/>
    <n v="3"/>
    <n v="3"/>
    <n v="2"/>
    <n v="2"/>
    <x v="3"/>
    <n v="1"/>
    <s v="OK"/>
    <s v="OK"/>
    <s v="OK"/>
    <s v="OK"/>
    <n v="1"/>
    <n v="1"/>
    <n v="1.5"/>
    <n v="0.5"/>
  </r>
  <r>
    <n v="31"/>
    <s v="No"/>
    <s v="Travel_Rarely"/>
    <n v="140"/>
    <s v="Research &amp; Development"/>
    <n v="12"/>
    <n v="1"/>
    <s v="Medical"/>
    <n v="1"/>
    <n v="246"/>
    <n v="3"/>
    <s v="Female"/>
    <n v="95"/>
    <n v="3"/>
    <n v="1"/>
    <x v="1"/>
    <n v="4"/>
    <s v="Married"/>
    <n v="3929"/>
    <n v="6984"/>
    <n v="8"/>
    <s v="Y"/>
    <s v="Yes"/>
    <n v="23"/>
    <n v="4"/>
    <n v="3"/>
    <n v="80"/>
    <n v="1"/>
    <n v="7"/>
    <n v="0"/>
    <n v="3"/>
    <n v="4"/>
    <n v="2"/>
    <x v="0"/>
    <n v="2"/>
    <s v="OK"/>
    <s v="OK"/>
    <s v="OK"/>
    <s v="OK"/>
    <n v="0"/>
    <n v="0.5"/>
    <n v="0"/>
    <n v="0.5"/>
  </r>
  <r>
    <n v="34"/>
    <s v="No"/>
    <s v="Travel_Rarely"/>
    <n v="629"/>
    <s v="Research &amp; Development"/>
    <n v="27"/>
    <n v="2"/>
    <s v="Medical"/>
    <n v="1"/>
    <n v="247"/>
    <n v="4"/>
    <s v="Female"/>
    <n v="95"/>
    <n v="3"/>
    <n v="1"/>
    <x v="1"/>
    <n v="2"/>
    <s v="Single"/>
    <n v="2311"/>
    <n v="5711"/>
    <n v="2"/>
    <s v="Y"/>
    <s v="No"/>
    <n v="15"/>
    <n v="3"/>
    <n v="4"/>
    <n v="80"/>
    <n v="0"/>
    <n v="9"/>
    <n v="3"/>
    <n v="3"/>
    <n v="3"/>
    <n v="2"/>
    <x v="1"/>
    <n v="2"/>
    <s v="OK"/>
    <s v="OK"/>
    <s v="OK"/>
    <s v="OK"/>
    <n v="0.33333333333333331"/>
    <n v="0.66666666666666663"/>
    <n v="1"/>
    <n v="0.66666666666666663"/>
  </r>
  <r>
    <n v="41"/>
    <s v="Yes"/>
    <s v="Travel_Rarely"/>
    <n v="1356"/>
    <s v="Sales"/>
    <n v="20"/>
    <n v="2"/>
    <s v="Marketing"/>
    <n v="1"/>
    <n v="248"/>
    <n v="2"/>
    <s v="Female"/>
    <n v="70"/>
    <n v="3"/>
    <n v="1"/>
    <x v="6"/>
    <n v="2"/>
    <s v="Single"/>
    <n v="3140"/>
    <n v="21728"/>
    <n v="1"/>
    <s v="Y"/>
    <s v="Yes"/>
    <n v="22"/>
    <n v="4"/>
    <n v="4"/>
    <n v="80"/>
    <n v="0"/>
    <n v="4"/>
    <n v="5"/>
    <n v="2"/>
    <n v="4"/>
    <n v="3"/>
    <x v="0"/>
    <n v="2"/>
    <s v="OK"/>
    <s v="OK"/>
    <s v="OK"/>
    <s v="OK"/>
    <n v="0"/>
    <n v="0.75"/>
    <n v="1.25"/>
    <n v="0.5"/>
  </r>
  <r>
    <n v="50"/>
    <s v="No"/>
    <s v="Travel_Rarely"/>
    <n v="328"/>
    <s v="Research &amp; Development"/>
    <n v="1"/>
    <n v="3"/>
    <s v="Medical"/>
    <n v="1"/>
    <n v="249"/>
    <n v="3"/>
    <s v="Male"/>
    <n v="86"/>
    <n v="2"/>
    <n v="1"/>
    <x v="2"/>
    <n v="3"/>
    <s v="Married"/>
    <n v="3690"/>
    <n v="3425"/>
    <n v="2"/>
    <s v="Y"/>
    <s v="No"/>
    <n v="15"/>
    <n v="3"/>
    <n v="4"/>
    <n v="80"/>
    <n v="1"/>
    <n v="5"/>
    <n v="2"/>
    <n v="2"/>
    <n v="3"/>
    <n v="2"/>
    <x v="0"/>
    <n v="2"/>
    <s v="OK"/>
    <s v="OK"/>
    <s v="OK"/>
    <s v="OK"/>
    <n v="0"/>
    <n v="0.66666666666666663"/>
    <n v="0.66666666666666663"/>
    <n v="0.66666666666666663"/>
  </r>
  <r>
    <n v="53"/>
    <s v="No"/>
    <s v="Travel_Rarely"/>
    <n v="1084"/>
    <s v="Research &amp; Development"/>
    <n v="13"/>
    <n v="2"/>
    <s v="Medical"/>
    <n v="1"/>
    <n v="250"/>
    <n v="4"/>
    <s v="Female"/>
    <n v="57"/>
    <n v="4"/>
    <n v="2"/>
    <x v="3"/>
    <n v="1"/>
    <s v="Divorced"/>
    <n v="4450"/>
    <n v="26250"/>
    <n v="1"/>
    <s v="Y"/>
    <s v="No"/>
    <n v="11"/>
    <n v="3"/>
    <n v="3"/>
    <n v="80"/>
    <n v="2"/>
    <n v="5"/>
    <n v="3"/>
    <n v="3"/>
    <n v="4"/>
    <n v="2"/>
    <x v="1"/>
    <n v="3"/>
    <s v="OK"/>
    <s v="OK"/>
    <s v="OK"/>
    <s v="OK"/>
    <n v="0.25"/>
    <n v="0.5"/>
    <n v="0.75"/>
    <n v="0.75"/>
  </r>
  <r>
    <n v="33"/>
    <s v="No"/>
    <s v="Travel_Rarely"/>
    <n v="931"/>
    <s v="Research &amp; Development"/>
    <n v="14"/>
    <n v="3"/>
    <s v="Medical"/>
    <n v="1"/>
    <n v="252"/>
    <n v="4"/>
    <s v="Female"/>
    <n v="72"/>
    <n v="3"/>
    <n v="1"/>
    <x v="1"/>
    <n v="2"/>
    <s v="Married"/>
    <n v="2756"/>
    <n v="4673"/>
    <n v="1"/>
    <s v="Y"/>
    <s v="No"/>
    <n v="13"/>
    <n v="3"/>
    <n v="4"/>
    <n v="80"/>
    <n v="1"/>
    <n v="8"/>
    <n v="5"/>
    <n v="3"/>
    <n v="8"/>
    <n v="7"/>
    <x v="1"/>
    <n v="6"/>
    <s v="OK"/>
    <s v="OK"/>
    <s v="OK"/>
    <s v="OK"/>
    <n v="0.125"/>
    <n v="0.875"/>
    <n v="0.625"/>
    <n v="0.75"/>
  </r>
  <r>
    <n v="40"/>
    <s v="No"/>
    <s v="Travel_Rarely"/>
    <n v="989"/>
    <s v="Research &amp; Development"/>
    <n v="4"/>
    <n v="1"/>
    <s v="Medical"/>
    <n v="1"/>
    <n v="253"/>
    <n v="4"/>
    <s v="Female"/>
    <n v="46"/>
    <n v="3"/>
    <n v="5"/>
    <x v="5"/>
    <n v="3"/>
    <s v="Married"/>
    <n v="19033"/>
    <n v="6499"/>
    <n v="1"/>
    <s v="Y"/>
    <s v="No"/>
    <n v="14"/>
    <n v="3"/>
    <n v="2"/>
    <n v="80"/>
    <n v="1"/>
    <n v="21"/>
    <n v="2"/>
    <n v="3"/>
    <n v="20"/>
    <n v="8"/>
    <x v="10"/>
    <n v="9"/>
    <s v="OK"/>
    <s v="OK"/>
    <s v="OK"/>
    <s v="OK"/>
    <n v="0.45"/>
    <n v="0.4"/>
    <n v="0.1"/>
    <n v="0.45"/>
  </r>
  <r>
    <n v="55"/>
    <s v="No"/>
    <s v="Travel_Rarely"/>
    <n v="692"/>
    <s v="Research &amp; Development"/>
    <n v="14"/>
    <n v="4"/>
    <s v="Medical"/>
    <n v="1"/>
    <n v="254"/>
    <n v="3"/>
    <s v="Male"/>
    <n v="61"/>
    <n v="4"/>
    <n v="5"/>
    <x v="7"/>
    <n v="2"/>
    <s v="Single"/>
    <n v="18722"/>
    <n v="13339"/>
    <n v="8"/>
    <s v="Y"/>
    <s v="No"/>
    <n v="11"/>
    <n v="3"/>
    <n v="4"/>
    <n v="80"/>
    <n v="0"/>
    <n v="36"/>
    <n v="3"/>
    <n v="3"/>
    <n v="24"/>
    <n v="15"/>
    <x v="3"/>
    <n v="15"/>
    <s v="OK"/>
    <s v="OK"/>
    <s v="OK"/>
    <s v="OK"/>
    <n v="8.3333333333333329E-2"/>
    <n v="0.625"/>
    <n v="0.125"/>
    <n v="0.625"/>
  </r>
  <r>
    <n v="34"/>
    <s v="No"/>
    <s v="Travel_Frequently"/>
    <n v="1069"/>
    <s v="Research &amp; Development"/>
    <n v="2"/>
    <n v="1"/>
    <s v="Life Sciences"/>
    <n v="1"/>
    <n v="256"/>
    <n v="4"/>
    <s v="Male"/>
    <n v="45"/>
    <n v="2"/>
    <n v="2"/>
    <x v="3"/>
    <n v="3"/>
    <s v="Married"/>
    <n v="9547"/>
    <n v="14074"/>
    <n v="1"/>
    <s v="Y"/>
    <s v="No"/>
    <n v="17"/>
    <n v="3"/>
    <n v="3"/>
    <n v="80"/>
    <n v="0"/>
    <n v="10"/>
    <n v="2"/>
    <n v="2"/>
    <n v="10"/>
    <n v="9"/>
    <x v="1"/>
    <n v="9"/>
    <s v="OK"/>
    <s v="OK"/>
    <s v="OK"/>
    <s v="OK"/>
    <n v="0.1"/>
    <n v="0.9"/>
    <n v="0.2"/>
    <n v="0.9"/>
  </r>
  <r>
    <n v="51"/>
    <s v="No"/>
    <s v="Travel_Rarely"/>
    <n v="313"/>
    <s v="Research &amp; Development"/>
    <n v="3"/>
    <n v="3"/>
    <s v="Medical"/>
    <n v="1"/>
    <n v="258"/>
    <n v="4"/>
    <s v="Female"/>
    <n v="98"/>
    <n v="3"/>
    <n v="4"/>
    <x v="4"/>
    <n v="2"/>
    <s v="Single"/>
    <n v="13734"/>
    <n v="7192"/>
    <n v="3"/>
    <s v="Y"/>
    <s v="No"/>
    <n v="18"/>
    <n v="3"/>
    <n v="3"/>
    <n v="80"/>
    <n v="0"/>
    <n v="21"/>
    <n v="6"/>
    <n v="3"/>
    <n v="7"/>
    <n v="7"/>
    <x v="1"/>
    <n v="0"/>
    <s v="OK"/>
    <s v="OK"/>
    <s v="OK"/>
    <s v="OK"/>
    <n v="0.14285714285714285"/>
    <n v="1"/>
    <n v="0.8571428571428571"/>
    <n v="0"/>
  </r>
  <r>
    <n v="52"/>
    <s v="No"/>
    <s v="Travel_Rarely"/>
    <n v="699"/>
    <s v="Research &amp; Development"/>
    <n v="1"/>
    <n v="4"/>
    <s v="Life Sciences"/>
    <n v="1"/>
    <n v="259"/>
    <n v="3"/>
    <s v="Male"/>
    <n v="65"/>
    <n v="2"/>
    <n v="5"/>
    <x v="5"/>
    <n v="3"/>
    <s v="Married"/>
    <n v="19999"/>
    <n v="5678"/>
    <n v="0"/>
    <s v="Y"/>
    <s v="No"/>
    <n v="14"/>
    <n v="3"/>
    <n v="1"/>
    <n v="80"/>
    <n v="1"/>
    <n v="34"/>
    <n v="5"/>
    <n v="3"/>
    <n v="33"/>
    <n v="18"/>
    <x v="14"/>
    <n v="9"/>
    <s v="OK"/>
    <s v="OK"/>
    <s v="OK"/>
    <s v="OK"/>
    <n v="0.33333333333333331"/>
    <n v="0.54545454545454541"/>
    <n v="0.15151515151515152"/>
    <n v="0.27272727272727271"/>
  </r>
  <r>
    <n v="27"/>
    <s v="No"/>
    <s v="Travel_Rarely"/>
    <n v="894"/>
    <s v="Research &amp; Development"/>
    <n v="9"/>
    <n v="3"/>
    <s v="Medical"/>
    <n v="1"/>
    <n v="260"/>
    <n v="4"/>
    <s v="Female"/>
    <n v="99"/>
    <n v="3"/>
    <n v="1"/>
    <x v="1"/>
    <n v="2"/>
    <s v="Single"/>
    <n v="2279"/>
    <n v="11781"/>
    <n v="1"/>
    <s v="Y"/>
    <s v="No"/>
    <n v="16"/>
    <n v="3"/>
    <n v="4"/>
    <n v="80"/>
    <n v="0"/>
    <n v="7"/>
    <n v="2"/>
    <n v="2"/>
    <n v="7"/>
    <n v="7"/>
    <x v="0"/>
    <n v="3"/>
    <s v="OK"/>
    <s v="OK"/>
    <s v="OK"/>
    <s v="OK"/>
    <n v="0"/>
    <n v="1"/>
    <n v="0.2857142857142857"/>
    <n v="0.42857142857142855"/>
  </r>
  <r>
    <n v="35"/>
    <s v="Yes"/>
    <s v="Travel_Rarely"/>
    <n v="556"/>
    <s v="Research &amp; Development"/>
    <n v="23"/>
    <n v="2"/>
    <s v="Life Sciences"/>
    <n v="1"/>
    <n v="261"/>
    <n v="2"/>
    <s v="Male"/>
    <n v="50"/>
    <n v="2"/>
    <n v="2"/>
    <x v="3"/>
    <n v="3"/>
    <s v="Married"/>
    <n v="5916"/>
    <n v="15497"/>
    <n v="3"/>
    <s v="Y"/>
    <s v="Yes"/>
    <n v="13"/>
    <n v="3"/>
    <n v="1"/>
    <n v="80"/>
    <n v="0"/>
    <n v="8"/>
    <n v="1"/>
    <n v="3"/>
    <n v="1"/>
    <n v="0"/>
    <x v="0"/>
    <n v="1"/>
    <s v="OK"/>
    <s v="OK"/>
    <s v="OK"/>
    <s v="OK"/>
    <n v="0"/>
    <n v="0"/>
    <n v="1"/>
    <n v="1"/>
  </r>
  <r>
    <n v="43"/>
    <s v="No"/>
    <s v="Non-Travel"/>
    <n v="1344"/>
    <s v="Research &amp; Development"/>
    <n v="7"/>
    <n v="3"/>
    <s v="Medical"/>
    <n v="1"/>
    <n v="262"/>
    <n v="4"/>
    <s v="Male"/>
    <n v="37"/>
    <n v="4"/>
    <n v="1"/>
    <x v="1"/>
    <n v="4"/>
    <s v="Divorced"/>
    <n v="2089"/>
    <n v="5228"/>
    <n v="4"/>
    <s v="Y"/>
    <s v="No"/>
    <n v="14"/>
    <n v="3"/>
    <n v="4"/>
    <n v="80"/>
    <n v="3"/>
    <n v="7"/>
    <n v="3"/>
    <n v="4"/>
    <n v="5"/>
    <n v="4"/>
    <x v="3"/>
    <n v="2"/>
    <s v="OK"/>
    <s v="OK"/>
    <s v="OK"/>
    <s v="OK"/>
    <n v="0.4"/>
    <n v="0.8"/>
    <n v="0.6"/>
    <n v="0.4"/>
  </r>
  <r>
    <n v="45"/>
    <s v="No"/>
    <s v="Non-Travel"/>
    <n v="1195"/>
    <s v="Research &amp; Development"/>
    <n v="2"/>
    <n v="2"/>
    <s v="Medical"/>
    <n v="1"/>
    <n v="264"/>
    <n v="1"/>
    <s v="Male"/>
    <n v="65"/>
    <n v="2"/>
    <n v="4"/>
    <x v="5"/>
    <n v="4"/>
    <s v="Married"/>
    <n v="16792"/>
    <n v="20462"/>
    <n v="9"/>
    <s v="Y"/>
    <s v="No"/>
    <n v="23"/>
    <n v="4"/>
    <n v="4"/>
    <n v="80"/>
    <n v="1"/>
    <n v="22"/>
    <n v="1"/>
    <n v="3"/>
    <n v="20"/>
    <n v="8"/>
    <x v="14"/>
    <n v="8"/>
    <s v="OK"/>
    <s v="OK"/>
    <s v="OK"/>
    <s v="OK"/>
    <n v="0.55000000000000004"/>
    <n v="0.4"/>
    <n v="0.05"/>
    <n v="0.4"/>
  </r>
  <r>
    <n v="37"/>
    <s v="No"/>
    <s v="Travel_Rarely"/>
    <n v="290"/>
    <s v="Research &amp; Development"/>
    <n v="21"/>
    <n v="3"/>
    <s v="Life Sciences"/>
    <n v="1"/>
    <n v="267"/>
    <n v="2"/>
    <s v="Male"/>
    <n v="65"/>
    <n v="4"/>
    <n v="1"/>
    <x v="1"/>
    <n v="1"/>
    <s v="Married"/>
    <n v="3564"/>
    <n v="22977"/>
    <n v="1"/>
    <s v="Y"/>
    <s v="Yes"/>
    <n v="12"/>
    <n v="3"/>
    <n v="1"/>
    <n v="80"/>
    <n v="1"/>
    <n v="8"/>
    <n v="3"/>
    <n v="2"/>
    <n v="8"/>
    <n v="7"/>
    <x v="1"/>
    <n v="7"/>
    <s v="OK"/>
    <s v="OK"/>
    <s v="OK"/>
    <s v="OK"/>
    <n v="0.125"/>
    <n v="0.875"/>
    <n v="0.375"/>
    <n v="0.875"/>
  </r>
  <r>
    <n v="35"/>
    <s v="No"/>
    <s v="Travel_Frequently"/>
    <n v="138"/>
    <s v="Research &amp; Development"/>
    <n v="2"/>
    <n v="3"/>
    <s v="Medical"/>
    <n v="1"/>
    <n v="269"/>
    <n v="2"/>
    <s v="Female"/>
    <n v="37"/>
    <n v="3"/>
    <n v="2"/>
    <x v="2"/>
    <n v="2"/>
    <s v="Single"/>
    <n v="4425"/>
    <n v="15986"/>
    <n v="5"/>
    <s v="Y"/>
    <s v="No"/>
    <n v="11"/>
    <n v="3"/>
    <n v="4"/>
    <n v="80"/>
    <n v="0"/>
    <n v="10"/>
    <n v="5"/>
    <n v="3"/>
    <n v="6"/>
    <n v="2"/>
    <x v="1"/>
    <n v="2"/>
    <s v="OK"/>
    <s v="OK"/>
    <s v="OK"/>
    <s v="OK"/>
    <n v="0.16666666666666666"/>
    <n v="0.33333333333333331"/>
    <n v="0.83333333333333337"/>
    <n v="0.33333333333333331"/>
  </r>
  <r>
    <n v="42"/>
    <s v="No"/>
    <s v="Non-Travel"/>
    <n v="926"/>
    <s v="Research &amp; Development"/>
    <n v="21"/>
    <n v="2"/>
    <s v="Medical"/>
    <n v="1"/>
    <n v="270"/>
    <n v="3"/>
    <s v="Female"/>
    <n v="36"/>
    <n v="3"/>
    <n v="2"/>
    <x v="3"/>
    <n v="3"/>
    <s v="Divorced"/>
    <n v="5265"/>
    <n v="16439"/>
    <n v="2"/>
    <s v="Y"/>
    <s v="No"/>
    <n v="16"/>
    <n v="3"/>
    <n v="2"/>
    <n v="80"/>
    <n v="1"/>
    <n v="11"/>
    <n v="5"/>
    <n v="3"/>
    <n v="5"/>
    <n v="3"/>
    <x v="0"/>
    <n v="2"/>
    <s v="OK"/>
    <s v="OK"/>
    <s v="OK"/>
    <s v="OK"/>
    <n v="0"/>
    <n v="0.6"/>
    <n v="1"/>
    <n v="0.4"/>
  </r>
  <r>
    <n v="38"/>
    <s v="No"/>
    <s v="Travel_Rarely"/>
    <n v="1261"/>
    <s v="Research &amp; Development"/>
    <n v="2"/>
    <n v="4"/>
    <s v="Life Sciences"/>
    <n v="1"/>
    <n v="271"/>
    <n v="4"/>
    <s v="Male"/>
    <n v="88"/>
    <n v="3"/>
    <n v="2"/>
    <x v="3"/>
    <n v="3"/>
    <s v="Married"/>
    <n v="6553"/>
    <n v="7259"/>
    <n v="9"/>
    <s v="Y"/>
    <s v="No"/>
    <n v="14"/>
    <n v="3"/>
    <n v="2"/>
    <n v="80"/>
    <n v="0"/>
    <n v="14"/>
    <n v="3"/>
    <n v="3"/>
    <n v="1"/>
    <n v="0"/>
    <x v="0"/>
    <n v="0"/>
    <s v="OK"/>
    <s v="OK"/>
    <s v="OK"/>
    <s v="OK"/>
    <n v="0"/>
    <n v="0"/>
    <n v="3"/>
    <n v="0"/>
  </r>
  <r>
    <n v="38"/>
    <s v="No"/>
    <s v="Travel_Rarely"/>
    <n v="1084"/>
    <s v="Research &amp; Development"/>
    <n v="29"/>
    <n v="3"/>
    <s v="Technical Degree"/>
    <n v="1"/>
    <n v="273"/>
    <n v="4"/>
    <s v="Male"/>
    <n v="54"/>
    <n v="3"/>
    <n v="2"/>
    <x v="3"/>
    <n v="4"/>
    <s v="Married"/>
    <n v="6261"/>
    <n v="4185"/>
    <n v="3"/>
    <s v="Y"/>
    <s v="No"/>
    <n v="18"/>
    <n v="3"/>
    <n v="1"/>
    <n v="80"/>
    <n v="1"/>
    <n v="9"/>
    <n v="3"/>
    <n v="1"/>
    <n v="7"/>
    <n v="7"/>
    <x v="1"/>
    <n v="7"/>
    <s v="OK"/>
    <s v="OK"/>
    <s v="OK"/>
    <s v="OK"/>
    <n v="0.14285714285714285"/>
    <n v="1"/>
    <n v="0.42857142857142855"/>
    <n v="1"/>
  </r>
  <r>
    <n v="27"/>
    <s v="No"/>
    <s v="Travel_Frequently"/>
    <n v="472"/>
    <s v="Research &amp; Development"/>
    <n v="1"/>
    <n v="1"/>
    <s v="Technical Degree"/>
    <n v="1"/>
    <n v="274"/>
    <n v="3"/>
    <s v="Male"/>
    <n v="60"/>
    <n v="2"/>
    <n v="2"/>
    <x v="3"/>
    <n v="1"/>
    <s v="Married"/>
    <n v="4298"/>
    <n v="9679"/>
    <n v="5"/>
    <s v="Y"/>
    <s v="No"/>
    <n v="19"/>
    <n v="3"/>
    <n v="3"/>
    <n v="80"/>
    <n v="1"/>
    <n v="6"/>
    <n v="1"/>
    <n v="3"/>
    <n v="2"/>
    <n v="2"/>
    <x v="3"/>
    <n v="0"/>
    <s v="OK"/>
    <s v="OK"/>
    <s v="OK"/>
    <s v="OK"/>
    <n v="1"/>
    <n v="1"/>
    <n v="0.5"/>
    <n v="0"/>
  </r>
  <r>
    <n v="49"/>
    <s v="No"/>
    <s v="Non-Travel"/>
    <n v="1002"/>
    <s v="Research &amp; Development"/>
    <n v="18"/>
    <n v="4"/>
    <s v="Life Sciences"/>
    <n v="1"/>
    <n v="275"/>
    <n v="4"/>
    <s v="Male"/>
    <n v="92"/>
    <n v="3"/>
    <n v="2"/>
    <x v="3"/>
    <n v="4"/>
    <s v="Divorced"/>
    <n v="6804"/>
    <n v="23793"/>
    <n v="1"/>
    <s v="Y"/>
    <s v="Yes"/>
    <n v="15"/>
    <n v="3"/>
    <n v="1"/>
    <n v="80"/>
    <n v="2"/>
    <n v="7"/>
    <n v="0"/>
    <n v="3"/>
    <n v="7"/>
    <n v="7"/>
    <x v="1"/>
    <n v="7"/>
    <s v="OK"/>
    <s v="OK"/>
    <s v="OK"/>
    <s v="OK"/>
    <n v="0.14285714285714285"/>
    <n v="1"/>
    <n v="0"/>
    <n v="1"/>
  </r>
  <r>
    <n v="34"/>
    <s v="No"/>
    <s v="Travel_Frequently"/>
    <n v="878"/>
    <s v="Research &amp; Development"/>
    <n v="10"/>
    <n v="4"/>
    <s v="Medical"/>
    <n v="1"/>
    <n v="277"/>
    <n v="4"/>
    <s v="Male"/>
    <n v="43"/>
    <n v="3"/>
    <n v="1"/>
    <x v="1"/>
    <n v="3"/>
    <s v="Divorced"/>
    <n v="3815"/>
    <n v="5972"/>
    <n v="1"/>
    <s v="Y"/>
    <s v="Yes"/>
    <n v="17"/>
    <n v="3"/>
    <n v="4"/>
    <n v="80"/>
    <n v="1"/>
    <n v="5"/>
    <n v="4"/>
    <n v="4"/>
    <n v="5"/>
    <n v="3"/>
    <x v="3"/>
    <n v="0"/>
    <s v="OK"/>
    <s v="OK"/>
    <s v="OK"/>
    <s v="OK"/>
    <n v="0.4"/>
    <n v="0.6"/>
    <n v="0.8"/>
    <n v="0"/>
  </r>
  <r>
    <n v="40"/>
    <s v="No"/>
    <s v="Travel_Rarely"/>
    <n v="905"/>
    <s v="Research &amp; Development"/>
    <n v="19"/>
    <n v="2"/>
    <s v="Medical"/>
    <n v="1"/>
    <n v="281"/>
    <n v="3"/>
    <s v="Male"/>
    <n v="99"/>
    <n v="3"/>
    <n v="2"/>
    <x v="2"/>
    <n v="4"/>
    <s v="Married"/>
    <n v="2741"/>
    <n v="16523"/>
    <n v="8"/>
    <s v="Y"/>
    <s v="Yes"/>
    <n v="15"/>
    <n v="3"/>
    <n v="3"/>
    <n v="80"/>
    <n v="1"/>
    <n v="15"/>
    <n v="2"/>
    <n v="4"/>
    <n v="7"/>
    <n v="2"/>
    <x v="2"/>
    <n v="7"/>
    <s v="OK"/>
    <s v="OK"/>
    <s v="OK"/>
    <s v="OK"/>
    <n v="0.42857142857142855"/>
    <n v="0.2857142857142857"/>
    <n v="0.2857142857142857"/>
    <n v="1"/>
  </r>
  <r>
    <n v="38"/>
    <s v="Yes"/>
    <s v="Travel_Rarely"/>
    <n v="1180"/>
    <s v="Research &amp; Development"/>
    <n v="29"/>
    <n v="1"/>
    <s v="Medical"/>
    <n v="1"/>
    <n v="282"/>
    <n v="2"/>
    <s v="Male"/>
    <n v="70"/>
    <n v="3"/>
    <n v="2"/>
    <x v="4"/>
    <n v="1"/>
    <s v="Married"/>
    <n v="6673"/>
    <n v="11354"/>
    <n v="7"/>
    <s v="Y"/>
    <s v="Yes"/>
    <n v="19"/>
    <n v="3"/>
    <n v="2"/>
    <n v="80"/>
    <n v="0"/>
    <n v="17"/>
    <n v="2"/>
    <n v="3"/>
    <n v="1"/>
    <n v="0"/>
    <x v="0"/>
    <n v="0"/>
    <s v="OK"/>
    <s v="OK"/>
    <s v="OK"/>
    <s v="OK"/>
    <n v="0"/>
    <n v="0"/>
    <n v="2"/>
    <n v="0"/>
  </r>
  <r>
    <n v="29"/>
    <s v="Yes"/>
    <s v="Travel_Rarely"/>
    <n v="121"/>
    <s v="Sales"/>
    <n v="27"/>
    <n v="3"/>
    <s v="Marketing"/>
    <n v="1"/>
    <n v="283"/>
    <n v="2"/>
    <s v="Female"/>
    <n v="35"/>
    <n v="3"/>
    <n v="3"/>
    <x v="0"/>
    <n v="4"/>
    <s v="Married"/>
    <n v="7639"/>
    <n v="24525"/>
    <n v="1"/>
    <s v="Y"/>
    <s v="No"/>
    <n v="22"/>
    <n v="4"/>
    <n v="4"/>
    <n v="80"/>
    <n v="3"/>
    <n v="10"/>
    <n v="3"/>
    <n v="2"/>
    <n v="10"/>
    <n v="4"/>
    <x v="1"/>
    <n v="9"/>
    <s v="OK"/>
    <s v="OK"/>
    <s v="OK"/>
    <s v="OK"/>
    <n v="0.1"/>
    <n v="0.4"/>
    <n v="0.3"/>
    <n v="0.9"/>
  </r>
  <r>
    <n v="22"/>
    <s v="No"/>
    <s v="Travel_Rarely"/>
    <n v="1136"/>
    <s v="Research &amp; Development"/>
    <n v="5"/>
    <n v="3"/>
    <s v="Life Sciences"/>
    <n v="1"/>
    <n v="284"/>
    <n v="4"/>
    <s v="Male"/>
    <n v="60"/>
    <n v="4"/>
    <n v="1"/>
    <x v="1"/>
    <n v="2"/>
    <s v="Divorced"/>
    <n v="2328"/>
    <n v="12392"/>
    <n v="1"/>
    <s v="Y"/>
    <s v="Yes"/>
    <n v="16"/>
    <n v="3"/>
    <n v="1"/>
    <n v="80"/>
    <n v="1"/>
    <n v="4"/>
    <n v="2"/>
    <n v="2"/>
    <n v="4"/>
    <n v="2"/>
    <x v="3"/>
    <n v="2"/>
    <s v="OK"/>
    <s v="OK"/>
    <s v="OK"/>
    <s v="OK"/>
    <n v="0.5"/>
    <n v="0.5"/>
    <n v="0.5"/>
    <n v="0.5"/>
  </r>
  <r>
    <n v="36"/>
    <s v="No"/>
    <s v="Travel_Frequently"/>
    <n v="635"/>
    <s v="Research &amp; Development"/>
    <n v="18"/>
    <n v="1"/>
    <s v="Medical"/>
    <n v="1"/>
    <n v="286"/>
    <n v="2"/>
    <s v="Female"/>
    <n v="73"/>
    <n v="3"/>
    <n v="1"/>
    <x v="2"/>
    <n v="4"/>
    <s v="Single"/>
    <n v="2153"/>
    <n v="7703"/>
    <n v="1"/>
    <s v="Y"/>
    <s v="No"/>
    <n v="13"/>
    <n v="3"/>
    <n v="1"/>
    <n v="80"/>
    <n v="0"/>
    <n v="8"/>
    <n v="2"/>
    <n v="3"/>
    <n v="8"/>
    <n v="1"/>
    <x v="1"/>
    <n v="7"/>
    <s v="OK"/>
    <s v="OK"/>
    <s v="OK"/>
    <s v="OK"/>
    <n v="0.125"/>
    <n v="0.125"/>
    <n v="0.25"/>
    <n v="0.875"/>
  </r>
  <r>
    <n v="40"/>
    <s v="No"/>
    <s v="Non-Travel"/>
    <n v="1151"/>
    <s v="Research &amp; Development"/>
    <n v="9"/>
    <n v="5"/>
    <s v="Life Sciences"/>
    <n v="1"/>
    <n v="287"/>
    <n v="4"/>
    <s v="Male"/>
    <n v="63"/>
    <n v="2"/>
    <n v="2"/>
    <x v="4"/>
    <n v="4"/>
    <s v="Married"/>
    <n v="4876"/>
    <n v="14242"/>
    <n v="9"/>
    <s v="Y"/>
    <s v="No"/>
    <n v="14"/>
    <n v="3"/>
    <n v="4"/>
    <n v="80"/>
    <n v="1"/>
    <n v="5"/>
    <n v="5"/>
    <n v="1"/>
    <n v="3"/>
    <n v="2"/>
    <x v="0"/>
    <n v="2"/>
    <s v="OK"/>
    <s v="OK"/>
    <s v="OK"/>
    <s v="OK"/>
    <n v="0"/>
    <n v="0.66666666666666663"/>
    <n v="1.6666666666666667"/>
    <n v="0.66666666666666663"/>
  </r>
  <r>
    <n v="46"/>
    <s v="No"/>
    <s v="Travel_Rarely"/>
    <n v="644"/>
    <s v="Research &amp; Development"/>
    <n v="1"/>
    <n v="4"/>
    <s v="Medical"/>
    <n v="1"/>
    <n v="288"/>
    <n v="4"/>
    <s v="Male"/>
    <n v="97"/>
    <n v="3"/>
    <n v="3"/>
    <x v="4"/>
    <n v="1"/>
    <s v="Divorced"/>
    <n v="9396"/>
    <n v="12368"/>
    <n v="7"/>
    <s v="Y"/>
    <s v="No"/>
    <n v="16"/>
    <n v="3"/>
    <n v="3"/>
    <n v="80"/>
    <n v="1"/>
    <n v="17"/>
    <n v="3"/>
    <n v="3"/>
    <n v="4"/>
    <n v="2"/>
    <x v="0"/>
    <n v="3"/>
    <s v="OK"/>
    <s v="OK"/>
    <s v="OK"/>
    <s v="OK"/>
    <n v="0"/>
    <n v="0.5"/>
    <n v="0.75"/>
    <n v="0.75"/>
  </r>
  <r>
    <n v="32"/>
    <s v="Yes"/>
    <s v="Travel_Rarely"/>
    <n v="1045"/>
    <s v="Sales"/>
    <n v="4"/>
    <n v="4"/>
    <s v="Medical"/>
    <n v="1"/>
    <n v="291"/>
    <n v="4"/>
    <s v="Male"/>
    <n v="32"/>
    <n v="1"/>
    <n v="3"/>
    <x v="0"/>
    <n v="4"/>
    <s v="Married"/>
    <n v="10400"/>
    <n v="25812"/>
    <n v="1"/>
    <s v="Y"/>
    <s v="No"/>
    <n v="11"/>
    <n v="3"/>
    <n v="3"/>
    <n v="80"/>
    <n v="0"/>
    <n v="14"/>
    <n v="2"/>
    <n v="2"/>
    <n v="14"/>
    <n v="8"/>
    <x v="10"/>
    <n v="8"/>
    <s v="OK"/>
    <s v="OK"/>
    <s v="OK"/>
    <s v="OK"/>
    <n v="0.6428571428571429"/>
    <n v="0.5714285714285714"/>
    <n v="0.14285714285714285"/>
    <n v="0.5714285714285714"/>
  </r>
  <r>
    <n v="30"/>
    <s v="No"/>
    <s v="Non-Travel"/>
    <n v="829"/>
    <s v="Research &amp; Development"/>
    <n v="1"/>
    <n v="1"/>
    <s v="Life Sciences"/>
    <n v="1"/>
    <n v="292"/>
    <n v="3"/>
    <s v="Male"/>
    <n v="88"/>
    <n v="2"/>
    <n v="3"/>
    <x v="3"/>
    <n v="3"/>
    <s v="Single"/>
    <n v="8474"/>
    <n v="20925"/>
    <n v="1"/>
    <s v="Y"/>
    <s v="No"/>
    <n v="22"/>
    <n v="4"/>
    <n v="3"/>
    <n v="80"/>
    <n v="0"/>
    <n v="12"/>
    <n v="2"/>
    <n v="3"/>
    <n v="11"/>
    <n v="8"/>
    <x v="8"/>
    <n v="8"/>
    <s v="OK"/>
    <s v="OK"/>
    <s v="OK"/>
    <s v="OK"/>
    <n v="0.45454545454545453"/>
    <n v="0.72727272727272729"/>
    <n v="0.18181818181818182"/>
    <n v="0.72727272727272729"/>
  </r>
  <r>
    <n v="27"/>
    <s v="No"/>
    <s v="Travel_Frequently"/>
    <n v="1242"/>
    <s v="Sales"/>
    <n v="20"/>
    <n v="3"/>
    <s v="Life Sciences"/>
    <n v="1"/>
    <n v="293"/>
    <n v="4"/>
    <s v="Female"/>
    <n v="90"/>
    <n v="3"/>
    <n v="2"/>
    <x v="0"/>
    <n v="3"/>
    <s v="Single"/>
    <n v="9981"/>
    <n v="12916"/>
    <n v="1"/>
    <s v="Y"/>
    <s v="No"/>
    <n v="14"/>
    <n v="3"/>
    <n v="4"/>
    <n v="80"/>
    <n v="0"/>
    <n v="7"/>
    <n v="2"/>
    <n v="3"/>
    <n v="7"/>
    <n v="7"/>
    <x v="0"/>
    <n v="7"/>
    <s v="OK"/>
    <s v="OK"/>
    <s v="OK"/>
    <s v="OK"/>
    <n v="0"/>
    <n v="1"/>
    <n v="0.2857142857142857"/>
    <n v="1"/>
  </r>
  <r>
    <n v="51"/>
    <s v="No"/>
    <s v="Travel_Rarely"/>
    <n v="1469"/>
    <s v="Research &amp; Development"/>
    <n v="8"/>
    <n v="4"/>
    <s v="Life Sciences"/>
    <n v="1"/>
    <n v="296"/>
    <n v="2"/>
    <s v="Male"/>
    <n v="81"/>
    <n v="2"/>
    <n v="3"/>
    <x v="7"/>
    <n v="2"/>
    <s v="Married"/>
    <n v="12490"/>
    <n v="15736"/>
    <n v="5"/>
    <s v="Y"/>
    <s v="No"/>
    <n v="16"/>
    <n v="3"/>
    <n v="4"/>
    <n v="80"/>
    <n v="2"/>
    <n v="16"/>
    <n v="5"/>
    <n v="1"/>
    <n v="10"/>
    <n v="9"/>
    <x v="5"/>
    <n v="7"/>
    <s v="OK"/>
    <s v="OK"/>
    <s v="OK"/>
    <s v="OK"/>
    <n v="0.4"/>
    <n v="0.9"/>
    <n v="0.5"/>
    <n v="0.7"/>
  </r>
  <r>
    <n v="30"/>
    <s v="Yes"/>
    <s v="Travel_Rarely"/>
    <n v="1005"/>
    <s v="Research &amp; Development"/>
    <n v="3"/>
    <n v="3"/>
    <s v="Technical Degree"/>
    <n v="1"/>
    <n v="297"/>
    <n v="4"/>
    <s v="Female"/>
    <n v="88"/>
    <n v="3"/>
    <n v="1"/>
    <x v="1"/>
    <n v="1"/>
    <s v="Single"/>
    <n v="2657"/>
    <n v="8556"/>
    <n v="5"/>
    <s v="Y"/>
    <s v="Yes"/>
    <n v="11"/>
    <n v="3"/>
    <n v="3"/>
    <n v="80"/>
    <n v="0"/>
    <n v="8"/>
    <n v="5"/>
    <n v="3"/>
    <n v="5"/>
    <n v="2"/>
    <x v="0"/>
    <n v="4"/>
    <s v="OK"/>
    <s v="OK"/>
    <s v="OK"/>
    <s v="OK"/>
    <n v="0"/>
    <n v="0.4"/>
    <n v="1"/>
    <n v="0.8"/>
  </r>
  <r>
    <n v="41"/>
    <s v="No"/>
    <s v="Travel_Rarely"/>
    <n v="896"/>
    <s v="Sales"/>
    <n v="6"/>
    <n v="3"/>
    <s v="Life Sciences"/>
    <n v="1"/>
    <n v="298"/>
    <n v="4"/>
    <s v="Female"/>
    <n v="75"/>
    <n v="3"/>
    <n v="3"/>
    <x v="5"/>
    <n v="4"/>
    <s v="Single"/>
    <n v="13591"/>
    <n v="14674"/>
    <n v="3"/>
    <s v="Y"/>
    <s v="Yes"/>
    <n v="18"/>
    <n v="3"/>
    <n v="3"/>
    <n v="80"/>
    <n v="0"/>
    <n v="16"/>
    <n v="3"/>
    <n v="3"/>
    <n v="1"/>
    <n v="0"/>
    <x v="0"/>
    <n v="0"/>
    <s v="OK"/>
    <s v="OK"/>
    <s v="OK"/>
    <s v="OK"/>
    <n v="0"/>
    <n v="0"/>
    <n v="3"/>
    <n v="0"/>
  </r>
  <r>
    <n v="30"/>
    <s v="Yes"/>
    <s v="Travel_Frequently"/>
    <n v="334"/>
    <s v="Sales"/>
    <n v="26"/>
    <n v="4"/>
    <s v="Marketing"/>
    <n v="1"/>
    <n v="299"/>
    <n v="3"/>
    <s v="Female"/>
    <n v="52"/>
    <n v="2"/>
    <n v="2"/>
    <x v="0"/>
    <n v="1"/>
    <s v="Single"/>
    <n v="6696"/>
    <n v="22967"/>
    <n v="5"/>
    <s v="Y"/>
    <s v="No"/>
    <n v="15"/>
    <n v="3"/>
    <n v="3"/>
    <n v="80"/>
    <n v="0"/>
    <n v="9"/>
    <n v="5"/>
    <n v="2"/>
    <n v="6"/>
    <n v="3"/>
    <x v="0"/>
    <n v="1"/>
    <s v="OK"/>
    <s v="OK"/>
    <s v="OK"/>
    <s v="OK"/>
    <n v="0"/>
    <n v="0.5"/>
    <n v="0.83333333333333337"/>
    <n v="0.16666666666666666"/>
  </r>
  <r>
    <n v="29"/>
    <s v="Yes"/>
    <s v="Travel_Rarely"/>
    <n v="992"/>
    <s v="Research &amp; Development"/>
    <n v="1"/>
    <n v="3"/>
    <s v="Technical Degree"/>
    <n v="1"/>
    <n v="300"/>
    <n v="3"/>
    <s v="Male"/>
    <n v="85"/>
    <n v="3"/>
    <n v="1"/>
    <x v="1"/>
    <n v="3"/>
    <s v="Single"/>
    <n v="2058"/>
    <n v="19757"/>
    <n v="0"/>
    <s v="Y"/>
    <s v="No"/>
    <n v="14"/>
    <n v="3"/>
    <n v="4"/>
    <n v="80"/>
    <n v="0"/>
    <n v="7"/>
    <n v="1"/>
    <n v="2"/>
    <n v="6"/>
    <n v="2"/>
    <x v="1"/>
    <n v="5"/>
    <s v="OK"/>
    <s v="OK"/>
    <s v="OK"/>
    <s v="OK"/>
    <n v="0.16666666666666666"/>
    <n v="0.33333333333333331"/>
    <n v="0.16666666666666666"/>
    <n v="0.83333333333333337"/>
  </r>
  <r>
    <n v="45"/>
    <s v="No"/>
    <s v="Non-Travel"/>
    <n v="1052"/>
    <s v="Sales"/>
    <n v="6"/>
    <n v="3"/>
    <s v="Medical"/>
    <n v="1"/>
    <n v="302"/>
    <n v="4"/>
    <s v="Female"/>
    <n v="57"/>
    <n v="2"/>
    <n v="3"/>
    <x v="0"/>
    <n v="4"/>
    <s v="Single"/>
    <n v="8865"/>
    <n v="16840"/>
    <n v="6"/>
    <s v="Y"/>
    <s v="No"/>
    <n v="12"/>
    <n v="3"/>
    <n v="4"/>
    <n v="80"/>
    <n v="0"/>
    <n v="23"/>
    <n v="2"/>
    <n v="3"/>
    <n v="19"/>
    <n v="7"/>
    <x v="12"/>
    <n v="8"/>
    <s v="OK"/>
    <s v="OK"/>
    <s v="OK"/>
    <s v="OK"/>
    <n v="0.63157894736842102"/>
    <n v="0.36842105263157893"/>
    <n v="0.10526315789473684"/>
    <n v="0.42105263157894735"/>
  </r>
  <r>
    <n v="54"/>
    <s v="No"/>
    <s v="Travel_Rarely"/>
    <n v="1147"/>
    <s v="Sales"/>
    <n v="3"/>
    <n v="3"/>
    <s v="Marketing"/>
    <n v="1"/>
    <n v="303"/>
    <n v="4"/>
    <s v="Female"/>
    <n v="52"/>
    <n v="3"/>
    <n v="2"/>
    <x v="0"/>
    <n v="1"/>
    <s v="Married"/>
    <n v="5940"/>
    <n v="17011"/>
    <n v="2"/>
    <s v="Y"/>
    <s v="No"/>
    <n v="14"/>
    <n v="3"/>
    <n v="4"/>
    <n v="80"/>
    <n v="1"/>
    <n v="16"/>
    <n v="4"/>
    <n v="3"/>
    <n v="6"/>
    <n v="2"/>
    <x v="0"/>
    <n v="5"/>
    <s v="OK"/>
    <s v="OK"/>
    <s v="OK"/>
    <s v="OK"/>
    <n v="0"/>
    <n v="0.33333333333333331"/>
    <n v="0.66666666666666663"/>
    <n v="0.83333333333333337"/>
  </r>
  <r>
    <n v="36"/>
    <s v="No"/>
    <s v="Travel_Rarely"/>
    <n v="1396"/>
    <s v="Research &amp; Development"/>
    <n v="5"/>
    <n v="2"/>
    <s v="Life Sciences"/>
    <n v="1"/>
    <n v="304"/>
    <n v="4"/>
    <s v="Male"/>
    <n v="62"/>
    <n v="3"/>
    <n v="2"/>
    <x v="2"/>
    <n v="2"/>
    <s v="Single"/>
    <n v="5914"/>
    <n v="9945"/>
    <n v="8"/>
    <s v="Y"/>
    <s v="No"/>
    <n v="16"/>
    <n v="3"/>
    <n v="4"/>
    <n v="80"/>
    <n v="0"/>
    <n v="16"/>
    <n v="3"/>
    <n v="4"/>
    <n v="13"/>
    <n v="11"/>
    <x v="2"/>
    <n v="7"/>
    <s v="OK"/>
    <s v="OK"/>
    <s v="OK"/>
    <s v="OK"/>
    <n v="0.23076923076923078"/>
    <n v="0.84615384615384615"/>
    <n v="0.23076923076923078"/>
    <n v="0.53846153846153844"/>
  </r>
  <r>
    <n v="33"/>
    <s v="No"/>
    <s v="Travel_Rarely"/>
    <n v="147"/>
    <s v="Research &amp; Development"/>
    <n v="4"/>
    <n v="4"/>
    <s v="Medical"/>
    <n v="1"/>
    <n v="305"/>
    <n v="3"/>
    <s v="Female"/>
    <n v="47"/>
    <n v="2"/>
    <n v="1"/>
    <x v="1"/>
    <n v="2"/>
    <s v="Married"/>
    <n v="2622"/>
    <n v="13248"/>
    <n v="6"/>
    <s v="Y"/>
    <s v="No"/>
    <n v="21"/>
    <n v="4"/>
    <n v="4"/>
    <n v="80"/>
    <n v="0"/>
    <n v="7"/>
    <n v="3"/>
    <n v="3"/>
    <n v="3"/>
    <n v="2"/>
    <x v="1"/>
    <n v="1"/>
    <s v="OK"/>
    <s v="OK"/>
    <s v="OK"/>
    <s v="OK"/>
    <n v="0.33333333333333331"/>
    <n v="0.66666666666666663"/>
    <n v="1"/>
    <n v="0.33333333333333331"/>
  </r>
  <r>
    <n v="37"/>
    <s v="No"/>
    <s v="Travel_Frequently"/>
    <n v="663"/>
    <s v="Research &amp; Development"/>
    <n v="11"/>
    <n v="3"/>
    <s v="Other"/>
    <n v="1"/>
    <n v="306"/>
    <n v="2"/>
    <s v="Male"/>
    <n v="47"/>
    <n v="3"/>
    <n v="3"/>
    <x v="7"/>
    <n v="4"/>
    <s v="Divorced"/>
    <n v="12185"/>
    <n v="10056"/>
    <n v="1"/>
    <s v="Y"/>
    <s v="Yes"/>
    <n v="14"/>
    <n v="3"/>
    <n v="3"/>
    <n v="80"/>
    <n v="3"/>
    <n v="10"/>
    <n v="1"/>
    <n v="3"/>
    <n v="10"/>
    <n v="8"/>
    <x v="0"/>
    <n v="7"/>
    <s v="OK"/>
    <s v="OK"/>
    <s v="OK"/>
    <s v="OK"/>
    <n v="0"/>
    <n v="0.8"/>
    <n v="0.1"/>
    <n v="0.7"/>
  </r>
  <r>
    <n v="38"/>
    <s v="No"/>
    <s v="Travel_Rarely"/>
    <n v="119"/>
    <s v="Sales"/>
    <n v="3"/>
    <n v="3"/>
    <s v="Life Sciences"/>
    <n v="1"/>
    <n v="307"/>
    <n v="1"/>
    <s v="Male"/>
    <n v="76"/>
    <n v="3"/>
    <n v="3"/>
    <x v="0"/>
    <n v="3"/>
    <s v="Divorced"/>
    <n v="10609"/>
    <n v="9647"/>
    <n v="0"/>
    <s v="Y"/>
    <s v="No"/>
    <n v="12"/>
    <n v="3"/>
    <n v="3"/>
    <n v="80"/>
    <n v="2"/>
    <n v="17"/>
    <n v="6"/>
    <n v="2"/>
    <n v="16"/>
    <n v="10"/>
    <x v="8"/>
    <n v="13"/>
    <s v="OK"/>
    <s v="OK"/>
    <s v="OK"/>
    <s v="OK"/>
    <n v="0.3125"/>
    <n v="0.625"/>
    <n v="0.375"/>
    <n v="0.8125"/>
  </r>
  <r>
    <n v="31"/>
    <s v="No"/>
    <s v="Non-Travel"/>
    <n v="979"/>
    <s v="Research &amp; Development"/>
    <n v="1"/>
    <n v="4"/>
    <s v="Medical"/>
    <n v="1"/>
    <n v="308"/>
    <n v="3"/>
    <s v="Male"/>
    <n v="90"/>
    <n v="1"/>
    <n v="2"/>
    <x v="3"/>
    <n v="3"/>
    <s v="Married"/>
    <n v="4345"/>
    <n v="4381"/>
    <n v="0"/>
    <s v="Y"/>
    <s v="No"/>
    <n v="12"/>
    <n v="3"/>
    <n v="4"/>
    <n v="80"/>
    <n v="1"/>
    <n v="6"/>
    <n v="2"/>
    <n v="3"/>
    <n v="5"/>
    <n v="4"/>
    <x v="1"/>
    <n v="4"/>
    <s v="OK"/>
    <s v="OK"/>
    <s v="OK"/>
    <s v="OK"/>
    <n v="0.2"/>
    <n v="0.8"/>
    <n v="0.4"/>
    <n v="0.8"/>
  </r>
  <r>
    <n v="59"/>
    <s v="No"/>
    <s v="Travel_Rarely"/>
    <n v="142"/>
    <s v="Research &amp; Development"/>
    <n v="3"/>
    <n v="3"/>
    <s v="Life Sciences"/>
    <n v="1"/>
    <n v="309"/>
    <n v="3"/>
    <s v="Male"/>
    <n v="70"/>
    <n v="2"/>
    <n v="1"/>
    <x v="1"/>
    <n v="4"/>
    <s v="Married"/>
    <n v="2177"/>
    <n v="8456"/>
    <n v="3"/>
    <s v="Y"/>
    <s v="No"/>
    <n v="17"/>
    <n v="3"/>
    <n v="1"/>
    <n v="80"/>
    <n v="1"/>
    <n v="7"/>
    <n v="6"/>
    <n v="3"/>
    <n v="1"/>
    <n v="0"/>
    <x v="0"/>
    <n v="0"/>
    <s v="OK"/>
    <s v="OK"/>
    <s v="OK"/>
    <s v="OK"/>
    <n v="0"/>
    <n v="0"/>
    <n v="6"/>
    <n v="0"/>
  </r>
  <r>
    <n v="37"/>
    <s v="No"/>
    <s v="Travel_Frequently"/>
    <n v="319"/>
    <s v="Sales"/>
    <n v="4"/>
    <n v="4"/>
    <s v="Marketing"/>
    <n v="1"/>
    <n v="311"/>
    <n v="1"/>
    <s v="Male"/>
    <n v="41"/>
    <n v="3"/>
    <n v="1"/>
    <x v="6"/>
    <n v="4"/>
    <s v="Divorced"/>
    <n v="2793"/>
    <n v="2539"/>
    <n v="4"/>
    <s v="Y"/>
    <s v="No"/>
    <n v="17"/>
    <n v="3"/>
    <n v="3"/>
    <n v="80"/>
    <n v="1"/>
    <n v="13"/>
    <n v="2"/>
    <n v="3"/>
    <n v="9"/>
    <n v="8"/>
    <x v="8"/>
    <n v="8"/>
    <s v="OK"/>
    <s v="OK"/>
    <s v="OK"/>
    <s v="OK"/>
    <n v="0.55555555555555558"/>
    <n v="0.88888888888888884"/>
    <n v="0.22222222222222221"/>
    <n v="0.88888888888888884"/>
  </r>
  <r>
    <n v="29"/>
    <s v="No"/>
    <s v="Travel_Frequently"/>
    <n v="1413"/>
    <s v="Sales"/>
    <n v="1"/>
    <n v="1"/>
    <s v="Medical"/>
    <n v="1"/>
    <n v="312"/>
    <n v="2"/>
    <s v="Female"/>
    <n v="42"/>
    <n v="3"/>
    <n v="3"/>
    <x v="0"/>
    <n v="4"/>
    <s v="Married"/>
    <n v="7918"/>
    <n v="6599"/>
    <n v="1"/>
    <s v="Y"/>
    <s v="No"/>
    <n v="14"/>
    <n v="3"/>
    <n v="4"/>
    <n v="80"/>
    <n v="1"/>
    <n v="11"/>
    <n v="5"/>
    <n v="3"/>
    <n v="11"/>
    <n v="10"/>
    <x v="5"/>
    <n v="1"/>
    <s v="OK"/>
    <s v="OK"/>
    <s v="OK"/>
    <s v="OK"/>
    <n v="0.36363636363636365"/>
    <n v="0.90909090909090906"/>
    <n v="0.45454545454545453"/>
    <n v="9.0909090909090912E-2"/>
  </r>
  <r>
    <n v="35"/>
    <s v="No"/>
    <s v="Travel_Frequently"/>
    <n v="944"/>
    <s v="Sales"/>
    <n v="1"/>
    <n v="3"/>
    <s v="Marketing"/>
    <n v="1"/>
    <n v="314"/>
    <n v="3"/>
    <s v="Female"/>
    <n v="92"/>
    <n v="3"/>
    <n v="3"/>
    <x v="0"/>
    <n v="3"/>
    <s v="Single"/>
    <n v="8789"/>
    <n v="9096"/>
    <n v="1"/>
    <s v="Y"/>
    <s v="No"/>
    <n v="14"/>
    <n v="3"/>
    <n v="1"/>
    <n v="80"/>
    <n v="0"/>
    <n v="10"/>
    <n v="3"/>
    <n v="4"/>
    <n v="10"/>
    <n v="7"/>
    <x v="0"/>
    <n v="8"/>
    <s v="OK"/>
    <s v="OK"/>
    <s v="OK"/>
    <s v="OK"/>
    <n v="0"/>
    <n v="0.7"/>
    <n v="0.3"/>
    <n v="0.8"/>
  </r>
  <r>
    <n v="29"/>
    <s v="Yes"/>
    <s v="Travel_Rarely"/>
    <n v="896"/>
    <s v="Research &amp; Development"/>
    <n v="18"/>
    <n v="1"/>
    <s v="Medical"/>
    <n v="1"/>
    <n v="315"/>
    <n v="3"/>
    <s v="Male"/>
    <n v="86"/>
    <n v="2"/>
    <n v="1"/>
    <x v="1"/>
    <n v="4"/>
    <s v="Single"/>
    <n v="2389"/>
    <n v="14961"/>
    <n v="1"/>
    <s v="Y"/>
    <s v="Yes"/>
    <n v="13"/>
    <n v="3"/>
    <n v="3"/>
    <n v="80"/>
    <n v="0"/>
    <n v="4"/>
    <n v="3"/>
    <n v="2"/>
    <n v="4"/>
    <n v="3"/>
    <x v="0"/>
    <n v="1"/>
    <s v="OK"/>
    <s v="OK"/>
    <s v="OK"/>
    <s v="OK"/>
    <n v="0"/>
    <n v="0.75"/>
    <n v="0.75"/>
    <n v="0.25"/>
  </r>
  <r>
    <n v="52"/>
    <s v="No"/>
    <s v="Travel_Rarely"/>
    <n v="1323"/>
    <s v="Research &amp; Development"/>
    <n v="2"/>
    <n v="3"/>
    <s v="Life Sciences"/>
    <n v="1"/>
    <n v="316"/>
    <n v="3"/>
    <s v="Female"/>
    <n v="89"/>
    <n v="2"/>
    <n v="1"/>
    <x v="2"/>
    <n v="4"/>
    <s v="Single"/>
    <n v="3212"/>
    <n v="3300"/>
    <n v="7"/>
    <s v="Y"/>
    <s v="No"/>
    <n v="15"/>
    <n v="3"/>
    <n v="2"/>
    <n v="80"/>
    <n v="0"/>
    <n v="6"/>
    <n v="3"/>
    <n v="2"/>
    <n v="2"/>
    <n v="2"/>
    <x v="3"/>
    <n v="2"/>
    <s v="OK"/>
    <s v="OK"/>
    <s v="OK"/>
    <s v="OK"/>
    <n v="1"/>
    <n v="1"/>
    <n v="1.5"/>
    <n v="1"/>
  </r>
  <r>
    <n v="42"/>
    <s v="No"/>
    <s v="Travel_Rarely"/>
    <n v="532"/>
    <s v="Research &amp; Development"/>
    <n v="4"/>
    <n v="2"/>
    <s v="Technical Degree"/>
    <n v="1"/>
    <n v="319"/>
    <n v="3"/>
    <s v="Male"/>
    <n v="58"/>
    <n v="3"/>
    <n v="5"/>
    <x v="5"/>
    <n v="4"/>
    <s v="Married"/>
    <n v="19232"/>
    <n v="4933"/>
    <n v="1"/>
    <s v="Y"/>
    <s v="No"/>
    <n v="11"/>
    <n v="3"/>
    <n v="4"/>
    <n v="80"/>
    <n v="0"/>
    <n v="22"/>
    <n v="3"/>
    <n v="3"/>
    <n v="22"/>
    <n v="17"/>
    <x v="14"/>
    <n v="15"/>
    <s v="OK"/>
    <s v="OK"/>
    <s v="OK"/>
    <s v="OK"/>
    <n v="0.5"/>
    <n v="0.77272727272727271"/>
    <n v="0.13636363636363635"/>
    <n v="0.68181818181818177"/>
  </r>
  <r>
    <n v="59"/>
    <s v="No"/>
    <s v="Travel_Rarely"/>
    <n v="818"/>
    <s v="Human Resources"/>
    <n v="6"/>
    <n v="2"/>
    <s v="Medical"/>
    <n v="1"/>
    <n v="321"/>
    <n v="2"/>
    <s v="Male"/>
    <n v="52"/>
    <n v="3"/>
    <n v="1"/>
    <x v="8"/>
    <n v="3"/>
    <s v="Married"/>
    <n v="2267"/>
    <n v="25657"/>
    <n v="8"/>
    <s v="Y"/>
    <s v="No"/>
    <n v="17"/>
    <n v="3"/>
    <n v="4"/>
    <n v="80"/>
    <n v="0"/>
    <n v="7"/>
    <n v="2"/>
    <n v="2"/>
    <n v="2"/>
    <n v="2"/>
    <x v="3"/>
    <n v="2"/>
    <s v="OK"/>
    <s v="OK"/>
    <s v="OK"/>
    <s v="OK"/>
    <n v="1"/>
    <n v="1"/>
    <n v="1"/>
    <n v="1"/>
  </r>
  <r>
    <n v="50"/>
    <s v="No"/>
    <s v="Travel_Rarely"/>
    <n v="854"/>
    <s v="Sales"/>
    <n v="1"/>
    <n v="4"/>
    <s v="Medical"/>
    <n v="1"/>
    <n v="323"/>
    <n v="4"/>
    <s v="Female"/>
    <n v="68"/>
    <n v="3"/>
    <n v="5"/>
    <x v="5"/>
    <n v="4"/>
    <s v="Divorced"/>
    <n v="19517"/>
    <n v="24118"/>
    <n v="3"/>
    <s v="Y"/>
    <s v="No"/>
    <n v="11"/>
    <n v="3"/>
    <n v="3"/>
    <n v="80"/>
    <n v="1"/>
    <n v="32"/>
    <n v="3"/>
    <n v="2"/>
    <n v="7"/>
    <n v="0"/>
    <x v="0"/>
    <n v="6"/>
    <s v="OK"/>
    <s v="OK"/>
    <s v="OK"/>
    <s v="OK"/>
    <n v="0"/>
    <n v="0"/>
    <n v="0.42857142857142855"/>
    <n v="0.8571428571428571"/>
  </r>
  <r>
    <n v="33"/>
    <s v="Yes"/>
    <s v="Travel_Rarely"/>
    <n v="813"/>
    <s v="Research &amp; Development"/>
    <n v="14"/>
    <n v="3"/>
    <s v="Medical"/>
    <n v="1"/>
    <n v="325"/>
    <n v="3"/>
    <s v="Male"/>
    <n v="58"/>
    <n v="3"/>
    <n v="1"/>
    <x v="2"/>
    <n v="4"/>
    <s v="Married"/>
    <n v="2436"/>
    <n v="22149"/>
    <n v="5"/>
    <s v="Y"/>
    <s v="Yes"/>
    <n v="13"/>
    <n v="3"/>
    <n v="3"/>
    <n v="80"/>
    <n v="1"/>
    <n v="8"/>
    <n v="2"/>
    <n v="1"/>
    <n v="5"/>
    <n v="4"/>
    <x v="0"/>
    <n v="4"/>
    <s v="OK"/>
    <s v="OK"/>
    <s v="OK"/>
    <s v="OK"/>
    <n v="0"/>
    <n v="0.8"/>
    <n v="0.4"/>
    <n v="0.8"/>
  </r>
  <r>
    <n v="43"/>
    <s v="No"/>
    <s v="Travel_Rarely"/>
    <n v="1034"/>
    <s v="Sales"/>
    <n v="16"/>
    <n v="3"/>
    <s v="Marketing"/>
    <n v="1"/>
    <n v="327"/>
    <n v="4"/>
    <s v="Female"/>
    <n v="80"/>
    <n v="3"/>
    <n v="4"/>
    <x v="5"/>
    <n v="4"/>
    <s v="Married"/>
    <n v="16064"/>
    <n v="7744"/>
    <n v="5"/>
    <s v="Y"/>
    <s v="Yes"/>
    <n v="22"/>
    <n v="4"/>
    <n v="3"/>
    <n v="80"/>
    <n v="1"/>
    <n v="22"/>
    <n v="3"/>
    <n v="3"/>
    <n v="17"/>
    <n v="13"/>
    <x v="1"/>
    <n v="9"/>
    <s v="OK"/>
    <s v="OK"/>
    <s v="OK"/>
    <s v="OK"/>
    <n v="5.8823529411764705E-2"/>
    <n v="0.76470588235294112"/>
    <n v="0.17647058823529413"/>
    <n v="0.52941176470588236"/>
  </r>
  <r>
    <n v="33"/>
    <s v="Yes"/>
    <s v="Travel_Rarely"/>
    <n v="465"/>
    <s v="Research &amp; Development"/>
    <n v="2"/>
    <n v="2"/>
    <s v="Life Sciences"/>
    <n v="1"/>
    <n v="328"/>
    <n v="1"/>
    <s v="Female"/>
    <n v="39"/>
    <n v="3"/>
    <n v="1"/>
    <x v="2"/>
    <n v="1"/>
    <s v="Married"/>
    <n v="2707"/>
    <n v="21509"/>
    <n v="7"/>
    <s v="Y"/>
    <s v="No"/>
    <n v="20"/>
    <n v="4"/>
    <n v="1"/>
    <n v="80"/>
    <n v="0"/>
    <n v="13"/>
    <n v="3"/>
    <n v="4"/>
    <n v="9"/>
    <n v="7"/>
    <x v="1"/>
    <n v="7"/>
    <s v="OK"/>
    <s v="OK"/>
    <s v="OK"/>
    <s v="OK"/>
    <n v="0.1111111111111111"/>
    <n v="0.77777777777777779"/>
    <n v="0.33333333333333331"/>
    <n v="0.77777777777777779"/>
  </r>
  <r>
    <n v="52"/>
    <s v="No"/>
    <s v="Non-Travel"/>
    <n v="771"/>
    <s v="Sales"/>
    <n v="2"/>
    <n v="4"/>
    <s v="Life Sciences"/>
    <n v="1"/>
    <n v="329"/>
    <n v="1"/>
    <s v="Male"/>
    <n v="79"/>
    <n v="2"/>
    <n v="5"/>
    <x v="5"/>
    <n v="3"/>
    <s v="Single"/>
    <n v="19068"/>
    <n v="21030"/>
    <n v="1"/>
    <s v="Y"/>
    <s v="Yes"/>
    <n v="18"/>
    <n v="3"/>
    <n v="4"/>
    <n v="80"/>
    <n v="0"/>
    <n v="33"/>
    <n v="2"/>
    <n v="4"/>
    <n v="33"/>
    <n v="7"/>
    <x v="9"/>
    <n v="12"/>
    <s v="OK"/>
    <s v="OK"/>
    <s v="OK"/>
    <s v="OK"/>
    <n v="0.45454545454545453"/>
    <n v="0.21212121212121213"/>
    <n v="6.0606060606060608E-2"/>
    <n v="0.36363636363636365"/>
  </r>
  <r>
    <n v="32"/>
    <s v="No"/>
    <s v="Travel_Rarely"/>
    <n v="1401"/>
    <s v="Sales"/>
    <n v="4"/>
    <n v="2"/>
    <s v="Life Sciences"/>
    <n v="1"/>
    <n v="330"/>
    <n v="3"/>
    <s v="Female"/>
    <n v="56"/>
    <n v="3"/>
    <n v="1"/>
    <x v="6"/>
    <n v="2"/>
    <s v="Married"/>
    <n v="3931"/>
    <n v="20990"/>
    <n v="2"/>
    <s v="Y"/>
    <s v="No"/>
    <n v="11"/>
    <n v="3"/>
    <n v="1"/>
    <n v="80"/>
    <n v="1"/>
    <n v="6"/>
    <n v="5"/>
    <n v="3"/>
    <n v="4"/>
    <n v="3"/>
    <x v="1"/>
    <n v="2"/>
    <s v="OK"/>
    <s v="OK"/>
    <s v="OK"/>
    <s v="OK"/>
    <n v="0.25"/>
    <n v="0.75"/>
    <n v="1.25"/>
    <n v="0.5"/>
  </r>
  <r>
    <n v="32"/>
    <s v="Yes"/>
    <s v="Travel_Rarely"/>
    <n v="515"/>
    <s v="Research &amp; Development"/>
    <n v="1"/>
    <n v="3"/>
    <s v="Life Sciences"/>
    <n v="1"/>
    <n v="331"/>
    <n v="4"/>
    <s v="Male"/>
    <n v="62"/>
    <n v="2"/>
    <n v="1"/>
    <x v="2"/>
    <n v="3"/>
    <s v="Single"/>
    <n v="3730"/>
    <n v="9571"/>
    <n v="0"/>
    <s v="Y"/>
    <s v="Yes"/>
    <n v="14"/>
    <n v="3"/>
    <n v="4"/>
    <n v="80"/>
    <n v="0"/>
    <n v="4"/>
    <n v="2"/>
    <n v="1"/>
    <n v="3"/>
    <n v="2"/>
    <x v="1"/>
    <n v="2"/>
    <s v="OK"/>
    <s v="OK"/>
    <s v="OK"/>
    <s v="OK"/>
    <n v="0.33333333333333331"/>
    <n v="0.66666666666666663"/>
    <n v="0.66666666666666663"/>
    <n v="0.66666666666666663"/>
  </r>
  <r>
    <n v="39"/>
    <s v="No"/>
    <s v="Travel_Rarely"/>
    <n v="1431"/>
    <s v="Research &amp; Development"/>
    <n v="1"/>
    <n v="4"/>
    <s v="Medical"/>
    <n v="1"/>
    <n v="332"/>
    <n v="3"/>
    <s v="Female"/>
    <n v="96"/>
    <n v="3"/>
    <n v="1"/>
    <x v="2"/>
    <n v="3"/>
    <s v="Divorced"/>
    <n v="2232"/>
    <n v="15417"/>
    <n v="7"/>
    <s v="Y"/>
    <s v="No"/>
    <n v="14"/>
    <n v="3"/>
    <n v="3"/>
    <n v="80"/>
    <n v="3"/>
    <n v="7"/>
    <n v="1"/>
    <n v="3"/>
    <n v="3"/>
    <n v="2"/>
    <x v="1"/>
    <n v="2"/>
    <s v="OK"/>
    <s v="OK"/>
    <s v="OK"/>
    <s v="OK"/>
    <n v="0.33333333333333331"/>
    <n v="0.66666666666666663"/>
    <n v="0.33333333333333331"/>
    <n v="0.66666666666666663"/>
  </r>
  <r>
    <n v="32"/>
    <s v="No"/>
    <s v="Non-Travel"/>
    <n v="976"/>
    <s v="Sales"/>
    <n v="26"/>
    <n v="4"/>
    <s v="Marketing"/>
    <n v="1"/>
    <n v="333"/>
    <n v="3"/>
    <s v="Male"/>
    <n v="100"/>
    <n v="3"/>
    <n v="2"/>
    <x v="0"/>
    <n v="4"/>
    <s v="Married"/>
    <n v="4465"/>
    <n v="12069"/>
    <n v="0"/>
    <s v="Y"/>
    <s v="No"/>
    <n v="18"/>
    <n v="3"/>
    <n v="1"/>
    <n v="80"/>
    <n v="0"/>
    <n v="4"/>
    <n v="2"/>
    <n v="3"/>
    <n v="3"/>
    <n v="2"/>
    <x v="3"/>
    <n v="2"/>
    <s v="OK"/>
    <s v="OK"/>
    <s v="OK"/>
    <s v="OK"/>
    <n v="0.66666666666666663"/>
    <n v="0.66666666666666663"/>
    <n v="0.66666666666666663"/>
    <n v="0.66666666666666663"/>
  </r>
  <r>
    <n v="41"/>
    <s v="No"/>
    <s v="Travel_Rarely"/>
    <n v="1411"/>
    <s v="Research &amp; Development"/>
    <n v="19"/>
    <n v="2"/>
    <s v="Life Sciences"/>
    <n v="1"/>
    <n v="334"/>
    <n v="3"/>
    <s v="Male"/>
    <n v="36"/>
    <n v="3"/>
    <n v="2"/>
    <x v="1"/>
    <n v="1"/>
    <s v="Divorced"/>
    <n v="3072"/>
    <n v="19877"/>
    <n v="2"/>
    <s v="Y"/>
    <s v="No"/>
    <n v="16"/>
    <n v="3"/>
    <n v="1"/>
    <n v="80"/>
    <n v="2"/>
    <n v="17"/>
    <n v="2"/>
    <n v="2"/>
    <n v="1"/>
    <n v="0"/>
    <x v="0"/>
    <n v="0"/>
    <s v="OK"/>
    <s v="OK"/>
    <s v="OK"/>
    <s v="OK"/>
    <n v="0"/>
    <n v="0"/>
    <n v="2"/>
    <n v="0"/>
  </r>
  <r>
    <n v="40"/>
    <s v="No"/>
    <s v="Travel_Rarely"/>
    <n v="1300"/>
    <s v="Research &amp; Development"/>
    <n v="24"/>
    <n v="2"/>
    <s v="Technical Degree"/>
    <n v="1"/>
    <n v="335"/>
    <n v="1"/>
    <s v="Male"/>
    <n v="62"/>
    <n v="3"/>
    <n v="2"/>
    <x v="1"/>
    <n v="4"/>
    <s v="Divorced"/>
    <n v="3319"/>
    <n v="24447"/>
    <n v="1"/>
    <s v="Y"/>
    <s v="No"/>
    <n v="17"/>
    <n v="3"/>
    <n v="1"/>
    <n v="80"/>
    <n v="2"/>
    <n v="9"/>
    <n v="3"/>
    <n v="3"/>
    <n v="9"/>
    <n v="8"/>
    <x v="5"/>
    <n v="7"/>
    <s v="OK"/>
    <s v="OK"/>
    <s v="OK"/>
    <s v="OK"/>
    <n v="0.44444444444444442"/>
    <n v="0.88888888888888884"/>
    <n v="0.33333333333333331"/>
    <n v="0.77777777777777779"/>
  </r>
  <r>
    <n v="45"/>
    <s v="No"/>
    <s v="Travel_Rarely"/>
    <n v="252"/>
    <s v="Research &amp; Development"/>
    <n v="1"/>
    <n v="3"/>
    <s v="Other"/>
    <n v="1"/>
    <n v="336"/>
    <n v="3"/>
    <s v="Male"/>
    <n v="70"/>
    <n v="4"/>
    <n v="5"/>
    <x v="5"/>
    <n v="4"/>
    <s v="Married"/>
    <n v="19202"/>
    <n v="15970"/>
    <n v="0"/>
    <s v="Y"/>
    <s v="No"/>
    <n v="11"/>
    <n v="3"/>
    <n v="3"/>
    <n v="80"/>
    <n v="1"/>
    <n v="25"/>
    <n v="2"/>
    <n v="3"/>
    <n v="24"/>
    <n v="0"/>
    <x v="1"/>
    <n v="7"/>
    <s v="OK"/>
    <s v="OK"/>
    <s v="OK"/>
    <s v="OK"/>
    <n v="4.1666666666666664E-2"/>
    <n v="0"/>
    <n v="8.3333333333333329E-2"/>
    <n v="0.29166666666666669"/>
  </r>
  <r>
    <n v="31"/>
    <s v="No"/>
    <s v="Travel_Frequently"/>
    <n v="1327"/>
    <s v="Research &amp; Development"/>
    <n v="3"/>
    <n v="4"/>
    <s v="Medical"/>
    <n v="1"/>
    <n v="337"/>
    <n v="2"/>
    <s v="Male"/>
    <n v="73"/>
    <n v="3"/>
    <n v="3"/>
    <x v="7"/>
    <n v="3"/>
    <s v="Divorced"/>
    <n v="13675"/>
    <n v="13523"/>
    <n v="9"/>
    <s v="Y"/>
    <s v="No"/>
    <n v="12"/>
    <n v="3"/>
    <n v="1"/>
    <n v="80"/>
    <n v="1"/>
    <n v="9"/>
    <n v="3"/>
    <n v="3"/>
    <n v="2"/>
    <n v="2"/>
    <x v="3"/>
    <n v="2"/>
    <s v="OK"/>
    <s v="OK"/>
    <s v="OK"/>
    <s v="OK"/>
    <n v="1"/>
    <n v="1"/>
    <n v="1.5"/>
    <n v="1"/>
  </r>
  <r>
    <n v="33"/>
    <s v="No"/>
    <s v="Travel_Rarely"/>
    <n v="832"/>
    <s v="Research &amp; Development"/>
    <n v="5"/>
    <n v="4"/>
    <s v="Life Sciences"/>
    <n v="1"/>
    <n v="338"/>
    <n v="3"/>
    <s v="Female"/>
    <n v="63"/>
    <n v="2"/>
    <n v="1"/>
    <x v="1"/>
    <n v="4"/>
    <s v="Married"/>
    <n v="2911"/>
    <n v="14776"/>
    <n v="1"/>
    <s v="Y"/>
    <s v="No"/>
    <n v="13"/>
    <n v="3"/>
    <n v="3"/>
    <n v="80"/>
    <n v="1"/>
    <n v="2"/>
    <n v="2"/>
    <n v="2"/>
    <n v="2"/>
    <n v="2"/>
    <x v="0"/>
    <n v="2"/>
    <s v="OK"/>
    <s v="OK"/>
    <s v="OK"/>
    <s v="OK"/>
    <n v="0"/>
    <n v="1"/>
    <n v="1"/>
    <n v="1"/>
  </r>
  <r>
    <n v="34"/>
    <s v="No"/>
    <s v="Travel_Rarely"/>
    <n v="470"/>
    <s v="Research &amp; Development"/>
    <n v="2"/>
    <n v="4"/>
    <s v="Life Sciences"/>
    <n v="1"/>
    <n v="339"/>
    <n v="4"/>
    <s v="Male"/>
    <n v="84"/>
    <n v="2"/>
    <n v="2"/>
    <x v="3"/>
    <n v="1"/>
    <s v="Married"/>
    <n v="5957"/>
    <n v="23687"/>
    <n v="6"/>
    <s v="Y"/>
    <s v="No"/>
    <n v="13"/>
    <n v="3"/>
    <n v="2"/>
    <n v="80"/>
    <n v="1"/>
    <n v="13"/>
    <n v="3"/>
    <n v="3"/>
    <n v="11"/>
    <n v="9"/>
    <x v="8"/>
    <n v="9"/>
    <s v="OK"/>
    <s v="OK"/>
    <s v="OK"/>
    <s v="OK"/>
    <n v="0.45454545454545453"/>
    <n v="0.81818181818181823"/>
    <n v="0.27272727272727271"/>
    <n v="0.81818181818181823"/>
  </r>
  <r>
    <n v="37"/>
    <s v="No"/>
    <s v="Travel_Rarely"/>
    <n v="1017"/>
    <s v="Research &amp; Development"/>
    <n v="1"/>
    <n v="2"/>
    <s v="Medical"/>
    <n v="1"/>
    <n v="340"/>
    <n v="3"/>
    <s v="Female"/>
    <n v="83"/>
    <n v="2"/>
    <n v="1"/>
    <x v="1"/>
    <n v="1"/>
    <s v="Married"/>
    <n v="3920"/>
    <n v="18697"/>
    <n v="2"/>
    <s v="Y"/>
    <s v="No"/>
    <n v="14"/>
    <n v="3"/>
    <n v="1"/>
    <n v="80"/>
    <n v="1"/>
    <n v="17"/>
    <n v="2"/>
    <n v="2"/>
    <n v="3"/>
    <n v="1"/>
    <x v="0"/>
    <n v="2"/>
    <s v="OK"/>
    <s v="OK"/>
    <s v="OK"/>
    <s v="OK"/>
    <n v="0"/>
    <n v="0.33333333333333331"/>
    <n v="0.66666666666666663"/>
    <n v="0.66666666666666663"/>
  </r>
  <r>
    <n v="45"/>
    <s v="No"/>
    <s v="Travel_Frequently"/>
    <n v="1199"/>
    <s v="Research &amp; Development"/>
    <n v="7"/>
    <n v="4"/>
    <s v="Life Sciences"/>
    <n v="1"/>
    <n v="341"/>
    <n v="1"/>
    <s v="Male"/>
    <n v="77"/>
    <n v="4"/>
    <n v="2"/>
    <x v="3"/>
    <n v="3"/>
    <s v="Married"/>
    <n v="6434"/>
    <n v="5118"/>
    <n v="4"/>
    <s v="Y"/>
    <s v="No"/>
    <n v="17"/>
    <n v="3"/>
    <n v="4"/>
    <n v="80"/>
    <n v="1"/>
    <n v="9"/>
    <n v="1"/>
    <n v="3"/>
    <n v="3"/>
    <n v="2"/>
    <x v="0"/>
    <n v="2"/>
    <s v="OK"/>
    <s v="OK"/>
    <s v="OK"/>
    <s v="OK"/>
    <n v="0"/>
    <n v="0.66666666666666663"/>
    <n v="0.33333333333333331"/>
    <n v="0.66666666666666663"/>
  </r>
  <r>
    <n v="37"/>
    <s v="Yes"/>
    <s v="Travel_Frequently"/>
    <n v="504"/>
    <s v="Research &amp; Development"/>
    <n v="10"/>
    <n v="3"/>
    <s v="Medical"/>
    <n v="1"/>
    <n v="342"/>
    <n v="1"/>
    <s v="Male"/>
    <n v="61"/>
    <n v="3"/>
    <n v="3"/>
    <x v="3"/>
    <n v="3"/>
    <s v="Divorced"/>
    <n v="10048"/>
    <n v="22573"/>
    <n v="6"/>
    <s v="Y"/>
    <s v="No"/>
    <n v="11"/>
    <n v="3"/>
    <n v="2"/>
    <n v="80"/>
    <n v="2"/>
    <n v="17"/>
    <n v="5"/>
    <n v="3"/>
    <n v="1"/>
    <n v="0"/>
    <x v="0"/>
    <n v="0"/>
    <s v="OK"/>
    <s v="OK"/>
    <s v="OK"/>
    <s v="OK"/>
    <n v="0"/>
    <n v="0"/>
    <n v="5"/>
    <n v="0"/>
  </r>
  <r>
    <n v="39"/>
    <s v="No"/>
    <s v="Travel_Frequently"/>
    <n v="505"/>
    <s v="Research &amp; Development"/>
    <n v="2"/>
    <n v="4"/>
    <s v="Technical Degree"/>
    <n v="1"/>
    <n v="343"/>
    <n v="3"/>
    <s v="Female"/>
    <n v="64"/>
    <n v="3"/>
    <n v="3"/>
    <x v="4"/>
    <n v="3"/>
    <s v="Single"/>
    <n v="10938"/>
    <n v="6420"/>
    <n v="0"/>
    <s v="Y"/>
    <s v="No"/>
    <n v="25"/>
    <n v="4"/>
    <n v="4"/>
    <n v="80"/>
    <n v="0"/>
    <n v="20"/>
    <n v="1"/>
    <n v="3"/>
    <n v="19"/>
    <n v="6"/>
    <x v="14"/>
    <n v="8"/>
    <s v="OK"/>
    <s v="OK"/>
    <s v="OK"/>
    <s v="OK"/>
    <n v="0.57894736842105265"/>
    <n v="0.31578947368421051"/>
    <n v="5.2631578947368418E-2"/>
    <n v="0.42105263157894735"/>
  </r>
  <r>
    <n v="29"/>
    <s v="No"/>
    <s v="Travel_Rarely"/>
    <n v="665"/>
    <s v="Research &amp; Development"/>
    <n v="15"/>
    <n v="3"/>
    <s v="Life Sciences"/>
    <n v="1"/>
    <n v="346"/>
    <n v="3"/>
    <s v="Male"/>
    <n v="60"/>
    <n v="3"/>
    <n v="1"/>
    <x v="1"/>
    <n v="4"/>
    <s v="Single"/>
    <n v="2340"/>
    <n v="22673"/>
    <n v="1"/>
    <s v="Y"/>
    <s v="No"/>
    <n v="19"/>
    <n v="3"/>
    <n v="1"/>
    <n v="80"/>
    <n v="0"/>
    <n v="6"/>
    <n v="1"/>
    <n v="3"/>
    <n v="6"/>
    <n v="5"/>
    <x v="1"/>
    <n v="5"/>
    <s v="OK"/>
    <s v="OK"/>
    <s v="OK"/>
    <s v="OK"/>
    <n v="0.16666666666666666"/>
    <n v="0.83333333333333337"/>
    <n v="0.16666666666666666"/>
    <n v="0.83333333333333337"/>
  </r>
  <r>
    <n v="42"/>
    <s v="No"/>
    <s v="Travel_Rarely"/>
    <n v="916"/>
    <s v="Research &amp; Development"/>
    <n v="17"/>
    <n v="2"/>
    <s v="Life Sciences"/>
    <n v="1"/>
    <n v="347"/>
    <n v="4"/>
    <s v="Female"/>
    <n v="82"/>
    <n v="4"/>
    <n v="2"/>
    <x v="1"/>
    <n v="1"/>
    <s v="Single"/>
    <n v="6545"/>
    <n v="23016"/>
    <n v="3"/>
    <s v="Y"/>
    <s v="Yes"/>
    <n v="13"/>
    <n v="3"/>
    <n v="3"/>
    <n v="80"/>
    <n v="0"/>
    <n v="10"/>
    <n v="1"/>
    <n v="3"/>
    <n v="3"/>
    <n v="2"/>
    <x v="0"/>
    <n v="2"/>
    <s v="OK"/>
    <s v="OK"/>
    <s v="OK"/>
    <s v="OK"/>
    <n v="0"/>
    <n v="0.66666666666666663"/>
    <n v="0.33333333333333331"/>
    <n v="0.66666666666666663"/>
  </r>
  <r>
    <n v="29"/>
    <s v="No"/>
    <s v="Travel_Rarely"/>
    <n v="1247"/>
    <s v="Sales"/>
    <n v="20"/>
    <n v="2"/>
    <s v="Marketing"/>
    <n v="1"/>
    <n v="349"/>
    <n v="4"/>
    <s v="Male"/>
    <n v="45"/>
    <n v="3"/>
    <n v="2"/>
    <x v="0"/>
    <n v="4"/>
    <s v="Divorced"/>
    <n v="6931"/>
    <n v="10732"/>
    <n v="2"/>
    <s v="Y"/>
    <s v="No"/>
    <n v="14"/>
    <n v="3"/>
    <n v="4"/>
    <n v="80"/>
    <n v="1"/>
    <n v="10"/>
    <n v="2"/>
    <n v="3"/>
    <n v="3"/>
    <n v="2"/>
    <x v="0"/>
    <n v="2"/>
    <s v="OK"/>
    <s v="OK"/>
    <s v="OK"/>
    <s v="OK"/>
    <n v="0"/>
    <n v="0.66666666666666663"/>
    <n v="0.66666666666666663"/>
    <n v="0.66666666666666663"/>
  </r>
  <r>
    <n v="25"/>
    <s v="No"/>
    <s v="Travel_Rarely"/>
    <n v="685"/>
    <s v="Research &amp; Development"/>
    <n v="1"/>
    <n v="3"/>
    <s v="Life Sciences"/>
    <n v="1"/>
    <n v="350"/>
    <n v="1"/>
    <s v="Female"/>
    <n v="62"/>
    <n v="3"/>
    <n v="2"/>
    <x v="3"/>
    <n v="3"/>
    <s v="Married"/>
    <n v="4898"/>
    <n v="7505"/>
    <n v="0"/>
    <s v="Y"/>
    <s v="No"/>
    <n v="12"/>
    <n v="3"/>
    <n v="4"/>
    <n v="80"/>
    <n v="2"/>
    <n v="5"/>
    <n v="3"/>
    <n v="3"/>
    <n v="4"/>
    <n v="2"/>
    <x v="1"/>
    <n v="2"/>
    <s v="OK"/>
    <s v="OK"/>
    <s v="OK"/>
    <s v="OK"/>
    <n v="0.25"/>
    <n v="0.5"/>
    <n v="0.75"/>
    <n v="0.5"/>
  </r>
  <r>
    <n v="42"/>
    <s v="No"/>
    <s v="Travel_Rarely"/>
    <n v="269"/>
    <s v="Research &amp; Development"/>
    <n v="2"/>
    <n v="3"/>
    <s v="Medical"/>
    <n v="1"/>
    <n v="351"/>
    <n v="4"/>
    <s v="Female"/>
    <n v="56"/>
    <n v="2"/>
    <n v="1"/>
    <x v="2"/>
    <n v="1"/>
    <s v="Divorced"/>
    <n v="2593"/>
    <n v="8007"/>
    <n v="0"/>
    <s v="Y"/>
    <s v="Yes"/>
    <n v="11"/>
    <n v="3"/>
    <n v="3"/>
    <n v="80"/>
    <n v="1"/>
    <n v="10"/>
    <n v="4"/>
    <n v="3"/>
    <n v="9"/>
    <n v="6"/>
    <x v="4"/>
    <n v="8"/>
    <s v="OK"/>
    <s v="OK"/>
    <s v="OK"/>
    <s v="OK"/>
    <n v="0.77777777777777779"/>
    <n v="0.66666666666666663"/>
    <n v="0.44444444444444442"/>
    <n v="0.88888888888888884"/>
  </r>
  <r>
    <n v="40"/>
    <s v="No"/>
    <s v="Travel_Rarely"/>
    <n v="1416"/>
    <s v="Research &amp; Development"/>
    <n v="2"/>
    <n v="2"/>
    <s v="Medical"/>
    <n v="1"/>
    <n v="352"/>
    <n v="1"/>
    <s v="Male"/>
    <n v="49"/>
    <n v="3"/>
    <n v="5"/>
    <x v="7"/>
    <n v="3"/>
    <s v="Divorced"/>
    <n v="19436"/>
    <n v="5949"/>
    <n v="0"/>
    <s v="Y"/>
    <s v="No"/>
    <n v="19"/>
    <n v="3"/>
    <n v="4"/>
    <n v="80"/>
    <n v="1"/>
    <n v="22"/>
    <n v="5"/>
    <n v="3"/>
    <n v="21"/>
    <n v="7"/>
    <x v="2"/>
    <n v="9"/>
    <s v="OK"/>
    <s v="OK"/>
    <s v="OK"/>
    <s v="OK"/>
    <n v="0.14285714285714285"/>
    <n v="0.33333333333333331"/>
    <n v="0.23809523809523808"/>
    <n v="0.42857142857142855"/>
  </r>
  <r>
    <n v="51"/>
    <s v="No"/>
    <s v="Travel_Rarely"/>
    <n v="833"/>
    <s v="Research &amp; Development"/>
    <n v="1"/>
    <n v="3"/>
    <s v="Life Sciences"/>
    <n v="1"/>
    <n v="353"/>
    <n v="3"/>
    <s v="Male"/>
    <n v="96"/>
    <n v="3"/>
    <n v="1"/>
    <x v="1"/>
    <n v="4"/>
    <s v="Married"/>
    <n v="2723"/>
    <n v="23231"/>
    <n v="1"/>
    <s v="Y"/>
    <s v="No"/>
    <n v="11"/>
    <n v="3"/>
    <n v="2"/>
    <n v="80"/>
    <n v="0"/>
    <n v="1"/>
    <n v="0"/>
    <n v="2"/>
    <n v="1"/>
    <n v="0"/>
    <x v="0"/>
    <n v="0"/>
    <s v="OK"/>
    <s v="OK"/>
    <s v="OK"/>
    <s v="OK"/>
    <n v="0"/>
    <n v="0"/>
    <n v="0"/>
    <n v="0"/>
  </r>
  <r>
    <n v="31"/>
    <s v="Yes"/>
    <s v="Travel_Frequently"/>
    <n v="307"/>
    <s v="Research &amp; Development"/>
    <n v="29"/>
    <n v="2"/>
    <s v="Medical"/>
    <n v="1"/>
    <n v="355"/>
    <n v="3"/>
    <s v="Male"/>
    <n v="71"/>
    <n v="2"/>
    <n v="1"/>
    <x v="2"/>
    <n v="2"/>
    <s v="Single"/>
    <n v="3479"/>
    <n v="11652"/>
    <n v="0"/>
    <s v="Y"/>
    <s v="No"/>
    <n v="11"/>
    <n v="3"/>
    <n v="2"/>
    <n v="80"/>
    <n v="0"/>
    <n v="6"/>
    <n v="2"/>
    <n v="4"/>
    <n v="5"/>
    <n v="4"/>
    <x v="1"/>
    <n v="4"/>
    <s v="OK"/>
    <s v="OK"/>
    <s v="OK"/>
    <s v="OK"/>
    <n v="0.2"/>
    <n v="0.8"/>
    <n v="0.4"/>
    <n v="0.8"/>
  </r>
  <r>
    <n v="32"/>
    <s v="No"/>
    <s v="Travel_Frequently"/>
    <n v="1311"/>
    <s v="Research &amp; Development"/>
    <n v="7"/>
    <n v="3"/>
    <s v="Life Sciences"/>
    <n v="1"/>
    <n v="359"/>
    <n v="2"/>
    <s v="Male"/>
    <n v="100"/>
    <n v="4"/>
    <n v="1"/>
    <x v="2"/>
    <n v="2"/>
    <s v="Married"/>
    <n v="2794"/>
    <n v="26062"/>
    <n v="1"/>
    <s v="Y"/>
    <s v="No"/>
    <n v="20"/>
    <n v="4"/>
    <n v="3"/>
    <n v="80"/>
    <n v="0"/>
    <n v="5"/>
    <n v="3"/>
    <n v="1"/>
    <n v="5"/>
    <n v="1"/>
    <x v="0"/>
    <n v="3"/>
    <s v="OK"/>
    <s v="OK"/>
    <s v="OK"/>
    <s v="OK"/>
    <n v="0"/>
    <n v="0.2"/>
    <n v="0.6"/>
    <n v="0.6"/>
  </r>
  <r>
    <n v="38"/>
    <s v="No"/>
    <s v="Non-Travel"/>
    <n v="1327"/>
    <s v="Sales"/>
    <n v="2"/>
    <n v="2"/>
    <s v="Life Sciences"/>
    <n v="1"/>
    <n v="361"/>
    <n v="4"/>
    <s v="Male"/>
    <n v="39"/>
    <n v="2"/>
    <n v="2"/>
    <x v="0"/>
    <n v="4"/>
    <s v="Married"/>
    <n v="5249"/>
    <n v="19682"/>
    <n v="3"/>
    <s v="Y"/>
    <s v="No"/>
    <n v="18"/>
    <n v="3"/>
    <n v="4"/>
    <n v="80"/>
    <n v="1"/>
    <n v="13"/>
    <n v="0"/>
    <n v="3"/>
    <n v="8"/>
    <n v="7"/>
    <x v="4"/>
    <n v="5"/>
    <s v="OK"/>
    <s v="OK"/>
    <s v="OK"/>
    <s v="OK"/>
    <n v="0.875"/>
    <n v="0.875"/>
    <n v="0"/>
    <n v="0.625"/>
  </r>
  <r>
    <n v="32"/>
    <s v="No"/>
    <s v="Travel_Rarely"/>
    <n v="128"/>
    <s v="Research &amp; Development"/>
    <n v="2"/>
    <n v="1"/>
    <s v="Technical Degree"/>
    <n v="1"/>
    <n v="362"/>
    <n v="4"/>
    <s v="Male"/>
    <n v="84"/>
    <n v="2"/>
    <n v="2"/>
    <x v="2"/>
    <n v="1"/>
    <s v="Single"/>
    <n v="2176"/>
    <n v="19737"/>
    <n v="4"/>
    <s v="Y"/>
    <s v="No"/>
    <n v="13"/>
    <n v="3"/>
    <n v="4"/>
    <n v="80"/>
    <n v="0"/>
    <n v="9"/>
    <n v="5"/>
    <n v="3"/>
    <n v="6"/>
    <n v="2"/>
    <x v="0"/>
    <n v="4"/>
    <s v="OK"/>
    <s v="OK"/>
    <s v="OK"/>
    <s v="OK"/>
    <n v="0"/>
    <n v="0.33333333333333331"/>
    <n v="0.83333333333333337"/>
    <n v="0.66666666666666663"/>
  </r>
  <r>
    <n v="46"/>
    <s v="No"/>
    <s v="Travel_Rarely"/>
    <n v="488"/>
    <s v="Sales"/>
    <n v="2"/>
    <n v="3"/>
    <s v="Technical Degree"/>
    <n v="1"/>
    <n v="363"/>
    <n v="3"/>
    <s v="Female"/>
    <n v="75"/>
    <n v="1"/>
    <n v="4"/>
    <x v="5"/>
    <n v="2"/>
    <s v="Married"/>
    <n v="16872"/>
    <n v="14977"/>
    <n v="3"/>
    <s v="Y"/>
    <s v="Yes"/>
    <n v="12"/>
    <n v="3"/>
    <n v="2"/>
    <n v="80"/>
    <n v="1"/>
    <n v="28"/>
    <n v="2"/>
    <n v="2"/>
    <n v="7"/>
    <n v="7"/>
    <x v="4"/>
    <n v="7"/>
    <s v="OK"/>
    <s v="OK"/>
    <s v="OK"/>
    <s v="OK"/>
    <n v="1"/>
    <n v="1"/>
    <n v="0.2857142857142857"/>
    <n v="1"/>
  </r>
  <r>
    <n v="28"/>
    <s v="Yes"/>
    <s v="Travel_Rarely"/>
    <n v="529"/>
    <s v="Research &amp; Development"/>
    <n v="2"/>
    <n v="4"/>
    <s v="Life Sciences"/>
    <n v="1"/>
    <n v="364"/>
    <n v="1"/>
    <s v="Male"/>
    <n v="79"/>
    <n v="3"/>
    <n v="1"/>
    <x v="2"/>
    <n v="3"/>
    <s v="Single"/>
    <n v="3485"/>
    <n v="14935"/>
    <n v="2"/>
    <s v="Y"/>
    <s v="No"/>
    <n v="11"/>
    <n v="3"/>
    <n v="3"/>
    <n v="80"/>
    <n v="0"/>
    <n v="5"/>
    <n v="5"/>
    <n v="1"/>
    <n v="0"/>
    <n v="0"/>
    <x v="0"/>
    <n v="0"/>
    <s v="OK"/>
    <s v="OK"/>
    <s v="OK"/>
    <s v="OK"/>
    <n v="0"/>
    <n v="0"/>
    <n v="0"/>
    <n v="0"/>
  </r>
  <r>
    <n v="29"/>
    <s v="No"/>
    <s v="Travel_Rarely"/>
    <n v="1210"/>
    <s v="Sales"/>
    <n v="2"/>
    <n v="3"/>
    <s v="Medical"/>
    <n v="1"/>
    <n v="366"/>
    <n v="1"/>
    <s v="Male"/>
    <n v="78"/>
    <n v="2"/>
    <n v="2"/>
    <x v="0"/>
    <n v="2"/>
    <s v="Married"/>
    <n v="6644"/>
    <n v="3687"/>
    <n v="2"/>
    <s v="Y"/>
    <s v="No"/>
    <n v="19"/>
    <n v="3"/>
    <n v="2"/>
    <n v="80"/>
    <n v="2"/>
    <n v="10"/>
    <n v="2"/>
    <n v="3"/>
    <n v="0"/>
    <n v="0"/>
    <x v="0"/>
    <n v="0"/>
    <s v="OK"/>
    <s v="OK"/>
    <s v="OK"/>
    <s v="OK"/>
    <n v="0"/>
    <n v="0"/>
    <n v="0"/>
    <n v="0"/>
  </r>
  <r>
    <n v="31"/>
    <s v="No"/>
    <s v="Travel_Rarely"/>
    <n v="1463"/>
    <s v="Research &amp; Development"/>
    <n v="23"/>
    <n v="3"/>
    <s v="Medical"/>
    <n v="1"/>
    <n v="367"/>
    <n v="2"/>
    <s v="Male"/>
    <n v="64"/>
    <n v="2"/>
    <n v="2"/>
    <x v="4"/>
    <n v="4"/>
    <s v="Married"/>
    <n v="5582"/>
    <n v="14408"/>
    <n v="0"/>
    <s v="Y"/>
    <s v="No"/>
    <n v="21"/>
    <n v="4"/>
    <n v="2"/>
    <n v="80"/>
    <n v="1"/>
    <n v="10"/>
    <n v="2"/>
    <n v="3"/>
    <n v="9"/>
    <n v="0"/>
    <x v="4"/>
    <n v="8"/>
    <s v="OK"/>
    <s v="OK"/>
    <s v="OK"/>
    <s v="OK"/>
    <n v="0.77777777777777779"/>
    <n v="0"/>
    <n v="0.22222222222222221"/>
    <n v="0.88888888888888884"/>
  </r>
  <r>
    <n v="25"/>
    <s v="No"/>
    <s v="Non-Travel"/>
    <n v="675"/>
    <s v="Research &amp; Development"/>
    <n v="5"/>
    <n v="2"/>
    <s v="Life Sciences"/>
    <n v="1"/>
    <n v="369"/>
    <n v="2"/>
    <s v="Male"/>
    <n v="85"/>
    <n v="4"/>
    <n v="2"/>
    <x v="4"/>
    <n v="1"/>
    <s v="Divorced"/>
    <n v="4000"/>
    <n v="18384"/>
    <n v="1"/>
    <s v="Y"/>
    <s v="No"/>
    <n v="12"/>
    <n v="3"/>
    <n v="4"/>
    <n v="80"/>
    <n v="2"/>
    <n v="6"/>
    <n v="2"/>
    <n v="3"/>
    <n v="6"/>
    <n v="3"/>
    <x v="1"/>
    <n v="5"/>
    <s v="OK"/>
    <s v="OK"/>
    <s v="OK"/>
    <s v="OK"/>
    <n v="0.16666666666666666"/>
    <n v="0.5"/>
    <n v="0.33333333333333331"/>
    <n v="0.83333333333333337"/>
  </r>
  <r>
    <n v="45"/>
    <s v="No"/>
    <s v="Travel_Rarely"/>
    <n v="1385"/>
    <s v="Research &amp; Development"/>
    <n v="20"/>
    <n v="2"/>
    <s v="Medical"/>
    <n v="1"/>
    <n v="372"/>
    <n v="3"/>
    <s v="Male"/>
    <n v="79"/>
    <n v="3"/>
    <n v="4"/>
    <x v="4"/>
    <n v="4"/>
    <s v="Married"/>
    <n v="13496"/>
    <n v="7501"/>
    <n v="0"/>
    <s v="Y"/>
    <s v="Yes"/>
    <n v="14"/>
    <n v="3"/>
    <n v="2"/>
    <n v="80"/>
    <n v="0"/>
    <n v="21"/>
    <n v="2"/>
    <n v="3"/>
    <n v="20"/>
    <n v="7"/>
    <x v="5"/>
    <n v="10"/>
    <s v="OK"/>
    <s v="OK"/>
    <s v="OK"/>
    <s v="OK"/>
    <n v="0.2"/>
    <n v="0.35"/>
    <n v="0.1"/>
    <n v="0.5"/>
  </r>
  <r>
    <n v="36"/>
    <s v="No"/>
    <s v="Travel_Rarely"/>
    <n v="1403"/>
    <s v="Research &amp; Development"/>
    <n v="6"/>
    <n v="3"/>
    <s v="Life Sciences"/>
    <n v="1"/>
    <n v="373"/>
    <n v="4"/>
    <s v="Male"/>
    <n v="47"/>
    <n v="3"/>
    <n v="1"/>
    <x v="2"/>
    <n v="4"/>
    <s v="Married"/>
    <n v="3210"/>
    <n v="20251"/>
    <n v="0"/>
    <s v="Y"/>
    <s v="No"/>
    <n v="11"/>
    <n v="3"/>
    <n v="3"/>
    <n v="80"/>
    <n v="1"/>
    <n v="16"/>
    <n v="4"/>
    <n v="3"/>
    <n v="15"/>
    <n v="13"/>
    <x v="13"/>
    <n v="11"/>
    <s v="OK"/>
    <s v="OK"/>
    <s v="OK"/>
    <s v="OK"/>
    <n v="0.66666666666666663"/>
    <n v="0.8666666666666667"/>
    <n v="0.26666666666666666"/>
    <n v="0.73333333333333328"/>
  </r>
  <r>
    <n v="55"/>
    <s v="No"/>
    <s v="Travel_Rarely"/>
    <n v="452"/>
    <s v="Research &amp; Development"/>
    <n v="1"/>
    <n v="3"/>
    <s v="Medical"/>
    <n v="1"/>
    <n v="374"/>
    <n v="4"/>
    <s v="Male"/>
    <n v="81"/>
    <n v="3"/>
    <n v="5"/>
    <x v="5"/>
    <n v="1"/>
    <s v="Single"/>
    <n v="19045"/>
    <n v="18938"/>
    <n v="0"/>
    <s v="Y"/>
    <s v="Yes"/>
    <n v="14"/>
    <n v="3"/>
    <n v="3"/>
    <n v="80"/>
    <n v="0"/>
    <n v="37"/>
    <n v="2"/>
    <n v="3"/>
    <n v="36"/>
    <n v="10"/>
    <x v="5"/>
    <n v="13"/>
    <s v="OK"/>
    <s v="OK"/>
    <s v="OK"/>
    <s v="OK"/>
    <n v="0.1111111111111111"/>
    <n v="0.27777777777777779"/>
    <n v="5.5555555555555552E-2"/>
    <n v="0.3611111111111111"/>
  </r>
  <r>
    <n v="47"/>
    <s v="Yes"/>
    <s v="Non-Travel"/>
    <n v="666"/>
    <s v="Research &amp; Development"/>
    <n v="29"/>
    <n v="4"/>
    <s v="Life Sciences"/>
    <n v="1"/>
    <n v="376"/>
    <n v="1"/>
    <s v="Male"/>
    <n v="88"/>
    <n v="3"/>
    <n v="3"/>
    <x v="5"/>
    <n v="2"/>
    <s v="Married"/>
    <n v="11849"/>
    <n v="10268"/>
    <n v="1"/>
    <s v="Y"/>
    <s v="Yes"/>
    <n v="12"/>
    <n v="3"/>
    <n v="4"/>
    <n v="80"/>
    <n v="1"/>
    <n v="10"/>
    <n v="2"/>
    <n v="2"/>
    <n v="10"/>
    <n v="7"/>
    <x v="10"/>
    <n v="9"/>
    <s v="OK"/>
    <s v="OK"/>
    <s v="OK"/>
    <s v="OK"/>
    <n v="0.9"/>
    <n v="0.7"/>
    <n v="0.2"/>
    <n v="0.9"/>
  </r>
  <r>
    <n v="28"/>
    <s v="No"/>
    <s v="Travel_Rarely"/>
    <n v="1158"/>
    <s v="Research &amp; Development"/>
    <n v="9"/>
    <n v="3"/>
    <s v="Medical"/>
    <n v="1"/>
    <n v="377"/>
    <n v="4"/>
    <s v="Male"/>
    <n v="94"/>
    <n v="3"/>
    <n v="1"/>
    <x v="1"/>
    <n v="4"/>
    <s v="Married"/>
    <n v="2070"/>
    <n v="2613"/>
    <n v="1"/>
    <s v="Y"/>
    <s v="No"/>
    <n v="23"/>
    <n v="4"/>
    <n v="4"/>
    <n v="80"/>
    <n v="1"/>
    <n v="5"/>
    <n v="3"/>
    <n v="2"/>
    <n v="5"/>
    <n v="2"/>
    <x v="0"/>
    <n v="4"/>
    <s v="OK"/>
    <s v="OK"/>
    <s v="OK"/>
    <s v="OK"/>
    <n v="0"/>
    <n v="0.4"/>
    <n v="0.6"/>
    <n v="0.8"/>
  </r>
  <r>
    <n v="37"/>
    <s v="No"/>
    <s v="Travel_Rarely"/>
    <n v="228"/>
    <s v="Sales"/>
    <n v="6"/>
    <n v="4"/>
    <s v="Medical"/>
    <n v="1"/>
    <n v="378"/>
    <n v="3"/>
    <s v="Male"/>
    <n v="98"/>
    <n v="3"/>
    <n v="2"/>
    <x v="0"/>
    <n v="4"/>
    <s v="Married"/>
    <n v="6502"/>
    <n v="22825"/>
    <n v="4"/>
    <s v="Y"/>
    <s v="No"/>
    <n v="14"/>
    <n v="3"/>
    <n v="2"/>
    <n v="80"/>
    <n v="1"/>
    <n v="7"/>
    <n v="5"/>
    <n v="4"/>
    <n v="5"/>
    <n v="4"/>
    <x v="0"/>
    <n v="1"/>
    <s v="OK"/>
    <s v="OK"/>
    <s v="OK"/>
    <s v="OK"/>
    <n v="0"/>
    <n v="0.8"/>
    <n v="1"/>
    <n v="0.2"/>
  </r>
  <r>
    <n v="21"/>
    <s v="No"/>
    <s v="Travel_Rarely"/>
    <n v="996"/>
    <s v="Research &amp; Development"/>
    <n v="3"/>
    <n v="2"/>
    <s v="Medical"/>
    <n v="1"/>
    <n v="379"/>
    <n v="4"/>
    <s v="Male"/>
    <n v="100"/>
    <n v="2"/>
    <n v="1"/>
    <x v="1"/>
    <n v="3"/>
    <s v="Single"/>
    <n v="3230"/>
    <n v="10531"/>
    <n v="1"/>
    <s v="Y"/>
    <s v="No"/>
    <n v="17"/>
    <n v="3"/>
    <n v="1"/>
    <n v="80"/>
    <n v="0"/>
    <n v="3"/>
    <n v="4"/>
    <n v="4"/>
    <n v="3"/>
    <n v="2"/>
    <x v="1"/>
    <n v="0"/>
    <s v="OK"/>
    <s v="OK"/>
    <s v="OK"/>
    <s v="OK"/>
    <n v="0.33333333333333331"/>
    <n v="0.66666666666666663"/>
    <n v="1.3333333333333333"/>
    <n v="0"/>
  </r>
  <r>
    <n v="37"/>
    <s v="No"/>
    <s v="Non-Travel"/>
    <n v="728"/>
    <s v="Research &amp; Development"/>
    <n v="1"/>
    <n v="4"/>
    <s v="Medical"/>
    <n v="1"/>
    <n v="380"/>
    <n v="1"/>
    <s v="Female"/>
    <n v="80"/>
    <n v="3"/>
    <n v="3"/>
    <x v="7"/>
    <n v="4"/>
    <s v="Divorced"/>
    <n v="13603"/>
    <n v="11677"/>
    <n v="2"/>
    <s v="Y"/>
    <s v="Yes"/>
    <n v="18"/>
    <n v="3"/>
    <n v="1"/>
    <n v="80"/>
    <n v="2"/>
    <n v="15"/>
    <n v="2"/>
    <n v="3"/>
    <n v="5"/>
    <n v="2"/>
    <x v="0"/>
    <n v="2"/>
    <s v="OK"/>
    <s v="OK"/>
    <s v="OK"/>
    <s v="OK"/>
    <n v="0"/>
    <n v="0.4"/>
    <n v="0.4"/>
    <n v="0.4"/>
  </r>
  <r>
    <n v="35"/>
    <s v="No"/>
    <s v="Travel_Rarely"/>
    <n v="1315"/>
    <s v="Research &amp; Development"/>
    <n v="22"/>
    <n v="3"/>
    <s v="Life Sciences"/>
    <n v="1"/>
    <n v="381"/>
    <n v="2"/>
    <s v="Female"/>
    <n v="71"/>
    <n v="4"/>
    <n v="3"/>
    <x v="5"/>
    <n v="2"/>
    <s v="Divorced"/>
    <n v="11996"/>
    <n v="19100"/>
    <n v="7"/>
    <s v="Y"/>
    <s v="No"/>
    <n v="18"/>
    <n v="3"/>
    <n v="2"/>
    <n v="80"/>
    <n v="1"/>
    <n v="10"/>
    <n v="6"/>
    <n v="2"/>
    <n v="7"/>
    <n v="7"/>
    <x v="7"/>
    <n v="2"/>
    <s v="OK"/>
    <s v="OK"/>
    <s v="OK"/>
    <s v="OK"/>
    <n v="0.8571428571428571"/>
    <n v="1"/>
    <n v="0.8571428571428571"/>
    <n v="0.2857142857142857"/>
  </r>
  <r>
    <n v="38"/>
    <s v="No"/>
    <s v="Travel_Rarely"/>
    <n v="322"/>
    <s v="Sales"/>
    <n v="7"/>
    <n v="2"/>
    <s v="Medical"/>
    <n v="1"/>
    <n v="382"/>
    <n v="1"/>
    <s v="Female"/>
    <n v="44"/>
    <n v="4"/>
    <n v="2"/>
    <x v="0"/>
    <n v="1"/>
    <s v="Divorced"/>
    <n v="5605"/>
    <n v="19191"/>
    <n v="1"/>
    <s v="Y"/>
    <s v="Yes"/>
    <n v="24"/>
    <n v="4"/>
    <n v="3"/>
    <n v="80"/>
    <n v="1"/>
    <n v="8"/>
    <n v="3"/>
    <n v="3"/>
    <n v="8"/>
    <n v="0"/>
    <x v="4"/>
    <n v="7"/>
    <s v="OK"/>
    <s v="OK"/>
    <s v="OK"/>
    <s v="OK"/>
    <n v="0.875"/>
    <n v="0"/>
    <n v="0.375"/>
    <n v="0.875"/>
  </r>
  <r>
    <n v="26"/>
    <s v="No"/>
    <s v="Travel_Frequently"/>
    <n v="1479"/>
    <s v="Research &amp; Development"/>
    <n v="1"/>
    <n v="3"/>
    <s v="Life Sciences"/>
    <n v="1"/>
    <n v="384"/>
    <n v="3"/>
    <s v="Female"/>
    <n v="84"/>
    <n v="3"/>
    <n v="2"/>
    <x v="3"/>
    <n v="2"/>
    <s v="Divorced"/>
    <n v="6397"/>
    <n v="26767"/>
    <n v="1"/>
    <s v="Y"/>
    <s v="No"/>
    <n v="20"/>
    <n v="4"/>
    <n v="1"/>
    <n v="80"/>
    <n v="1"/>
    <n v="6"/>
    <n v="6"/>
    <n v="1"/>
    <n v="6"/>
    <n v="5"/>
    <x v="1"/>
    <n v="4"/>
    <s v="OK"/>
    <s v="OK"/>
    <s v="OK"/>
    <s v="OK"/>
    <n v="0.16666666666666666"/>
    <n v="0.83333333333333337"/>
    <n v="1"/>
    <n v="0.66666666666666663"/>
  </r>
  <r>
    <n v="50"/>
    <s v="No"/>
    <s v="Travel_Rarely"/>
    <n v="797"/>
    <s v="Research &amp; Development"/>
    <n v="4"/>
    <n v="1"/>
    <s v="Life Sciences"/>
    <n v="1"/>
    <n v="385"/>
    <n v="1"/>
    <s v="Male"/>
    <n v="96"/>
    <n v="3"/>
    <n v="5"/>
    <x v="7"/>
    <n v="2"/>
    <s v="Divorced"/>
    <n v="19144"/>
    <n v="15815"/>
    <n v="3"/>
    <s v="Y"/>
    <s v="No"/>
    <n v="14"/>
    <n v="3"/>
    <n v="1"/>
    <n v="80"/>
    <n v="2"/>
    <n v="28"/>
    <n v="4"/>
    <n v="2"/>
    <n v="10"/>
    <n v="4"/>
    <x v="1"/>
    <n v="6"/>
    <s v="OK"/>
    <s v="OK"/>
    <s v="OK"/>
    <s v="OK"/>
    <n v="0.1"/>
    <n v="0.4"/>
    <n v="0.4"/>
    <n v="0.6"/>
  </r>
  <r>
    <n v="53"/>
    <s v="No"/>
    <s v="Travel_Rarely"/>
    <n v="1070"/>
    <s v="Research &amp; Development"/>
    <n v="3"/>
    <n v="4"/>
    <s v="Medical"/>
    <n v="1"/>
    <n v="386"/>
    <n v="3"/>
    <s v="Male"/>
    <n v="45"/>
    <n v="3"/>
    <n v="4"/>
    <x v="7"/>
    <n v="3"/>
    <s v="Married"/>
    <n v="17584"/>
    <n v="21016"/>
    <n v="3"/>
    <s v="Y"/>
    <s v="Yes"/>
    <n v="16"/>
    <n v="3"/>
    <n v="4"/>
    <n v="80"/>
    <n v="3"/>
    <n v="21"/>
    <n v="5"/>
    <n v="2"/>
    <n v="5"/>
    <n v="3"/>
    <x v="1"/>
    <n v="3"/>
    <s v="OK"/>
    <s v="OK"/>
    <s v="OK"/>
    <s v="OK"/>
    <n v="0.2"/>
    <n v="0.6"/>
    <n v="1"/>
    <n v="0.6"/>
  </r>
  <r>
    <n v="42"/>
    <s v="No"/>
    <s v="Travel_Rarely"/>
    <n v="635"/>
    <s v="Sales"/>
    <n v="1"/>
    <n v="1"/>
    <s v="Life Sciences"/>
    <n v="1"/>
    <n v="387"/>
    <n v="2"/>
    <s v="Male"/>
    <n v="99"/>
    <n v="3"/>
    <n v="2"/>
    <x v="0"/>
    <n v="3"/>
    <s v="Married"/>
    <n v="4907"/>
    <n v="24532"/>
    <n v="1"/>
    <s v="Y"/>
    <s v="No"/>
    <n v="25"/>
    <n v="4"/>
    <n v="3"/>
    <n v="80"/>
    <n v="0"/>
    <n v="20"/>
    <n v="3"/>
    <n v="3"/>
    <n v="20"/>
    <n v="16"/>
    <x v="14"/>
    <n v="6"/>
    <s v="OK"/>
    <s v="OK"/>
    <s v="OK"/>
    <s v="OK"/>
    <n v="0.55000000000000004"/>
    <n v="0.8"/>
    <n v="0.15"/>
    <n v="0.3"/>
  </r>
  <r>
    <n v="29"/>
    <s v="No"/>
    <s v="Travel_Frequently"/>
    <n v="442"/>
    <s v="Sales"/>
    <n v="2"/>
    <n v="2"/>
    <s v="Life Sciences"/>
    <n v="1"/>
    <n v="388"/>
    <n v="2"/>
    <s v="Male"/>
    <n v="44"/>
    <n v="3"/>
    <n v="2"/>
    <x v="0"/>
    <n v="4"/>
    <s v="Single"/>
    <n v="4554"/>
    <n v="20260"/>
    <n v="1"/>
    <s v="Y"/>
    <s v="No"/>
    <n v="18"/>
    <n v="3"/>
    <n v="1"/>
    <n v="80"/>
    <n v="0"/>
    <n v="10"/>
    <n v="3"/>
    <n v="2"/>
    <n v="10"/>
    <n v="7"/>
    <x v="0"/>
    <n v="9"/>
    <s v="OK"/>
    <s v="OK"/>
    <s v="OK"/>
    <s v="OK"/>
    <n v="0"/>
    <n v="0.7"/>
    <n v="0.3"/>
    <n v="0.9"/>
  </r>
  <r>
    <n v="55"/>
    <s v="No"/>
    <s v="Travel_Rarely"/>
    <n v="147"/>
    <s v="Research &amp; Development"/>
    <n v="20"/>
    <n v="2"/>
    <s v="Technical Degree"/>
    <n v="1"/>
    <n v="389"/>
    <n v="2"/>
    <s v="Male"/>
    <n v="37"/>
    <n v="3"/>
    <n v="2"/>
    <x v="2"/>
    <n v="4"/>
    <s v="Married"/>
    <n v="5415"/>
    <n v="15972"/>
    <n v="3"/>
    <s v="Y"/>
    <s v="Yes"/>
    <n v="19"/>
    <n v="3"/>
    <n v="4"/>
    <n v="80"/>
    <n v="1"/>
    <n v="12"/>
    <n v="4"/>
    <n v="3"/>
    <n v="10"/>
    <n v="7"/>
    <x v="0"/>
    <n v="8"/>
    <s v="OK"/>
    <s v="OK"/>
    <s v="OK"/>
    <s v="OK"/>
    <n v="0"/>
    <n v="0.7"/>
    <n v="0.4"/>
    <n v="0.8"/>
  </r>
  <r>
    <n v="26"/>
    <s v="No"/>
    <s v="Travel_Frequently"/>
    <n v="496"/>
    <s v="Research &amp; Development"/>
    <n v="11"/>
    <n v="2"/>
    <s v="Medical"/>
    <n v="1"/>
    <n v="390"/>
    <n v="1"/>
    <s v="Male"/>
    <n v="60"/>
    <n v="3"/>
    <n v="2"/>
    <x v="4"/>
    <n v="1"/>
    <s v="Married"/>
    <n v="4741"/>
    <n v="22722"/>
    <n v="1"/>
    <s v="Y"/>
    <s v="Yes"/>
    <n v="13"/>
    <n v="3"/>
    <n v="3"/>
    <n v="80"/>
    <n v="1"/>
    <n v="5"/>
    <n v="3"/>
    <n v="3"/>
    <n v="5"/>
    <n v="3"/>
    <x v="2"/>
    <n v="3"/>
    <s v="OK"/>
    <s v="OK"/>
    <s v="OK"/>
    <s v="OK"/>
    <n v="0.6"/>
    <n v="0.6"/>
    <n v="0.6"/>
    <n v="0.6"/>
  </r>
  <r>
    <n v="37"/>
    <s v="No"/>
    <s v="Travel_Rarely"/>
    <n v="1372"/>
    <s v="Research &amp; Development"/>
    <n v="1"/>
    <n v="3"/>
    <s v="Life Sciences"/>
    <n v="1"/>
    <n v="391"/>
    <n v="4"/>
    <s v="Female"/>
    <n v="42"/>
    <n v="3"/>
    <n v="1"/>
    <x v="1"/>
    <n v="4"/>
    <s v="Single"/>
    <n v="2115"/>
    <n v="15881"/>
    <n v="1"/>
    <s v="Y"/>
    <s v="No"/>
    <n v="12"/>
    <n v="3"/>
    <n v="2"/>
    <n v="80"/>
    <n v="0"/>
    <n v="17"/>
    <n v="3"/>
    <n v="3"/>
    <n v="17"/>
    <n v="12"/>
    <x v="8"/>
    <n v="7"/>
    <s v="OK"/>
    <s v="OK"/>
    <s v="OK"/>
    <s v="OK"/>
    <n v="0.29411764705882354"/>
    <n v="0.70588235294117652"/>
    <n v="0.17647058823529413"/>
    <n v="0.41176470588235292"/>
  </r>
  <r>
    <n v="44"/>
    <s v="Yes"/>
    <s v="Travel_Frequently"/>
    <n v="920"/>
    <s v="Research &amp; Development"/>
    <n v="24"/>
    <n v="3"/>
    <s v="Life Sciences"/>
    <n v="1"/>
    <n v="392"/>
    <n v="4"/>
    <s v="Male"/>
    <n v="43"/>
    <n v="3"/>
    <n v="1"/>
    <x v="2"/>
    <n v="3"/>
    <s v="Divorced"/>
    <n v="3161"/>
    <n v="19920"/>
    <n v="3"/>
    <s v="Y"/>
    <s v="Yes"/>
    <n v="22"/>
    <n v="4"/>
    <n v="4"/>
    <n v="80"/>
    <n v="1"/>
    <n v="19"/>
    <n v="0"/>
    <n v="1"/>
    <n v="1"/>
    <n v="0"/>
    <x v="0"/>
    <n v="0"/>
    <s v="OK"/>
    <s v="OK"/>
    <s v="OK"/>
    <s v="OK"/>
    <n v="0"/>
    <n v="0"/>
    <n v="0"/>
    <n v="0"/>
  </r>
  <r>
    <n v="38"/>
    <s v="No"/>
    <s v="Travel_Rarely"/>
    <n v="688"/>
    <s v="Research &amp; Development"/>
    <n v="23"/>
    <n v="4"/>
    <s v="Life Sciences"/>
    <n v="1"/>
    <n v="393"/>
    <n v="4"/>
    <s v="Male"/>
    <n v="82"/>
    <n v="3"/>
    <n v="2"/>
    <x v="4"/>
    <n v="4"/>
    <s v="Divorced"/>
    <n v="5745"/>
    <n v="18899"/>
    <n v="9"/>
    <s v="Y"/>
    <s v="No"/>
    <n v="14"/>
    <n v="3"/>
    <n v="2"/>
    <n v="80"/>
    <n v="1"/>
    <n v="10"/>
    <n v="2"/>
    <n v="3"/>
    <n v="2"/>
    <n v="2"/>
    <x v="1"/>
    <n v="2"/>
    <s v="OK"/>
    <s v="OK"/>
    <s v="OK"/>
    <s v="OK"/>
    <n v="0.5"/>
    <n v="1"/>
    <n v="1"/>
    <n v="1"/>
  </r>
  <r>
    <n v="26"/>
    <s v="Yes"/>
    <s v="Travel_Rarely"/>
    <n v="1449"/>
    <s v="Research &amp; Development"/>
    <n v="16"/>
    <n v="4"/>
    <s v="Medical"/>
    <n v="1"/>
    <n v="394"/>
    <n v="1"/>
    <s v="Male"/>
    <n v="45"/>
    <n v="3"/>
    <n v="1"/>
    <x v="2"/>
    <n v="2"/>
    <s v="Divorced"/>
    <n v="2373"/>
    <n v="14180"/>
    <n v="2"/>
    <s v="Y"/>
    <s v="Yes"/>
    <n v="13"/>
    <n v="3"/>
    <n v="4"/>
    <n v="80"/>
    <n v="1"/>
    <n v="5"/>
    <n v="2"/>
    <n v="3"/>
    <n v="3"/>
    <n v="2"/>
    <x v="0"/>
    <n v="2"/>
    <s v="OK"/>
    <s v="OK"/>
    <s v="OK"/>
    <s v="OK"/>
    <n v="0"/>
    <n v="0.66666666666666663"/>
    <n v="0.66666666666666663"/>
    <n v="0.66666666666666663"/>
  </r>
  <r>
    <n v="28"/>
    <s v="No"/>
    <s v="Travel_Rarely"/>
    <n v="1117"/>
    <s v="Research &amp; Development"/>
    <n v="8"/>
    <n v="2"/>
    <s v="Life Sciences"/>
    <n v="1"/>
    <n v="395"/>
    <n v="4"/>
    <s v="Female"/>
    <n v="66"/>
    <n v="3"/>
    <n v="1"/>
    <x v="1"/>
    <n v="4"/>
    <s v="Single"/>
    <n v="3310"/>
    <n v="4488"/>
    <n v="1"/>
    <s v="Y"/>
    <s v="No"/>
    <n v="21"/>
    <n v="4"/>
    <n v="4"/>
    <n v="80"/>
    <n v="0"/>
    <n v="5"/>
    <n v="3"/>
    <n v="3"/>
    <n v="5"/>
    <n v="3"/>
    <x v="0"/>
    <n v="2"/>
    <s v="OK"/>
    <s v="OK"/>
    <s v="OK"/>
    <s v="OK"/>
    <n v="0"/>
    <n v="0.6"/>
    <n v="0.6"/>
    <n v="0.4"/>
  </r>
  <r>
    <n v="49"/>
    <s v="No"/>
    <s v="Travel_Frequently"/>
    <n v="636"/>
    <s v="Research &amp; Development"/>
    <n v="10"/>
    <n v="4"/>
    <s v="Life Sciences"/>
    <n v="1"/>
    <n v="396"/>
    <n v="3"/>
    <s v="Female"/>
    <n v="35"/>
    <n v="3"/>
    <n v="5"/>
    <x v="7"/>
    <n v="1"/>
    <s v="Single"/>
    <n v="18665"/>
    <n v="25594"/>
    <n v="9"/>
    <s v="Y"/>
    <s v="Yes"/>
    <n v="11"/>
    <n v="3"/>
    <n v="4"/>
    <n v="80"/>
    <n v="0"/>
    <n v="22"/>
    <n v="4"/>
    <n v="3"/>
    <n v="3"/>
    <n v="2"/>
    <x v="1"/>
    <n v="2"/>
    <s v="OK"/>
    <s v="OK"/>
    <s v="OK"/>
    <s v="OK"/>
    <n v="0.33333333333333331"/>
    <n v="0.66666666666666663"/>
    <n v="1.3333333333333333"/>
    <n v="0.66666666666666663"/>
  </r>
  <r>
    <n v="36"/>
    <s v="No"/>
    <s v="Travel_Rarely"/>
    <n v="506"/>
    <s v="Research &amp; Development"/>
    <n v="3"/>
    <n v="3"/>
    <s v="Technical Degree"/>
    <n v="1"/>
    <n v="397"/>
    <n v="3"/>
    <s v="Male"/>
    <n v="30"/>
    <n v="3"/>
    <n v="2"/>
    <x v="1"/>
    <n v="2"/>
    <s v="Single"/>
    <n v="4485"/>
    <n v="26285"/>
    <n v="4"/>
    <s v="Y"/>
    <s v="No"/>
    <n v="12"/>
    <n v="3"/>
    <n v="4"/>
    <n v="80"/>
    <n v="0"/>
    <n v="10"/>
    <n v="2"/>
    <n v="3"/>
    <n v="8"/>
    <n v="0"/>
    <x v="4"/>
    <n v="7"/>
    <s v="OK"/>
    <s v="OK"/>
    <s v="OK"/>
    <s v="OK"/>
    <n v="0.875"/>
    <n v="0"/>
    <n v="0.25"/>
    <n v="0.875"/>
  </r>
  <r>
    <n v="31"/>
    <s v="No"/>
    <s v="Travel_Frequently"/>
    <n v="444"/>
    <s v="Sales"/>
    <n v="5"/>
    <n v="3"/>
    <s v="Marketing"/>
    <n v="1"/>
    <n v="399"/>
    <n v="4"/>
    <s v="Female"/>
    <n v="84"/>
    <n v="3"/>
    <n v="1"/>
    <x v="6"/>
    <n v="2"/>
    <s v="Divorced"/>
    <n v="2789"/>
    <n v="3909"/>
    <n v="1"/>
    <s v="Y"/>
    <s v="No"/>
    <n v="11"/>
    <n v="3"/>
    <n v="3"/>
    <n v="80"/>
    <n v="1"/>
    <n v="2"/>
    <n v="5"/>
    <n v="2"/>
    <n v="2"/>
    <n v="2"/>
    <x v="3"/>
    <n v="2"/>
    <s v="OK"/>
    <s v="OK"/>
    <s v="OK"/>
    <s v="OK"/>
    <n v="1"/>
    <n v="1"/>
    <n v="2.5"/>
    <n v="1"/>
  </r>
  <r>
    <n v="26"/>
    <s v="Yes"/>
    <s v="Travel_Rarely"/>
    <n v="950"/>
    <s v="Sales"/>
    <n v="4"/>
    <n v="4"/>
    <s v="Marketing"/>
    <n v="1"/>
    <n v="401"/>
    <n v="4"/>
    <s v="Male"/>
    <n v="48"/>
    <n v="2"/>
    <n v="2"/>
    <x v="0"/>
    <n v="4"/>
    <s v="Single"/>
    <n v="5828"/>
    <n v="8450"/>
    <n v="1"/>
    <s v="Y"/>
    <s v="Yes"/>
    <n v="12"/>
    <n v="3"/>
    <n v="2"/>
    <n v="80"/>
    <n v="0"/>
    <n v="8"/>
    <n v="0"/>
    <n v="3"/>
    <n v="8"/>
    <n v="7"/>
    <x v="4"/>
    <n v="4"/>
    <s v="OK"/>
    <s v="OK"/>
    <s v="OK"/>
    <s v="OK"/>
    <n v="0.875"/>
    <n v="0.875"/>
    <n v="0"/>
    <n v="0.5"/>
  </r>
  <r>
    <n v="37"/>
    <s v="No"/>
    <s v="Travel_Frequently"/>
    <n v="889"/>
    <s v="Research &amp; Development"/>
    <n v="9"/>
    <n v="3"/>
    <s v="Medical"/>
    <n v="1"/>
    <n v="403"/>
    <n v="2"/>
    <s v="Male"/>
    <n v="53"/>
    <n v="3"/>
    <n v="1"/>
    <x v="1"/>
    <n v="4"/>
    <s v="Married"/>
    <n v="2326"/>
    <n v="11411"/>
    <n v="1"/>
    <s v="Y"/>
    <s v="Yes"/>
    <n v="12"/>
    <n v="3"/>
    <n v="3"/>
    <n v="80"/>
    <n v="3"/>
    <n v="4"/>
    <n v="3"/>
    <n v="2"/>
    <n v="4"/>
    <n v="2"/>
    <x v="1"/>
    <n v="2"/>
    <s v="OK"/>
    <s v="OK"/>
    <s v="OK"/>
    <s v="OK"/>
    <n v="0.25"/>
    <n v="0.5"/>
    <n v="0.75"/>
    <n v="0.5"/>
  </r>
  <r>
    <n v="42"/>
    <s v="No"/>
    <s v="Travel_Frequently"/>
    <n v="555"/>
    <s v="Sales"/>
    <n v="26"/>
    <n v="3"/>
    <s v="Marketing"/>
    <n v="1"/>
    <n v="404"/>
    <n v="3"/>
    <s v="Female"/>
    <n v="77"/>
    <n v="3"/>
    <n v="4"/>
    <x v="0"/>
    <n v="2"/>
    <s v="Married"/>
    <n v="13525"/>
    <n v="14864"/>
    <n v="5"/>
    <s v="Y"/>
    <s v="No"/>
    <n v="14"/>
    <n v="3"/>
    <n v="4"/>
    <n v="80"/>
    <n v="1"/>
    <n v="23"/>
    <n v="2"/>
    <n v="4"/>
    <n v="20"/>
    <n v="4"/>
    <x v="5"/>
    <n v="8"/>
    <s v="OK"/>
    <s v="OK"/>
    <s v="OK"/>
    <s v="OK"/>
    <n v="0.2"/>
    <n v="0.2"/>
    <n v="0.1"/>
    <n v="0.4"/>
  </r>
  <r>
    <n v="18"/>
    <s v="Yes"/>
    <s v="Travel_Rarely"/>
    <n v="230"/>
    <s v="Research &amp; Development"/>
    <n v="3"/>
    <n v="3"/>
    <s v="Life Sciences"/>
    <n v="1"/>
    <n v="405"/>
    <n v="3"/>
    <s v="Male"/>
    <n v="54"/>
    <n v="3"/>
    <n v="1"/>
    <x v="2"/>
    <n v="3"/>
    <s v="Single"/>
    <n v="1420"/>
    <n v="25233"/>
    <n v="1"/>
    <s v="Y"/>
    <s v="No"/>
    <n v="13"/>
    <n v="3"/>
    <n v="3"/>
    <n v="80"/>
    <n v="0"/>
    <n v="0"/>
    <n v="2"/>
    <n v="3"/>
    <n v="0"/>
    <n v="0"/>
    <x v="0"/>
    <n v="0"/>
    <s v="OK"/>
    <s v="OK"/>
    <s v="OK"/>
    <s v="OK"/>
    <n v="0"/>
    <n v="0"/>
    <n v="0"/>
    <n v="0"/>
  </r>
  <r>
    <n v="35"/>
    <s v="No"/>
    <s v="Travel_Rarely"/>
    <n v="1232"/>
    <s v="Sales"/>
    <n v="16"/>
    <n v="3"/>
    <s v="Marketing"/>
    <n v="1"/>
    <n v="406"/>
    <n v="3"/>
    <s v="Male"/>
    <n v="96"/>
    <n v="3"/>
    <n v="3"/>
    <x v="0"/>
    <n v="2"/>
    <s v="Married"/>
    <n v="8020"/>
    <n v="5100"/>
    <n v="0"/>
    <s v="Y"/>
    <s v="No"/>
    <n v="15"/>
    <n v="3"/>
    <n v="3"/>
    <n v="80"/>
    <n v="2"/>
    <n v="12"/>
    <n v="3"/>
    <n v="2"/>
    <n v="11"/>
    <n v="9"/>
    <x v="7"/>
    <n v="9"/>
    <s v="OK"/>
    <s v="OK"/>
    <s v="OK"/>
    <s v="OK"/>
    <n v="0.54545454545454541"/>
    <n v="0.81818181818181823"/>
    <n v="0.27272727272727271"/>
    <n v="0.81818181818181823"/>
  </r>
  <r>
    <n v="36"/>
    <s v="No"/>
    <s v="Travel_Frequently"/>
    <n v="566"/>
    <s v="Research &amp; Development"/>
    <n v="18"/>
    <n v="4"/>
    <s v="Life Sciences"/>
    <n v="1"/>
    <n v="407"/>
    <n v="3"/>
    <s v="Male"/>
    <n v="81"/>
    <n v="4"/>
    <n v="1"/>
    <x v="2"/>
    <n v="4"/>
    <s v="Married"/>
    <n v="3688"/>
    <n v="7122"/>
    <n v="4"/>
    <s v="Y"/>
    <s v="No"/>
    <n v="18"/>
    <n v="3"/>
    <n v="4"/>
    <n v="80"/>
    <n v="2"/>
    <n v="4"/>
    <n v="2"/>
    <n v="3"/>
    <n v="1"/>
    <n v="0"/>
    <x v="0"/>
    <n v="0"/>
    <s v="OK"/>
    <s v="OK"/>
    <s v="OK"/>
    <s v="OK"/>
    <n v="0"/>
    <n v="0"/>
    <n v="2"/>
    <n v="0"/>
  </r>
  <r>
    <n v="51"/>
    <s v="No"/>
    <s v="Travel_Rarely"/>
    <n v="1302"/>
    <s v="Research &amp; Development"/>
    <n v="2"/>
    <n v="3"/>
    <s v="Medical"/>
    <n v="1"/>
    <n v="408"/>
    <n v="4"/>
    <s v="Male"/>
    <n v="84"/>
    <n v="1"/>
    <n v="2"/>
    <x v="3"/>
    <n v="2"/>
    <s v="Divorced"/>
    <n v="5482"/>
    <n v="16321"/>
    <n v="5"/>
    <s v="Y"/>
    <s v="No"/>
    <n v="18"/>
    <n v="3"/>
    <n v="4"/>
    <n v="80"/>
    <n v="1"/>
    <n v="13"/>
    <n v="3"/>
    <n v="3"/>
    <n v="4"/>
    <n v="1"/>
    <x v="1"/>
    <n v="2"/>
    <s v="OK"/>
    <s v="OK"/>
    <s v="OK"/>
    <s v="OK"/>
    <n v="0.25"/>
    <n v="0.25"/>
    <n v="0.75"/>
    <n v="0.5"/>
  </r>
  <r>
    <n v="41"/>
    <s v="No"/>
    <s v="Travel_Rarely"/>
    <n v="334"/>
    <s v="Sales"/>
    <n v="2"/>
    <n v="4"/>
    <s v="Life Sciences"/>
    <n v="1"/>
    <n v="410"/>
    <n v="4"/>
    <s v="Male"/>
    <n v="88"/>
    <n v="3"/>
    <n v="4"/>
    <x v="5"/>
    <n v="2"/>
    <s v="Single"/>
    <n v="16015"/>
    <n v="15896"/>
    <n v="1"/>
    <s v="Y"/>
    <s v="No"/>
    <n v="19"/>
    <n v="3"/>
    <n v="2"/>
    <n v="80"/>
    <n v="0"/>
    <n v="22"/>
    <n v="2"/>
    <n v="3"/>
    <n v="22"/>
    <n v="10"/>
    <x v="0"/>
    <n v="4"/>
    <s v="OK"/>
    <s v="OK"/>
    <s v="OK"/>
    <s v="OK"/>
    <n v="0"/>
    <n v="0.45454545454545453"/>
    <n v="9.0909090909090912E-2"/>
    <n v="0.18181818181818182"/>
  </r>
  <r>
    <n v="18"/>
    <s v="No"/>
    <s v="Travel_Rarely"/>
    <n v="812"/>
    <s v="Sales"/>
    <n v="10"/>
    <n v="3"/>
    <s v="Medical"/>
    <n v="1"/>
    <n v="411"/>
    <n v="4"/>
    <s v="Female"/>
    <n v="69"/>
    <n v="2"/>
    <n v="1"/>
    <x v="6"/>
    <n v="3"/>
    <s v="Single"/>
    <n v="1200"/>
    <n v="9724"/>
    <n v="1"/>
    <s v="Y"/>
    <s v="No"/>
    <n v="12"/>
    <n v="3"/>
    <n v="1"/>
    <n v="80"/>
    <n v="0"/>
    <n v="0"/>
    <n v="2"/>
    <n v="3"/>
    <n v="0"/>
    <n v="0"/>
    <x v="0"/>
    <n v="0"/>
    <s v="OK"/>
    <s v="OK"/>
    <s v="OK"/>
    <s v="OK"/>
    <n v="0"/>
    <n v="0"/>
    <n v="0"/>
    <n v="0"/>
  </r>
  <r>
    <n v="28"/>
    <s v="No"/>
    <s v="Travel_Rarely"/>
    <n v="1476"/>
    <s v="Research &amp; Development"/>
    <n v="16"/>
    <n v="2"/>
    <s v="Medical"/>
    <n v="1"/>
    <n v="412"/>
    <n v="2"/>
    <s v="Male"/>
    <n v="68"/>
    <n v="4"/>
    <n v="2"/>
    <x v="4"/>
    <n v="1"/>
    <s v="Single"/>
    <n v="5661"/>
    <n v="4824"/>
    <n v="0"/>
    <s v="Y"/>
    <s v="No"/>
    <n v="19"/>
    <n v="3"/>
    <n v="3"/>
    <n v="80"/>
    <n v="0"/>
    <n v="9"/>
    <n v="2"/>
    <n v="3"/>
    <n v="8"/>
    <n v="3"/>
    <x v="0"/>
    <n v="7"/>
    <s v="OK"/>
    <s v="OK"/>
    <s v="OK"/>
    <s v="OK"/>
    <n v="0"/>
    <n v="0.375"/>
    <n v="0.25"/>
    <n v="0.875"/>
  </r>
  <r>
    <n v="31"/>
    <s v="No"/>
    <s v="Travel_Rarely"/>
    <n v="218"/>
    <s v="Sales"/>
    <n v="7"/>
    <n v="3"/>
    <s v="Technical Degree"/>
    <n v="1"/>
    <n v="416"/>
    <n v="2"/>
    <s v="Male"/>
    <n v="100"/>
    <n v="4"/>
    <n v="2"/>
    <x v="0"/>
    <n v="4"/>
    <s v="Married"/>
    <n v="6929"/>
    <n v="12241"/>
    <n v="4"/>
    <s v="Y"/>
    <s v="No"/>
    <n v="11"/>
    <n v="3"/>
    <n v="2"/>
    <n v="80"/>
    <n v="1"/>
    <n v="10"/>
    <n v="3"/>
    <n v="2"/>
    <n v="8"/>
    <n v="7"/>
    <x v="4"/>
    <n v="7"/>
    <s v="OK"/>
    <s v="OK"/>
    <s v="OK"/>
    <s v="OK"/>
    <n v="0.875"/>
    <n v="0.875"/>
    <n v="0.375"/>
    <n v="0.875"/>
  </r>
  <r>
    <n v="39"/>
    <s v="No"/>
    <s v="Travel_Rarely"/>
    <n v="1132"/>
    <s v="Research &amp; Development"/>
    <n v="1"/>
    <n v="3"/>
    <s v="Medical"/>
    <n v="1"/>
    <n v="417"/>
    <n v="3"/>
    <s v="Male"/>
    <n v="48"/>
    <n v="4"/>
    <n v="3"/>
    <x v="4"/>
    <n v="4"/>
    <s v="Divorced"/>
    <n v="9613"/>
    <n v="10942"/>
    <n v="0"/>
    <s v="Y"/>
    <s v="No"/>
    <n v="17"/>
    <n v="3"/>
    <n v="1"/>
    <n v="80"/>
    <n v="3"/>
    <n v="19"/>
    <n v="5"/>
    <n v="2"/>
    <n v="18"/>
    <n v="10"/>
    <x v="2"/>
    <n v="7"/>
    <s v="OK"/>
    <s v="OK"/>
    <s v="OK"/>
    <s v="OK"/>
    <n v="0.16666666666666666"/>
    <n v="0.55555555555555558"/>
    <n v="0.27777777777777779"/>
    <n v="0.3888888888888889"/>
  </r>
  <r>
    <n v="36"/>
    <s v="No"/>
    <s v="Non-Travel"/>
    <n v="1105"/>
    <s v="Research &amp; Development"/>
    <n v="24"/>
    <n v="4"/>
    <s v="Life Sciences"/>
    <n v="1"/>
    <n v="419"/>
    <n v="2"/>
    <s v="Female"/>
    <n v="47"/>
    <n v="3"/>
    <n v="2"/>
    <x v="2"/>
    <n v="2"/>
    <s v="Married"/>
    <n v="5674"/>
    <n v="6927"/>
    <n v="7"/>
    <s v="Y"/>
    <s v="No"/>
    <n v="15"/>
    <n v="3"/>
    <n v="3"/>
    <n v="80"/>
    <n v="1"/>
    <n v="11"/>
    <n v="3"/>
    <n v="3"/>
    <n v="9"/>
    <n v="8"/>
    <x v="0"/>
    <n v="8"/>
    <s v="OK"/>
    <s v="OK"/>
    <s v="OK"/>
    <s v="OK"/>
    <n v="0"/>
    <n v="0.88888888888888884"/>
    <n v="0.33333333333333331"/>
    <n v="0.88888888888888884"/>
  </r>
  <r>
    <n v="32"/>
    <s v="No"/>
    <s v="Travel_Rarely"/>
    <n v="906"/>
    <s v="Sales"/>
    <n v="7"/>
    <n v="3"/>
    <s v="Life Sciences"/>
    <n v="1"/>
    <n v="420"/>
    <n v="4"/>
    <s v="Male"/>
    <n v="91"/>
    <n v="2"/>
    <n v="2"/>
    <x v="0"/>
    <n v="3"/>
    <s v="Married"/>
    <n v="5484"/>
    <n v="16985"/>
    <n v="1"/>
    <s v="Y"/>
    <s v="No"/>
    <n v="14"/>
    <n v="3"/>
    <n v="3"/>
    <n v="80"/>
    <n v="1"/>
    <n v="13"/>
    <n v="3"/>
    <n v="2"/>
    <n v="13"/>
    <n v="8"/>
    <x v="5"/>
    <n v="8"/>
    <s v="OK"/>
    <s v="OK"/>
    <s v="OK"/>
    <s v="OK"/>
    <n v="0.30769230769230771"/>
    <n v="0.61538461538461542"/>
    <n v="0.23076923076923078"/>
    <n v="0.61538461538461542"/>
  </r>
  <r>
    <n v="38"/>
    <s v="No"/>
    <s v="Travel_Rarely"/>
    <n v="849"/>
    <s v="Research &amp; Development"/>
    <n v="25"/>
    <n v="2"/>
    <s v="Life Sciences"/>
    <n v="1"/>
    <n v="421"/>
    <n v="1"/>
    <s v="Female"/>
    <n v="81"/>
    <n v="2"/>
    <n v="3"/>
    <x v="7"/>
    <n v="2"/>
    <s v="Married"/>
    <n v="12061"/>
    <n v="26707"/>
    <n v="3"/>
    <s v="Y"/>
    <s v="No"/>
    <n v="17"/>
    <n v="3"/>
    <n v="3"/>
    <n v="80"/>
    <n v="1"/>
    <n v="19"/>
    <n v="2"/>
    <n v="3"/>
    <n v="10"/>
    <n v="8"/>
    <x v="0"/>
    <n v="1"/>
    <s v="OK"/>
    <s v="OK"/>
    <s v="OK"/>
    <s v="OK"/>
    <n v="0"/>
    <n v="0.8"/>
    <n v="0.2"/>
    <n v="0.1"/>
  </r>
  <r>
    <n v="58"/>
    <s v="No"/>
    <s v="Non-Travel"/>
    <n v="390"/>
    <s v="Research &amp; Development"/>
    <n v="1"/>
    <n v="4"/>
    <s v="Life Sciences"/>
    <n v="1"/>
    <n v="422"/>
    <n v="4"/>
    <s v="Male"/>
    <n v="32"/>
    <n v="1"/>
    <n v="2"/>
    <x v="4"/>
    <n v="3"/>
    <s v="Divorced"/>
    <n v="5660"/>
    <n v="17056"/>
    <n v="2"/>
    <s v="Y"/>
    <s v="Yes"/>
    <n v="13"/>
    <n v="3"/>
    <n v="4"/>
    <n v="80"/>
    <n v="1"/>
    <n v="12"/>
    <n v="2"/>
    <n v="3"/>
    <n v="5"/>
    <n v="3"/>
    <x v="1"/>
    <n v="2"/>
    <s v="OK"/>
    <s v="OK"/>
    <s v="OK"/>
    <s v="OK"/>
    <n v="0.2"/>
    <n v="0.6"/>
    <n v="0.4"/>
    <n v="0.4"/>
  </r>
  <r>
    <n v="31"/>
    <s v="No"/>
    <s v="Travel_Rarely"/>
    <n v="691"/>
    <s v="Research &amp; Development"/>
    <n v="5"/>
    <n v="4"/>
    <s v="Technical Degree"/>
    <n v="1"/>
    <n v="423"/>
    <n v="3"/>
    <s v="Male"/>
    <n v="86"/>
    <n v="3"/>
    <n v="1"/>
    <x v="1"/>
    <n v="4"/>
    <s v="Married"/>
    <n v="4821"/>
    <n v="10077"/>
    <n v="0"/>
    <s v="Y"/>
    <s v="Yes"/>
    <n v="12"/>
    <n v="3"/>
    <n v="3"/>
    <n v="80"/>
    <n v="1"/>
    <n v="6"/>
    <n v="4"/>
    <n v="3"/>
    <n v="5"/>
    <n v="2"/>
    <x v="0"/>
    <n v="3"/>
    <s v="OK"/>
    <s v="OK"/>
    <s v="OK"/>
    <s v="OK"/>
    <n v="0"/>
    <n v="0.4"/>
    <n v="0.8"/>
    <n v="0.6"/>
  </r>
  <r>
    <n v="31"/>
    <s v="No"/>
    <s v="Travel_Rarely"/>
    <n v="106"/>
    <s v="Human Resources"/>
    <n v="2"/>
    <n v="3"/>
    <s v="Human Resources"/>
    <n v="1"/>
    <n v="424"/>
    <n v="1"/>
    <s v="Male"/>
    <n v="62"/>
    <n v="2"/>
    <n v="2"/>
    <x v="8"/>
    <n v="1"/>
    <s v="Married"/>
    <n v="6410"/>
    <n v="17822"/>
    <n v="3"/>
    <s v="Y"/>
    <s v="No"/>
    <n v="12"/>
    <n v="3"/>
    <n v="4"/>
    <n v="80"/>
    <n v="0"/>
    <n v="9"/>
    <n v="1"/>
    <n v="3"/>
    <n v="2"/>
    <n v="2"/>
    <x v="1"/>
    <n v="0"/>
    <s v="OK"/>
    <s v="OK"/>
    <s v="OK"/>
    <s v="OK"/>
    <n v="0.5"/>
    <n v="1"/>
    <n v="0.5"/>
    <n v="0"/>
  </r>
  <r>
    <n v="45"/>
    <s v="No"/>
    <s v="Travel_Frequently"/>
    <n v="1249"/>
    <s v="Research &amp; Development"/>
    <n v="7"/>
    <n v="3"/>
    <s v="Life Sciences"/>
    <n v="1"/>
    <n v="425"/>
    <n v="1"/>
    <s v="Male"/>
    <n v="97"/>
    <n v="3"/>
    <n v="3"/>
    <x v="2"/>
    <n v="1"/>
    <s v="Divorced"/>
    <n v="5210"/>
    <n v="20308"/>
    <n v="1"/>
    <s v="Y"/>
    <s v="No"/>
    <n v="18"/>
    <n v="3"/>
    <n v="1"/>
    <n v="80"/>
    <n v="1"/>
    <n v="24"/>
    <n v="2"/>
    <n v="3"/>
    <n v="24"/>
    <n v="9"/>
    <x v="10"/>
    <n v="11"/>
    <s v="OK"/>
    <s v="OK"/>
    <s v="OK"/>
    <s v="OK"/>
    <n v="0.375"/>
    <n v="0.375"/>
    <n v="8.3333333333333329E-2"/>
    <n v="0.45833333333333331"/>
  </r>
  <r>
    <n v="31"/>
    <s v="No"/>
    <s v="Travel_Rarely"/>
    <n v="192"/>
    <s v="Research &amp; Development"/>
    <n v="2"/>
    <n v="4"/>
    <s v="Life Sciences"/>
    <n v="1"/>
    <n v="426"/>
    <n v="3"/>
    <s v="Male"/>
    <n v="32"/>
    <n v="3"/>
    <n v="1"/>
    <x v="1"/>
    <n v="4"/>
    <s v="Divorced"/>
    <n v="2695"/>
    <n v="7747"/>
    <n v="0"/>
    <s v="Y"/>
    <s v="Yes"/>
    <n v="18"/>
    <n v="3"/>
    <n v="2"/>
    <n v="80"/>
    <n v="1"/>
    <n v="3"/>
    <n v="2"/>
    <n v="1"/>
    <n v="2"/>
    <n v="2"/>
    <x v="3"/>
    <n v="2"/>
    <s v="OK"/>
    <s v="OK"/>
    <s v="OK"/>
    <s v="OK"/>
    <n v="1"/>
    <n v="1"/>
    <n v="1"/>
    <n v="1"/>
  </r>
  <r>
    <n v="33"/>
    <s v="No"/>
    <s v="Travel_Frequently"/>
    <n v="553"/>
    <s v="Research &amp; Development"/>
    <n v="5"/>
    <n v="4"/>
    <s v="Life Sciences"/>
    <n v="1"/>
    <n v="428"/>
    <n v="4"/>
    <s v="Female"/>
    <n v="74"/>
    <n v="3"/>
    <n v="3"/>
    <x v="5"/>
    <n v="2"/>
    <s v="Married"/>
    <n v="11878"/>
    <n v="23364"/>
    <n v="6"/>
    <s v="Y"/>
    <s v="No"/>
    <n v="11"/>
    <n v="3"/>
    <n v="2"/>
    <n v="80"/>
    <n v="2"/>
    <n v="12"/>
    <n v="2"/>
    <n v="3"/>
    <n v="10"/>
    <n v="6"/>
    <x v="6"/>
    <n v="8"/>
    <s v="OK"/>
    <s v="OK"/>
    <s v="OK"/>
    <s v="OK"/>
    <n v="0.8"/>
    <n v="0.6"/>
    <n v="0.2"/>
    <n v="0.8"/>
  </r>
  <r>
    <n v="39"/>
    <s v="No"/>
    <s v="Travel_Rarely"/>
    <n v="117"/>
    <s v="Research &amp; Development"/>
    <n v="10"/>
    <n v="1"/>
    <s v="Medical"/>
    <n v="1"/>
    <n v="429"/>
    <n v="3"/>
    <s v="Male"/>
    <n v="99"/>
    <n v="3"/>
    <n v="4"/>
    <x v="5"/>
    <n v="1"/>
    <s v="Married"/>
    <n v="17068"/>
    <n v="5355"/>
    <n v="1"/>
    <s v="Y"/>
    <s v="Yes"/>
    <n v="14"/>
    <n v="3"/>
    <n v="4"/>
    <n v="80"/>
    <n v="0"/>
    <n v="21"/>
    <n v="3"/>
    <n v="3"/>
    <n v="21"/>
    <n v="9"/>
    <x v="14"/>
    <n v="10"/>
    <s v="OK"/>
    <s v="OK"/>
    <s v="OK"/>
    <s v="OK"/>
    <n v="0.52380952380952384"/>
    <n v="0.42857142857142855"/>
    <n v="0.14285714285714285"/>
    <n v="0.47619047619047616"/>
  </r>
  <r>
    <n v="43"/>
    <s v="No"/>
    <s v="Travel_Frequently"/>
    <n v="185"/>
    <s v="Research &amp; Development"/>
    <n v="10"/>
    <n v="4"/>
    <s v="Life Sciences"/>
    <n v="1"/>
    <n v="430"/>
    <n v="3"/>
    <s v="Female"/>
    <n v="33"/>
    <n v="3"/>
    <n v="1"/>
    <x v="2"/>
    <n v="4"/>
    <s v="Single"/>
    <n v="2455"/>
    <n v="10675"/>
    <n v="0"/>
    <s v="Y"/>
    <s v="No"/>
    <n v="19"/>
    <n v="3"/>
    <n v="1"/>
    <n v="80"/>
    <n v="0"/>
    <n v="9"/>
    <n v="5"/>
    <n v="3"/>
    <n v="8"/>
    <n v="7"/>
    <x v="1"/>
    <n v="7"/>
    <s v="OK"/>
    <s v="OK"/>
    <s v="OK"/>
    <s v="OK"/>
    <n v="0.125"/>
    <n v="0.875"/>
    <n v="0.625"/>
    <n v="0.875"/>
  </r>
  <r>
    <n v="49"/>
    <s v="No"/>
    <s v="Travel_Rarely"/>
    <n v="1091"/>
    <s v="Research &amp; Development"/>
    <n v="1"/>
    <n v="2"/>
    <s v="Technical Degree"/>
    <n v="1"/>
    <n v="431"/>
    <n v="3"/>
    <s v="Female"/>
    <n v="90"/>
    <n v="2"/>
    <n v="4"/>
    <x v="4"/>
    <n v="3"/>
    <s v="Single"/>
    <n v="13964"/>
    <n v="17810"/>
    <n v="7"/>
    <s v="Y"/>
    <s v="Yes"/>
    <n v="12"/>
    <n v="3"/>
    <n v="4"/>
    <n v="80"/>
    <n v="0"/>
    <n v="25"/>
    <n v="2"/>
    <n v="3"/>
    <n v="7"/>
    <n v="1"/>
    <x v="0"/>
    <n v="7"/>
    <s v="OK"/>
    <s v="OK"/>
    <s v="OK"/>
    <s v="OK"/>
    <n v="0"/>
    <n v="0.14285714285714285"/>
    <n v="0.2857142857142857"/>
    <n v="1"/>
  </r>
  <r>
    <n v="52"/>
    <s v="Yes"/>
    <s v="Travel_Rarely"/>
    <n v="723"/>
    <s v="Research &amp; Development"/>
    <n v="8"/>
    <n v="4"/>
    <s v="Medical"/>
    <n v="1"/>
    <n v="433"/>
    <n v="3"/>
    <s v="Male"/>
    <n v="85"/>
    <n v="2"/>
    <n v="2"/>
    <x v="1"/>
    <n v="2"/>
    <s v="Married"/>
    <n v="4941"/>
    <n v="17747"/>
    <n v="2"/>
    <s v="Y"/>
    <s v="No"/>
    <n v="15"/>
    <n v="3"/>
    <n v="1"/>
    <n v="80"/>
    <n v="0"/>
    <n v="11"/>
    <n v="3"/>
    <n v="2"/>
    <n v="8"/>
    <n v="2"/>
    <x v="4"/>
    <n v="7"/>
    <s v="OK"/>
    <s v="OK"/>
    <s v="OK"/>
    <s v="OK"/>
    <n v="0.875"/>
    <n v="0.25"/>
    <n v="0.375"/>
    <n v="0.875"/>
  </r>
  <r>
    <n v="27"/>
    <s v="No"/>
    <s v="Travel_Rarely"/>
    <n v="1220"/>
    <s v="Research &amp; Development"/>
    <n v="5"/>
    <n v="3"/>
    <s v="Life Sciences"/>
    <n v="1"/>
    <n v="434"/>
    <n v="3"/>
    <s v="Female"/>
    <n v="85"/>
    <n v="3"/>
    <n v="1"/>
    <x v="1"/>
    <n v="2"/>
    <s v="Single"/>
    <n v="2478"/>
    <n v="20938"/>
    <n v="1"/>
    <s v="Y"/>
    <s v="Yes"/>
    <n v="12"/>
    <n v="3"/>
    <n v="2"/>
    <n v="80"/>
    <n v="0"/>
    <n v="4"/>
    <n v="2"/>
    <n v="2"/>
    <n v="4"/>
    <n v="3"/>
    <x v="1"/>
    <n v="2"/>
    <s v="OK"/>
    <s v="OK"/>
    <s v="OK"/>
    <s v="OK"/>
    <n v="0.25"/>
    <n v="0.75"/>
    <n v="0.5"/>
    <n v="0.5"/>
  </r>
  <r>
    <n v="32"/>
    <s v="No"/>
    <s v="Travel_Rarely"/>
    <n v="588"/>
    <s v="Sales"/>
    <n v="8"/>
    <n v="2"/>
    <s v="Technical Degree"/>
    <n v="1"/>
    <n v="436"/>
    <n v="3"/>
    <s v="Female"/>
    <n v="65"/>
    <n v="2"/>
    <n v="2"/>
    <x v="0"/>
    <n v="2"/>
    <s v="Married"/>
    <n v="5228"/>
    <n v="24624"/>
    <n v="1"/>
    <s v="Y"/>
    <s v="Yes"/>
    <n v="11"/>
    <n v="3"/>
    <n v="4"/>
    <n v="80"/>
    <n v="0"/>
    <n v="13"/>
    <n v="2"/>
    <n v="3"/>
    <n v="13"/>
    <n v="12"/>
    <x v="14"/>
    <n v="9"/>
    <s v="OK"/>
    <s v="OK"/>
    <s v="OK"/>
    <s v="OK"/>
    <n v="0.84615384615384615"/>
    <n v="0.92307692307692313"/>
    <n v="0.15384615384615385"/>
    <n v="0.69230769230769229"/>
  </r>
  <r>
    <n v="27"/>
    <s v="No"/>
    <s v="Travel_Rarely"/>
    <n v="1377"/>
    <s v="Sales"/>
    <n v="2"/>
    <n v="3"/>
    <s v="Life Sciences"/>
    <n v="1"/>
    <n v="437"/>
    <n v="4"/>
    <s v="Male"/>
    <n v="74"/>
    <n v="3"/>
    <n v="2"/>
    <x v="0"/>
    <n v="3"/>
    <s v="Single"/>
    <n v="4478"/>
    <n v="5242"/>
    <n v="1"/>
    <s v="Y"/>
    <s v="Yes"/>
    <n v="11"/>
    <n v="3"/>
    <n v="1"/>
    <n v="80"/>
    <n v="0"/>
    <n v="5"/>
    <n v="3"/>
    <n v="3"/>
    <n v="5"/>
    <n v="4"/>
    <x v="0"/>
    <n v="4"/>
    <s v="OK"/>
    <s v="OK"/>
    <s v="OK"/>
    <s v="OK"/>
    <n v="0"/>
    <n v="0.8"/>
    <n v="0.6"/>
    <n v="0.8"/>
  </r>
  <r>
    <n v="31"/>
    <s v="No"/>
    <s v="Travel_Rarely"/>
    <n v="691"/>
    <s v="Sales"/>
    <n v="7"/>
    <n v="3"/>
    <s v="Marketing"/>
    <n v="1"/>
    <n v="438"/>
    <n v="4"/>
    <s v="Male"/>
    <n v="73"/>
    <n v="3"/>
    <n v="2"/>
    <x v="0"/>
    <n v="4"/>
    <s v="Divorced"/>
    <n v="7547"/>
    <n v="7143"/>
    <n v="4"/>
    <s v="Y"/>
    <s v="No"/>
    <n v="12"/>
    <n v="3"/>
    <n v="4"/>
    <n v="80"/>
    <n v="3"/>
    <n v="13"/>
    <n v="3"/>
    <n v="3"/>
    <n v="7"/>
    <n v="7"/>
    <x v="1"/>
    <n v="7"/>
    <s v="OK"/>
    <s v="OK"/>
    <s v="OK"/>
    <s v="OK"/>
    <n v="0.14285714285714285"/>
    <n v="1"/>
    <n v="0.42857142857142855"/>
    <n v="1"/>
  </r>
  <r>
    <n v="32"/>
    <s v="No"/>
    <s v="Travel_Rarely"/>
    <n v="1018"/>
    <s v="Research &amp; Development"/>
    <n v="2"/>
    <n v="4"/>
    <s v="Medical"/>
    <n v="1"/>
    <n v="439"/>
    <n v="1"/>
    <s v="Female"/>
    <n v="74"/>
    <n v="4"/>
    <n v="2"/>
    <x v="1"/>
    <n v="4"/>
    <s v="Single"/>
    <n v="5055"/>
    <n v="10557"/>
    <n v="7"/>
    <s v="Y"/>
    <s v="No"/>
    <n v="16"/>
    <n v="3"/>
    <n v="3"/>
    <n v="80"/>
    <n v="0"/>
    <n v="10"/>
    <n v="0"/>
    <n v="2"/>
    <n v="7"/>
    <n v="7"/>
    <x v="0"/>
    <n v="7"/>
    <s v="OK"/>
    <s v="OK"/>
    <s v="OK"/>
    <s v="OK"/>
    <n v="0"/>
    <n v="1"/>
    <n v="0"/>
    <n v="1"/>
  </r>
  <r>
    <n v="28"/>
    <s v="Yes"/>
    <s v="Travel_Rarely"/>
    <n v="1157"/>
    <s v="Research &amp; Development"/>
    <n v="2"/>
    <n v="4"/>
    <s v="Medical"/>
    <n v="1"/>
    <n v="440"/>
    <n v="1"/>
    <s v="Male"/>
    <n v="84"/>
    <n v="1"/>
    <n v="1"/>
    <x v="1"/>
    <n v="4"/>
    <s v="Married"/>
    <n v="3464"/>
    <n v="24737"/>
    <n v="5"/>
    <s v="Y"/>
    <s v="Yes"/>
    <n v="13"/>
    <n v="3"/>
    <n v="4"/>
    <n v="80"/>
    <n v="0"/>
    <n v="5"/>
    <n v="4"/>
    <n v="2"/>
    <n v="3"/>
    <n v="2"/>
    <x v="3"/>
    <n v="2"/>
    <s v="OK"/>
    <s v="OK"/>
    <s v="OK"/>
    <s v="OK"/>
    <n v="0.66666666666666663"/>
    <n v="0.66666666666666663"/>
    <n v="1.3333333333333333"/>
    <n v="0.66666666666666663"/>
  </r>
  <r>
    <n v="30"/>
    <s v="No"/>
    <s v="Travel_Rarely"/>
    <n v="1275"/>
    <s v="Research &amp; Development"/>
    <n v="28"/>
    <n v="2"/>
    <s v="Medical"/>
    <n v="1"/>
    <n v="441"/>
    <n v="4"/>
    <s v="Female"/>
    <n v="64"/>
    <n v="3"/>
    <n v="2"/>
    <x v="1"/>
    <n v="4"/>
    <s v="Married"/>
    <n v="5775"/>
    <n v="11934"/>
    <n v="1"/>
    <s v="Y"/>
    <s v="No"/>
    <n v="13"/>
    <n v="3"/>
    <n v="4"/>
    <n v="80"/>
    <n v="2"/>
    <n v="11"/>
    <n v="2"/>
    <n v="3"/>
    <n v="10"/>
    <n v="8"/>
    <x v="1"/>
    <n v="9"/>
    <s v="OK"/>
    <s v="OK"/>
    <s v="OK"/>
    <s v="OK"/>
    <n v="0.1"/>
    <n v="0.8"/>
    <n v="0.2"/>
    <n v="0.9"/>
  </r>
  <r>
    <n v="31"/>
    <s v="No"/>
    <s v="Travel_Frequently"/>
    <n v="798"/>
    <s v="Research &amp; Development"/>
    <n v="7"/>
    <n v="2"/>
    <s v="Life Sciences"/>
    <n v="1"/>
    <n v="442"/>
    <n v="3"/>
    <s v="Female"/>
    <n v="48"/>
    <n v="2"/>
    <n v="3"/>
    <x v="3"/>
    <n v="3"/>
    <s v="Married"/>
    <n v="8943"/>
    <n v="14034"/>
    <n v="1"/>
    <s v="Y"/>
    <s v="No"/>
    <n v="24"/>
    <n v="4"/>
    <n v="1"/>
    <n v="80"/>
    <n v="1"/>
    <n v="10"/>
    <n v="2"/>
    <n v="3"/>
    <n v="10"/>
    <n v="9"/>
    <x v="6"/>
    <n v="9"/>
    <s v="OK"/>
    <s v="OK"/>
    <s v="OK"/>
    <s v="OK"/>
    <n v="0.8"/>
    <n v="0.9"/>
    <n v="0.2"/>
    <n v="0.9"/>
  </r>
  <r>
    <n v="39"/>
    <s v="No"/>
    <s v="Travel_Frequently"/>
    <n v="672"/>
    <s v="Research &amp; Development"/>
    <n v="7"/>
    <n v="2"/>
    <s v="Medical"/>
    <n v="1"/>
    <n v="444"/>
    <n v="3"/>
    <s v="Male"/>
    <n v="54"/>
    <n v="2"/>
    <n v="5"/>
    <x v="5"/>
    <n v="4"/>
    <s v="Married"/>
    <n v="19272"/>
    <n v="21141"/>
    <n v="1"/>
    <s v="Y"/>
    <s v="No"/>
    <n v="15"/>
    <n v="3"/>
    <n v="1"/>
    <n v="80"/>
    <n v="1"/>
    <n v="21"/>
    <n v="2"/>
    <n v="3"/>
    <n v="21"/>
    <n v="9"/>
    <x v="11"/>
    <n v="3"/>
    <s v="OK"/>
    <s v="OK"/>
    <s v="OK"/>
    <s v="OK"/>
    <n v="0.61904761904761907"/>
    <n v="0.42857142857142855"/>
    <n v="9.5238095238095233E-2"/>
    <n v="0.14285714285714285"/>
  </r>
  <r>
    <n v="39"/>
    <s v="Yes"/>
    <s v="Travel_Rarely"/>
    <n v="1162"/>
    <s v="Sales"/>
    <n v="3"/>
    <n v="2"/>
    <s v="Medical"/>
    <n v="1"/>
    <n v="445"/>
    <n v="4"/>
    <s v="Female"/>
    <n v="41"/>
    <n v="3"/>
    <n v="2"/>
    <x v="0"/>
    <n v="3"/>
    <s v="Married"/>
    <n v="5238"/>
    <n v="17778"/>
    <n v="4"/>
    <s v="Y"/>
    <s v="Yes"/>
    <n v="18"/>
    <n v="3"/>
    <n v="1"/>
    <n v="80"/>
    <n v="0"/>
    <n v="12"/>
    <n v="3"/>
    <n v="2"/>
    <n v="1"/>
    <n v="0"/>
    <x v="0"/>
    <n v="0"/>
    <s v="OK"/>
    <s v="OK"/>
    <s v="OK"/>
    <s v="OK"/>
    <n v="0"/>
    <n v="0"/>
    <n v="3"/>
    <n v="0"/>
  </r>
  <r>
    <n v="33"/>
    <s v="No"/>
    <s v="Travel_Frequently"/>
    <n v="508"/>
    <s v="Sales"/>
    <n v="10"/>
    <n v="3"/>
    <s v="Marketing"/>
    <n v="1"/>
    <n v="446"/>
    <n v="2"/>
    <s v="Male"/>
    <n v="46"/>
    <n v="2"/>
    <n v="2"/>
    <x v="0"/>
    <n v="4"/>
    <s v="Single"/>
    <n v="4682"/>
    <n v="4317"/>
    <n v="3"/>
    <s v="Y"/>
    <s v="No"/>
    <n v="14"/>
    <n v="3"/>
    <n v="3"/>
    <n v="80"/>
    <n v="0"/>
    <n v="9"/>
    <n v="6"/>
    <n v="2"/>
    <n v="7"/>
    <n v="7"/>
    <x v="0"/>
    <n v="1"/>
    <s v="OK"/>
    <s v="OK"/>
    <s v="OK"/>
    <s v="OK"/>
    <n v="0"/>
    <n v="1"/>
    <n v="0.8571428571428571"/>
    <n v="0.14285714285714285"/>
  </r>
  <r>
    <n v="47"/>
    <s v="No"/>
    <s v="Travel_Rarely"/>
    <n v="1482"/>
    <s v="Research &amp; Development"/>
    <n v="5"/>
    <n v="5"/>
    <s v="Life Sciences"/>
    <n v="1"/>
    <n v="447"/>
    <n v="4"/>
    <s v="Male"/>
    <n v="42"/>
    <n v="3"/>
    <n v="5"/>
    <x v="7"/>
    <n v="3"/>
    <s v="Married"/>
    <n v="18300"/>
    <n v="16375"/>
    <n v="4"/>
    <s v="Y"/>
    <s v="No"/>
    <n v="11"/>
    <n v="3"/>
    <n v="2"/>
    <n v="80"/>
    <n v="1"/>
    <n v="21"/>
    <n v="2"/>
    <n v="3"/>
    <n v="3"/>
    <n v="2"/>
    <x v="1"/>
    <n v="1"/>
    <s v="OK"/>
    <s v="OK"/>
    <s v="OK"/>
    <s v="OK"/>
    <n v="0.33333333333333331"/>
    <n v="0.66666666666666663"/>
    <n v="0.66666666666666663"/>
    <n v="0.33333333333333331"/>
  </r>
  <r>
    <n v="43"/>
    <s v="No"/>
    <s v="Travel_Frequently"/>
    <n v="559"/>
    <s v="Research &amp; Development"/>
    <n v="10"/>
    <n v="4"/>
    <s v="Life Sciences"/>
    <n v="1"/>
    <n v="448"/>
    <n v="3"/>
    <s v="Female"/>
    <n v="82"/>
    <n v="2"/>
    <n v="2"/>
    <x v="2"/>
    <n v="3"/>
    <s v="Divorced"/>
    <n v="5257"/>
    <n v="6227"/>
    <n v="1"/>
    <s v="Y"/>
    <s v="No"/>
    <n v="11"/>
    <n v="3"/>
    <n v="2"/>
    <n v="80"/>
    <n v="1"/>
    <n v="9"/>
    <n v="3"/>
    <n v="4"/>
    <n v="9"/>
    <n v="7"/>
    <x v="0"/>
    <n v="0"/>
    <s v="OK"/>
    <s v="OK"/>
    <s v="OK"/>
    <s v="OK"/>
    <n v="0"/>
    <n v="0.77777777777777779"/>
    <n v="0.33333333333333331"/>
    <n v="0"/>
  </r>
  <r>
    <n v="27"/>
    <s v="No"/>
    <s v="Non-Travel"/>
    <n v="210"/>
    <s v="Sales"/>
    <n v="1"/>
    <n v="1"/>
    <s v="Marketing"/>
    <n v="1"/>
    <n v="449"/>
    <n v="3"/>
    <s v="Male"/>
    <n v="73"/>
    <n v="3"/>
    <n v="2"/>
    <x v="0"/>
    <n v="2"/>
    <s v="Married"/>
    <n v="6349"/>
    <n v="22107"/>
    <n v="0"/>
    <s v="Y"/>
    <s v="Yes"/>
    <n v="13"/>
    <n v="3"/>
    <n v="4"/>
    <n v="80"/>
    <n v="1"/>
    <n v="6"/>
    <n v="0"/>
    <n v="3"/>
    <n v="5"/>
    <n v="4"/>
    <x v="1"/>
    <n v="4"/>
    <s v="OK"/>
    <s v="OK"/>
    <s v="OK"/>
    <s v="OK"/>
    <n v="0.2"/>
    <n v="0.8"/>
    <n v="0"/>
    <n v="0.8"/>
  </r>
  <r>
    <n v="54"/>
    <s v="No"/>
    <s v="Travel_Frequently"/>
    <n v="928"/>
    <s v="Research &amp; Development"/>
    <n v="20"/>
    <n v="4"/>
    <s v="Life Sciences"/>
    <n v="1"/>
    <n v="450"/>
    <n v="4"/>
    <s v="Female"/>
    <n v="31"/>
    <n v="3"/>
    <n v="2"/>
    <x v="1"/>
    <n v="3"/>
    <s v="Single"/>
    <n v="4869"/>
    <n v="16885"/>
    <n v="3"/>
    <s v="Y"/>
    <s v="No"/>
    <n v="12"/>
    <n v="3"/>
    <n v="4"/>
    <n v="80"/>
    <n v="0"/>
    <n v="20"/>
    <n v="4"/>
    <n v="2"/>
    <n v="4"/>
    <n v="3"/>
    <x v="0"/>
    <n v="3"/>
    <s v="OK"/>
    <s v="OK"/>
    <s v="OK"/>
    <s v="OK"/>
    <n v="0"/>
    <n v="0.75"/>
    <n v="1"/>
    <n v="0.75"/>
  </r>
  <r>
    <n v="43"/>
    <s v="No"/>
    <s v="Travel_Rarely"/>
    <n v="1001"/>
    <s v="Research &amp; Development"/>
    <n v="7"/>
    <n v="3"/>
    <s v="Life Sciences"/>
    <n v="1"/>
    <n v="451"/>
    <n v="3"/>
    <s v="Female"/>
    <n v="43"/>
    <n v="3"/>
    <n v="3"/>
    <x v="4"/>
    <n v="1"/>
    <s v="Married"/>
    <n v="9985"/>
    <n v="9262"/>
    <n v="8"/>
    <s v="Y"/>
    <s v="No"/>
    <n v="16"/>
    <n v="3"/>
    <n v="1"/>
    <n v="80"/>
    <n v="1"/>
    <n v="10"/>
    <n v="1"/>
    <n v="2"/>
    <n v="1"/>
    <n v="0"/>
    <x v="0"/>
    <n v="0"/>
    <s v="OK"/>
    <s v="OK"/>
    <s v="OK"/>
    <s v="OK"/>
    <n v="0"/>
    <n v="0"/>
    <n v="1"/>
    <n v="0"/>
  </r>
  <r>
    <n v="45"/>
    <s v="No"/>
    <s v="Travel_Rarely"/>
    <n v="549"/>
    <s v="Research &amp; Development"/>
    <n v="8"/>
    <n v="4"/>
    <s v="Other"/>
    <n v="1"/>
    <n v="452"/>
    <n v="4"/>
    <s v="Male"/>
    <n v="75"/>
    <n v="3"/>
    <n v="2"/>
    <x v="1"/>
    <n v="4"/>
    <s v="Married"/>
    <n v="3697"/>
    <n v="9278"/>
    <n v="9"/>
    <s v="Y"/>
    <s v="No"/>
    <n v="14"/>
    <n v="3"/>
    <n v="1"/>
    <n v="80"/>
    <n v="2"/>
    <n v="12"/>
    <n v="3"/>
    <n v="3"/>
    <n v="10"/>
    <n v="9"/>
    <x v="10"/>
    <n v="8"/>
    <s v="OK"/>
    <s v="OK"/>
    <s v="OK"/>
    <s v="OK"/>
    <n v="0.9"/>
    <n v="0.9"/>
    <n v="0.3"/>
    <n v="0.8"/>
  </r>
  <r>
    <n v="40"/>
    <s v="No"/>
    <s v="Travel_Rarely"/>
    <n v="1124"/>
    <s v="Sales"/>
    <n v="1"/>
    <n v="2"/>
    <s v="Medical"/>
    <n v="1"/>
    <n v="453"/>
    <n v="2"/>
    <s v="Male"/>
    <n v="57"/>
    <n v="1"/>
    <n v="2"/>
    <x v="0"/>
    <n v="4"/>
    <s v="Married"/>
    <n v="7457"/>
    <n v="13273"/>
    <n v="2"/>
    <s v="Y"/>
    <s v="Yes"/>
    <n v="22"/>
    <n v="4"/>
    <n v="3"/>
    <n v="80"/>
    <n v="3"/>
    <n v="6"/>
    <n v="2"/>
    <n v="2"/>
    <n v="4"/>
    <n v="3"/>
    <x v="0"/>
    <n v="2"/>
    <s v="OK"/>
    <s v="OK"/>
    <s v="OK"/>
    <s v="OK"/>
    <n v="0"/>
    <n v="0.75"/>
    <n v="0.5"/>
    <n v="0.5"/>
  </r>
  <r>
    <n v="29"/>
    <s v="Yes"/>
    <s v="Travel_Rarely"/>
    <n v="318"/>
    <s v="Research &amp; Development"/>
    <n v="8"/>
    <n v="4"/>
    <s v="Other"/>
    <n v="1"/>
    <n v="454"/>
    <n v="2"/>
    <s v="Male"/>
    <n v="77"/>
    <n v="1"/>
    <n v="1"/>
    <x v="2"/>
    <n v="1"/>
    <s v="Married"/>
    <n v="2119"/>
    <n v="4759"/>
    <n v="1"/>
    <s v="Y"/>
    <s v="Yes"/>
    <n v="11"/>
    <n v="3"/>
    <n v="4"/>
    <n v="80"/>
    <n v="0"/>
    <n v="7"/>
    <n v="4"/>
    <n v="2"/>
    <n v="7"/>
    <n v="7"/>
    <x v="0"/>
    <n v="7"/>
    <s v="OK"/>
    <s v="OK"/>
    <s v="OK"/>
    <s v="OK"/>
    <n v="0"/>
    <n v="1"/>
    <n v="0.5714285714285714"/>
    <n v="1"/>
  </r>
  <r>
    <n v="29"/>
    <s v="No"/>
    <s v="Travel_Rarely"/>
    <n v="738"/>
    <s v="Research &amp; Development"/>
    <n v="9"/>
    <n v="5"/>
    <s v="Other"/>
    <n v="1"/>
    <n v="455"/>
    <n v="2"/>
    <s v="Male"/>
    <n v="30"/>
    <n v="2"/>
    <n v="1"/>
    <x v="2"/>
    <n v="4"/>
    <s v="Single"/>
    <n v="3983"/>
    <n v="7621"/>
    <n v="0"/>
    <s v="Y"/>
    <s v="No"/>
    <n v="17"/>
    <n v="3"/>
    <n v="3"/>
    <n v="80"/>
    <n v="0"/>
    <n v="4"/>
    <n v="2"/>
    <n v="3"/>
    <n v="3"/>
    <n v="2"/>
    <x v="3"/>
    <n v="2"/>
    <s v="OK"/>
    <s v="OK"/>
    <s v="OK"/>
    <s v="OK"/>
    <n v="0.66666666666666663"/>
    <n v="0.66666666666666663"/>
    <n v="0.66666666666666663"/>
    <n v="0.66666666666666663"/>
  </r>
  <r>
    <n v="30"/>
    <s v="No"/>
    <s v="Travel_Rarely"/>
    <n v="570"/>
    <s v="Sales"/>
    <n v="5"/>
    <n v="3"/>
    <s v="Marketing"/>
    <n v="1"/>
    <n v="456"/>
    <n v="4"/>
    <s v="Female"/>
    <n v="30"/>
    <n v="2"/>
    <n v="2"/>
    <x v="0"/>
    <n v="3"/>
    <s v="Divorced"/>
    <n v="6118"/>
    <n v="5431"/>
    <n v="1"/>
    <s v="Y"/>
    <s v="No"/>
    <n v="13"/>
    <n v="3"/>
    <n v="3"/>
    <n v="80"/>
    <n v="3"/>
    <n v="10"/>
    <n v="2"/>
    <n v="3"/>
    <n v="10"/>
    <n v="9"/>
    <x v="1"/>
    <n v="2"/>
    <s v="OK"/>
    <s v="OK"/>
    <s v="OK"/>
    <s v="OK"/>
    <n v="0.1"/>
    <n v="0.9"/>
    <n v="0.2"/>
    <n v="0.2"/>
  </r>
  <r>
    <n v="27"/>
    <s v="No"/>
    <s v="Travel_Rarely"/>
    <n v="1130"/>
    <s v="Sales"/>
    <n v="8"/>
    <n v="4"/>
    <s v="Marketing"/>
    <n v="1"/>
    <n v="458"/>
    <n v="2"/>
    <s v="Female"/>
    <n v="56"/>
    <n v="3"/>
    <n v="2"/>
    <x v="0"/>
    <n v="2"/>
    <s v="Married"/>
    <n v="6214"/>
    <n v="3415"/>
    <n v="1"/>
    <s v="Y"/>
    <s v="No"/>
    <n v="18"/>
    <n v="3"/>
    <n v="1"/>
    <n v="80"/>
    <n v="1"/>
    <n v="8"/>
    <n v="3"/>
    <n v="3"/>
    <n v="8"/>
    <n v="7"/>
    <x v="0"/>
    <n v="7"/>
    <s v="OK"/>
    <s v="OK"/>
    <s v="OK"/>
    <s v="OK"/>
    <n v="0"/>
    <n v="0.875"/>
    <n v="0.375"/>
    <n v="0.875"/>
  </r>
  <r>
    <n v="37"/>
    <s v="No"/>
    <s v="Travel_Rarely"/>
    <n v="1192"/>
    <s v="Research &amp; Development"/>
    <n v="5"/>
    <n v="2"/>
    <s v="Medical"/>
    <n v="1"/>
    <n v="460"/>
    <n v="4"/>
    <s v="Male"/>
    <n v="61"/>
    <n v="3"/>
    <n v="2"/>
    <x v="3"/>
    <n v="4"/>
    <s v="Divorced"/>
    <n v="6347"/>
    <n v="23177"/>
    <n v="7"/>
    <s v="Y"/>
    <s v="No"/>
    <n v="16"/>
    <n v="3"/>
    <n v="3"/>
    <n v="80"/>
    <n v="2"/>
    <n v="8"/>
    <n v="2"/>
    <n v="2"/>
    <n v="6"/>
    <n v="2"/>
    <x v="0"/>
    <n v="4"/>
    <s v="OK"/>
    <s v="OK"/>
    <s v="OK"/>
    <s v="OK"/>
    <n v="0"/>
    <n v="0.33333333333333331"/>
    <n v="0.33333333333333331"/>
    <n v="0.66666666666666663"/>
  </r>
  <r>
    <n v="38"/>
    <s v="No"/>
    <s v="Travel_Rarely"/>
    <n v="343"/>
    <s v="Research &amp; Development"/>
    <n v="15"/>
    <n v="2"/>
    <s v="Life Sciences"/>
    <n v="1"/>
    <n v="461"/>
    <n v="3"/>
    <s v="Male"/>
    <n v="92"/>
    <n v="2"/>
    <n v="3"/>
    <x v="7"/>
    <n v="4"/>
    <s v="Divorced"/>
    <n v="11510"/>
    <n v="15682"/>
    <n v="0"/>
    <s v="Y"/>
    <s v="Yes"/>
    <n v="14"/>
    <n v="3"/>
    <n v="2"/>
    <n v="80"/>
    <n v="1"/>
    <n v="12"/>
    <n v="3"/>
    <n v="3"/>
    <n v="11"/>
    <n v="10"/>
    <x v="3"/>
    <n v="9"/>
    <s v="OK"/>
    <s v="OK"/>
    <s v="OK"/>
    <s v="OK"/>
    <n v="0.18181818181818182"/>
    <n v="0.90909090909090906"/>
    <n v="0.27272727272727271"/>
    <n v="0.81818181818181823"/>
  </r>
  <r>
    <n v="31"/>
    <s v="No"/>
    <s v="Travel_Rarely"/>
    <n v="1232"/>
    <s v="Research &amp; Development"/>
    <n v="7"/>
    <n v="4"/>
    <s v="Medical"/>
    <n v="1"/>
    <n v="462"/>
    <n v="3"/>
    <s v="Female"/>
    <n v="39"/>
    <n v="3"/>
    <n v="3"/>
    <x v="3"/>
    <n v="4"/>
    <s v="Single"/>
    <n v="7143"/>
    <n v="25713"/>
    <n v="1"/>
    <s v="Y"/>
    <s v="Yes"/>
    <n v="14"/>
    <n v="3"/>
    <n v="3"/>
    <n v="80"/>
    <n v="0"/>
    <n v="11"/>
    <n v="2"/>
    <n v="2"/>
    <n v="11"/>
    <n v="9"/>
    <x v="5"/>
    <n v="10"/>
    <s v="OK"/>
    <s v="OK"/>
    <s v="OK"/>
    <s v="OK"/>
    <n v="0.36363636363636365"/>
    <n v="0.81818181818181823"/>
    <n v="0.18181818181818182"/>
    <n v="0.90909090909090906"/>
  </r>
  <r>
    <n v="29"/>
    <s v="No"/>
    <s v="Travel_Rarely"/>
    <n v="144"/>
    <s v="Sales"/>
    <n v="10"/>
    <n v="1"/>
    <s v="Marketing"/>
    <n v="1"/>
    <n v="463"/>
    <n v="4"/>
    <s v="Female"/>
    <n v="39"/>
    <n v="2"/>
    <n v="2"/>
    <x v="0"/>
    <n v="2"/>
    <s v="Divorced"/>
    <n v="8268"/>
    <n v="11866"/>
    <n v="1"/>
    <s v="Y"/>
    <s v="Yes"/>
    <n v="14"/>
    <n v="3"/>
    <n v="1"/>
    <n v="80"/>
    <n v="2"/>
    <n v="7"/>
    <n v="2"/>
    <n v="3"/>
    <n v="7"/>
    <n v="7"/>
    <x v="1"/>
    <n v="7"/>
    <s v="OK"/>
    <s v="OK"/>
    <s v="OK"/>
    <s v="OK"/>
    <n v="0.14285714285714285"/>
    <n v="1"/>
    <n v="0.2857142857142857"/>
    <n v="1"/>
  </r>
  <r>
    <n v="35"/>
    <s v="No"/>
    <s v="Travel_Rarely"/>
    <n v="1296"/>
    <s v="Research &amp; Development"/>
    <n v="5"/>
    <n v="4"/>
    <s v="Technical Degree"/>
    <n v="1"/>
    <n v="464"/>
    <n v="3"/>
    <s v="Male"/>
    <n v="62"/>
    <n v="3"/>
    <n v="3"/>
    <x v="3"/>
    <n v="2"/>
    <s v="Single"/>
    <n v="8095"/>
    <n v="18264"/>
    <n v="0"/>
    <s v="Y"/>
    <s v="No"/>
    <n v="13"/>
    <n v="3"/>
    <n v="4"/>
    <n v="80"/>
    <n v="0"/>
    <n v="17"/>
    <n v="5"/>
    <n v="3"/>
    <n v="16"/>
    <n v="6"/>
    <x v="0"/>
    <n v="13"/>
    <s v="OK"/>
    <s v="OK"/>
    <s v="OK"/>
    <s v="OK"/>
    <n v="0"/>
    <n v="0.375"/>
    <n v="0.3125"/>
    <n v="0.8125"/>
  </r>
  <r>
    <n v="23"/>
    <s v="No"/>
    <s v="Travel_Rarely"/>
    <n v="1309"/>
    <s v="Research &amp; Development"/>
    <n v="26"/>
    <n v="1"/>
    <s v="Life Sciences"/>
    <n v="1"/>
    <n v="465"/>
    <n v="3"/>
    <s v="Male"/>
    <n v="83"/>
    <n v="3"/>
    <n v="1"/>
    <x v="1"/>
    <n v="4"/>
    <s v="Divorced"/>
    <n v="2904"/>
    <n v="16092"/>
    <n v="1"/>
    <s v="Y"/>
    <s v="No"/>
    <n v="12"/>
    <n v="3"/>
    <n v="3"/>
    <n v="80"/>
    <n v="2"/>
    <n v="4"/>
    <n v="2"/>
    <n v="2"/>
    <n v="4"/>
    <n v="2"/>
    <x v="0"/>
    <n v="2"/>
    <s v="OK"/>
    <s v="OK"/>
    <s v="OK"/>
    <s v="OK"/>
    <n v="0"/>
    <n v="0.5"/>
    <n v="0.5"/>
    <n v="0.5"/>
  </r>
  <r>
    <n v="41"/>
    <s v="No"/>
    <s v="Travel_Rarely"/>
    <n v="483"/>
    <s v="Research &amp; Development"/>
    <n v="6"/>
    <n v="3"/>
    <s v="Medical"/>
    <n v="1"/>
    <n v="466"/>
    <n v="4"/>
    <s v="Male"/>
    <n v="95"/>
    <n v="2"/>
    <n v="2"/>
    <x v="3"/>
    <n v="2"/>
    <s v="Single"/>
    <n v="6032"/>
    <n v="10110"/>
    <n v="6"/>
    <s v="Y"/>
    <s v="Yes"/>
    <n v="15"/>
    <n v="3"/>
    <n v="4"/>
    <n v="80"/>
    <n v="0"/>
    <n v="8"/>
    <n v="3"/>
    <n v="3"/>
    <n v="5"/>
    <n v="4"/>
    <x v="1"/>
    <n v="2"/>
    <s v="OK"/>
    <s v="OK"/>
    <s v="OK"/>
    <s v="OK"/>
    <n v="0.2"/>
    <n v="0.8"/>
    <n v="0.6"/>
    <n v="0.4"/>
  </r>
  <r>
    <n v="47"/>
    <s v="No"/>
    <s v="Travel_Frequently"/>
    <n v="1309"/>
    <s v="Sales"/>
    <n v="4"/>
    <n v="1"/>
    <s v="Medical"/>
    <n v="1"/>
    <n v="467"/>
    <n v="2"/>
    <s v="Male"/>
    <n v="99"/>
    <n v="3"/>
    <n v="2"/>
    <x v="6"/>
    <n v="3"/>
    <s v="Single"/>
    <n v="2976"/>
    <n v="25751"/>
    <n v="3"/>
    <s v="Y"/>
    <s v="No"/>
    <n v="19"/>
    <n v="3"/>
    <n v="1"/>
    <n v="80"/>
    <n v="0"/>
    <n v="5"/>
    <n v="3"/>
    <n v="3"/>
    <n v="0"/>
    <n v="0"/>
    <x v="0"/>
    <n v="0"/>
    <s v="OK"/>
    <s v="OK"/>
    <s v="OK"/>
    <s v="OK"/>
    <n v="0"/>
    <n v="0"/>
    <n v="0"/>
    <n v="0"/>
  </r>
  <r>
    <n v="42"/>
    <s v="No"/>
    <s v="Travel_Rarely"/>
    <n v="810"/>
    <s v="Research &amp; Development"/>
    <n v="23"/>
    <n v="5"/>
    <s v="Life Sciences"/>
    <n v="1"/>
    <n v="468"/>
    <n v="1"/>
    <s v="Female"/>
    <n v="44"/>
    <n v="3"/>
    <n v="4"/>
    <x v="7"/>
    <n v="4"/>
    <s v="Single"/>
    <n v="15992"/>
    <n v="15901"/>
    <n v="2"/>
    <s v="Y"/>
    <s v="No"/>
    <n v="14"/>
    <n v="3"/>
    <n v="2"/>
    <n v="80"/>
    <n v="0"/>
    <n v="16"/>
    <n v="2"/>
    <n v="3"/>
    <n v="1"/>
    <n v="0"/>
    <x v="0"/>
    <n v="0"/>
    <s v="OK"/>
    <s v="OK"/>
    <s v="OK"/>
    <s v="OK"/>
    <n v="0"/>
    <n v="0"/>
    <n v="2"/>
    <n v="0"/>
  </r>
  <r>
    <n v="29"/>
    <s v="No"/>
    <s v="Non-Travel"/>
    <n v="746"/>
    <s v="Sales"/>
    <n v="2"/>
    <n v="3"/>
    <s v="Life Sciences"/>
    <n v="1"/>
    <n v="469"/>
    <n v="4"/>
    <s v="Male"/>
    <n v="61"/>
    <n v="3"/>
    <n v="2"/>
    <x v="0"/>
    <n v="3"/>
    <s v="Married"/>
    <n v="4649"/>
    <n v="16928"/>
    <n v="1"/>
    <s v="Y"/>
    <s v="No"/>
    <n v="14"/>
    <n v="3"/>
    <n v="1"/>
    <n v="80"/>
    <n v="1"/>
    <n v="4"/>
    <n v="3"/>
    <n v="2"/>
    <n v="4"/>
    <n v="3"/>
    <x v="0"/>
    <n v="2"/>
    <s v="OK"/>
    <s v="OK"/>
    <s v="OK"/>
    <s v="OK"/>
    <n v="0"/>
    <n v="0.75"/>
    <n v="0.75"/>
    <n v="0.5"/>
  </r>
  <r>
    <n v="42"/>
    <s v="No"/>
    <s v="Travel_Rarely"/>
    <n v="544"/>
    <s v="Human Resources"/>
    <n v="2"/>
    <n v="1"/>
    <s v="Technical Degree"/>
    <n v="1"/>
    <n v="470"/>
    <n v="3"/>
    <s v="Male"/>
    <n v="52"/>
    <n v="3"/>
    <n v="1"/>
    <x v="8"/>
    <n v="3"/>
    <s v="Divorced"/>
    <n v="2696"/>
    <n v="24017"/>
    <n v="0"/>
    <s v="Y"/>
    <s v="Yes"/>
    <n v="11"/>
    <n v="3"/>
    <n v="3"/>
    <n v="80"/>
    <n v="1"/>
    <n v="4"/>
    <n v="5"/>
    <n v="3"/>
    <n v="3"/>
    <n v="2"/>
    <x v="1"/>
    <n v="0"/>
    <s v="OK"/>
    <s v="OK"/>
    <s v="OK"/>
    <s v="OK"/>
    <n v="0.33333333333333331"/>
    <n v="0.66666666666666663"/>
    <n v="1.6666666666666667"/>
    <n v="0"/>
  </r>
  <r>
    <n v="32"/>
    <s v="No"/>
    <s v="Travel_Rarely"/>
    <n v="1062"/>
    <s v="Research &amp; Development"/>
    <n v="2"/>
    <n v="3"/>
    <s v="Medical"/>
    <n v="1"/>
    <n v="471"/>
    <n v="3"/>
    <s v="Female"/>
    <n v="75"/>
    <n v="3"/>
    <n v="1"/>
    <x v="2"/>
    <n v="2"/>
    <s v="Married"/>
    <n v="2370"/>
    <n v="3956"/>
    <n v="1"/>
    <s v="Y"/>
    <s v="No"/>
    <n v="13"/>
    <n v="3"/>
    <n v="3"/>
    <n v="80"/>
    <n v="1"/>
    <n v="8"/>
    <n v="4"/>
    <n v="3"/>
    <n v="8"/>
    <n v="0"/>
    <x v="0"/>
    <n v="7"/>
    <s v="OK"/>
    <s v="OK"/>
    <s v="OK"/>
    <s v="OK"/>
    <n v="0"/>
    <n v="0"/>
    <n v="0.5"/>
    <n v="0.875"/>
  </r>
  <r>
    <n v="48"/>
    <s v="No"/>
    <s v="Travel_Rarely"/>
    <n v="530"/>
    <s v="Sales"/>
    <n v="29"/>
    <n v="1"/>
    <s v="Medical"/>
    <n v="1"/>
    <n v="473"/>
    <n v="1"/>
    <s v="Female"/>
    <n v="91"/>
    <n v="3"/>
    <n v="3"/>
    <x v="5"/>
    <n v="3"/>
    <s v="Married"/>
    <n v="12504"/>
    <n v="23978"/>
    <n v="3"/>
    <s v="Y"/>
    <s v="No"/>
    <n v="21"/>
    <n v="4"/>
    <n v="2"/>
    <n v="80"/>
    <n v="1"/>
    <n v="15"/>
    <n v="3"/>
    <n v="1"/>
    <n v="0"/>
    <n v="0"/>
    <x v="0"/>
    <n v="0"/>
    <s v="OK"/>
    <s v="OK"/>
    <s v="OK"/>
    <s v="OK"/>
    <n v="0"/>
    <n v="0"/>
    <n v="0"/>
    <n v="0"/>
  </r>
  <r>
    <n v="37"/>
    <s v="No"/>
    <s v="Travel_Rarely"/>
    <n v="1319"/>
    <s v="Research &amp; Development"/>
    <n v="6"/>
    <n v="3"/>
    <s v="Medical"/>
    <n v="1"/>
    <n v="474"/>
    <n v="3"/>
    <s v="Male"/>
    <n v="51"/>
    <n v="4"/>
    <n v="2"/>
    <x v="1"/>
    <n v="1"/>
    <s v="Divorced"/>
    <n v="5974"/>
    <n v="17001"/>
    <n v="4"/>
    <s v="Y"/>
    <s v="Yes"/>
    <n v="13"/>
    <n v="3"/>
    <n v="1"/>
    <n v="80"/>
    <n v="2"/>
    <n v="13"/>
    <n v="2"/>
    <n v="3"/>
    <n v="7"/>
    <n v="7"/>
    <x v="7"/>
    <n v="7"/>
    <s v="OK"/>
    <s v="OK"/>
    <s v="OK"/>
    <s v="OK"/>
    <n v="0.8571428571428571"/>
    <n v="1"/>
    <n v="0.2857142857142857"/>
    <n v="1"/>
  </r>
  <r>
    <n v="30"/>
    <s v="No"/>
    <s v="Non-Travel"/>
    <n v="641"/>
    <s v="Sales"/>
    <n v="25"/>
    <n v="2"/>
    <s v="Technical Degree"/>
    <n v="1"/>
    <n v="475"/>
    <n v="4"/>
    <s v="Female"/>
    <n v="85"/>
    <n v="3"/>
    <n v="2"/>
    <x v="0"/>
    <n v="3"/>
    <s v="Married"/>
    <n v="4736"/>
    <n v="6069"/>
    <n v="7"/>
    <s v="Y"/>
    <s v="Yes"/>
    <n v="12"/>
    <n v="3"/>
    <n v="2"/>
    <n v="80"/>
    <n v="1"/>
    <n v="4"/>
    <n v="2"/>
    <n v="4"/>
    <n v="2"/>
    <n v="2"/>
    <x v="3"/>
    <n v="2"/>
    <s v="OK"/>
    <s v="OK"/>
    <s v="OK"/>
    <s v="OK"/>
    <n v="1"/>
    <n v="1"/>
    <n v="1"/>
    <n v="1"/>
  </r>
  <r>
    <n v="26"/>
    <s v="No"/>
    <s v="Travel_Rarely"/>
    <n v="933"/>
    <s v="Sales"/>
    <n v="1"/>
    <n v="3"/>
    <s v="Life Sciences"/>
    <n v="1"/>
    <n v="476"/>
    <n v="3"/>
    <s v="Male"/>
    <n v="57"/>
    <n v="3"/>
    <n v="2"/>
    <x v="0"/>
    <n v="3"/>
    <s v="Married"/>
    <n v="5296"/>
    <n v="20156"/>
    <n v="1"/>
    <s v="Y"/>
    <s v="No"/>
    <n v="17"/>
    <n v="3"/>
    <n v="2"/>
    <n v="80"/>
    <n v="1"/>
    <n v="8"/>
    <n v="3"/>
    <n v="3"/>
    <n v="8"/>
    <n v="7"/>
    <x v="4"/>
    <n v="7"/>
    <s v="OK"/>
    <s v="OK"/>
    <s v="OK"/>
    <s v="OK"/>
    <n v="0.875"/>
    <n v="0.875"/>
    <n v="0.375"/>
    <n v="0.875"/>
  </r>
  <r>
    <n v="42"/>
    <s v="No"/>
    <s v="Travel_Rarely"/>
    <n v="1332"/>
    <s v="Research &amp; Development"/>
    <n v="2"/>
    <n v="4"/>
    <s v="Other"/>
    <n v="1"/>
    <n v="477"/>
    <n v="1"/>
    <s v="Male"/>
    <n v="98"/>
    <n v="2"/>
    <n v="2"/>
    <x v="4"/>
    <n v="4"/>
    <s v="Single"/>
    <n v="6781"/>
    <n v="17078"/>
    <n v="3"/>
    <s v="Y"/>
    <s v="No"/>
    <n v="23"/>
    <n v="4"/>
    <n v="2"/>
    <n v="80"/>
    <n v="0"/>
    <n v="14"/>
    <n v="6"/>
    <n v="3"/>
    <n v="1"/>
    <n v="0"/>
    <x v="0"/>
    <n v="0"/>
    <s v="OK"/>
    <s v="OK"/>
    <s v="OK"/>
    <s v="OK"/>
    <n v="0"/>
    <n v="0"/>
    <n v="6"/>
    <n v="0"/>
  </r>
  <r>
    <n v="21"/>
    <s v="Yes"/>
    <s v="Travel_Frequently"/>
    <n v="756"/>
    <s v="Sales"/>
    <n v="1"/>
    <n v="1"/>
    <s v="Technical Degree"/>
    <n v="1"/>
    <n v="478"/>
    <n v="1"/>
    <s v="Female"/>
    <n v="99"/>
    <n v="2"/>
    <n v="1"/>
    <x v="6"/>
    <n v="2"/>
    <s v="Single"/>
    <n v="2174"/>
    <n v="9150"/>
    <n v="1"/>
    <s v="Y"/>
    <s v="Yes"/>
    <n v="11"/>
    <n v="3"/>
    <n v="3"/>
    <n v="80"/>
    <n v="0"/>
    <n v="3"/>
    <n v="3"/>
    <n v="3"/>
    <n v="3"/>
    <n v="2"/>
    <x v="1"/>
    <n v="2"/>
    <s v="OK"/>
    <s v="OK"/>
    <s v="OK"/>
    <s v="OK"/>
    <n v="0.33333333333333331"/>
    <n v="0.66666666666666663"/>
    <n v="1"/>
    <n v="0.66666666666666663"/>
  </r>
  <r>
    <n v="36"/>
    <s v="No"/>
    <s v="Non-Travel"/>
    <n v="845"/>
    <s v="Sales"/>
    <n v="1"/>
    <n v="5"/>
    <s v="Medical"/>
    <n v="1"/>
    <n v="479"/>
    <n v="4"/>
    <s v="Female"/>
    <n v="45"/>
    <n v="3"/>
    <n v="2"/>
    <x v="0"/>
    <n v="4"/>
    <s v="Single"/>
    <n v="6653"/>
    <n v="15276"/>
    <n v="4"/>
    <s v="Y"/>
    <s v="No"/>
    <n v="15"/>
    <n v="3"/>
    <n v="2"/>
    <n v="80"/>
    <n v="0"/>
    <n v="7"/>
    <n v="6"/>
    <n v="3"/>
    <n v="1"/>
    <n v="0"/>
    <x v="0"/>
    <n v="0"/>
    <s v="OK"/>
    <s v="OK"/>
    <s v="OK"/>
    <s v="OK"/>
    <n v="0"/>
    <n v="0"/>
    <n v="6"/>
    <n v="0"/>
  </r>
  <r>
    <n v="36"/>
    <s v="No"/>
    <s v="Travel_Frequently"/>
    <n v="541"/>
    <s v="Sales"/>
    <n v="3"/>
    <n v="4"/>
    <s v="Medical"/>
    <n v="1"/>
    <n v="481"/>
    <n v="1"/>
    <s v="Male"/>
    <n v="48"/>
    <n v="2"/>
    <n v="3"/>
    <x v="0"/>
    <n v="4"/>
    <s v="Married"/>
    <n v="9699"/>
    <n v="7246"/>
    <n v="4"/>
    <s v="Y"/>
    <s v="No"/>
    <n v="11"/>
    <n v="3"/>
    <n v="1"/>
    <n v="80"/>
    <n v="1"/>
    <n v="16"/>
    <n v="2"/>
    <n v="3"/>
    <n v="13"/>
    <n v="9"/>
    <x v="1"/>
    <n v="12"/>
    <s v="OK"/>
    <s v="OK"/>
    <s v="OK"/>
    <s v="OK"/>
    <n v="7.6923076923076927E-2"/>
    <n v="0.69230769230769229"/>
    <n v="0.15384615384615385"/>
    <n v="0.92307692307692313"/>
  </r>
  <r>
    <n v="57"/>
    <s v="No"/>
    <s v="Travel_Rarely"/>
    <n v="593"/>
    <s v="Research &amp; Development"/>
    <n v="1"/>
    <n v="4"/>
    <s v="Medical"/>
    <n v="1"/>
    <n v="482"/>
    <n v="4"/>
    <s v="Male"/>
    <n v="88"/>
    <n v="3"/>
    <n v="2"/>
    <x v="4"/>
    <n v="3"/>
    <s v="Married"/>
    <n v="6755"/>
    <n v="2967"/>
    <n v="2"/>
    <s v="Y"/>
    <s v="No"/>
    <n v="11"/>
    <n v="3"/>
    <n v="3"/>
    <n v="80"/>
    <n v="0"/>
    <n v="15"/>
    <n v="2"/>
    <n v="3"/>
    <n v="3"/>
    <n v="2"/>
    <x v="1"/>
    <n v="2"/>
    <s v="OK"/>
    <s v="OK"/>
    <s v="OK"/>
    <s v="OK"/>
    <n v="0.33333333333333331"/>
    <n v="0.66666666666666663"/>
    <n v="0.66666666666666663"/>
    <n v="0.66666666666666663"/>
  </r>
  <r>
    <n v="40"/>
    <s v="No"/>
    <s v="Travel_Rarely"/>
    <n v="1171"/>
    <s v="Research &amp; Development"/>
    <n v="10"/>
    <n v="4"/>
    <s v="Life Sciences"/>
    <n v="1"/>
    <n v="483"/>
    <n v="4"/>
    <s v="Female"/>
    <n v="46"/>
    <n v="4"/>
    <n v="1"/>
    <x v="2"/>
    <n v="3"/>
    <s v="Married"/>
    <n v="2213"/>
    <n v="22495"/>
    <n v="3"/>
    <s v="Y"/>
    <s v="Yes"/>
    <n v="13"/>
    <n v="3"/>
    <n v="3"/>
    <n v="80"/>
    <n v="1"/>
    <n v="10"/>
    <n v="3"/>
    <n v="3"/>
    <n v="7"/>
    <n v="7"/>
    <x v="1"/>
    <n v="7"/>
    <s v="OK"/>
    <s v="OK"/>
    <s v="OK"/>
    <s v="OK"/>
    <n v="0.14285714285714285"/>
    <n v="1"/>
    <n v="0.42857142857142855"/>
    <n v="1"/>
  </r>
  <r>
    <n v="21"/>
    <s v="No"/>
    <s v="Non-Travel"/>
    <n v="895"/>
    <s v="Sales"/>
    <n v="9"/>
    <n v="2"/>
    <s v="Medical"/>
    <n v="1"/>
    <n v="484"/>
    <n v="1"/>
    <s v="Male"/>
    <n v="39"/>
    <n v="3"/>
    <n v="1"/>
    <x v="6"/>
    <n v="4"/>
    <s v="Single"/>
    <n v="2610"/>
    <n v="2851"/>
    <n v="1"/>
    <s v="Y"/>
    <s v="No"/>
    <n v="24"/>
    <n v="4"/>
    <n v="3"/>
    <n v="80"/>
    <n v="0"/>
    <n v="3"/>
    <n v="3"/>
    <n v="2"/>
    <n v="3"/>
    <n v="2"/>
    <x v="3"/>
    <n v="2"/>
    <s v="OK"/>
    <s v="OK"/>
    <s v="OK"/>
    <s v="OK"/>
    <n v="0.66666666666666663"/>
    <n v="0.66666666666666663"/>
    <n v="1"/>
    <n v="0.66666666666666663"/>
  </r>
  <r>
    <n v="33"/>
    <s v="Yes"/>
    <s v="Travel_Rarely"/>
    <n v="350"/>
    <s v="Sales"/>
    <n v="5"/>
    <n v="3"/>
    <s v="Marketing"/>
    <n v="1"/>
    <n v="485"/>
    <n v="4"/>
    <s v="Female"/>
    <n v="34"/>
    <n v="3"/>
    <n v="1"/>
    <x v="6"/>
    <n v="3"/>
    <s v="Single"/>
    <n v="2851"/>
    <n v="9150"/>
    <n v="1"/>
    <s v="Y"/>
    <s v="Yes"/>
    <n v="13"/>
    <n v="3"/>
    <n v="2"/>
    <n v="80"/>
    <n v="0"/>
    <n v="1"/>
    <n v="2"/>
    <n v="3"/>
    <n v="1"/>
    <n v="0"/>
    <x v="0"/>
    <n v="0"/>
    <s v="OK"/>
    <s v="OK"/>
    <s v="OK"/>
    <s v="OK"/>
    <n v="0"/>
    <n v="0"/>
    <n v="2"/>
    <n v="0"/>
  </r>
  <r>
    <n v="37"/>
    <s v="No"/>
    <s v="Travel_Rarely"/>
    <n v="921"/>
    <s v="Research &amp; Development"/>
    <n v="10"/>
    <n v="3"/>
    <s v="Medical"/>
    <n v="1"/>
    <n v="486"/>
    <n v="3"/>
    <s v="Female"/>
    <n v="98"/>
    <n v="3"/>
    <n v="1"/>
    <x v="2"/>
    <n v="1"/>
    <s v="Married"/>
    <n v="3452"/>
    <n v="17663"/>
    <n v="6"/>
    <s v="Y"/>
    <s v="No"/>
    <n v="20"/>
    <n v="4"/>
    <n v="2"/>
    <n v="80"/>
    <n v="1"/>
    <n v="17"/>
    <n v="3"/>
    <n v="3"/>
    <n v="5"/>
    <n v="4"/>
    <x v="0"/>
    <n v="3"/>
    <s v="OK"/>
    <s v="OK"/>
    <s v="OK"/>
    <s v="OK"/>
    <n v="0"/>
    <n v="0.8"/>
    <n v="0.6"/>
    <n v="0.6"/>
  </r>
  <r>
    <n v="46"/>
    <s v="No"/>
    <s v="Non-Travel"/>
    <n v="1144"/>
    <s v="Research &amp; Development"/>
    <n v="7"/>
    <n v="4"/>
    <s v="Medical"/>
    <n v="1"/>
    <n v="487"/>
    <n v="3"/>
    <s v="Female"/>
    <n v="30"/>
    <n v="3"/>
    <n v="2"/>
    <x v="3"/>
    <n v="3"/>
    <s v="Married"/>
    <n v="5258"/>
    <n v="16044"/>
    <n v="2"/>
    <s v="Y"/>
    <s v="No"/>
    <n v="14"/>
    <n v="3"/>
    <n v="3"/>
    <n v="80"/>
    <n v="0"/>
    <n v="7"/>
    <n v="2"/>
    <n v="4"/>
    <n v="1"/>
    <n v="0"/>
    <x v="0"/>
    <n v="0"/>
    <s v="OK"/>
    <s v="OK"/>
    <s v="OK"/>
    <s v="OK"/>
    <n v="0"/>
    <n v="0"/>
    <n v="2"/>
    <n v="0"/>
  </r>
  <r>
    <n v="41"/>
    <s v="Yes"/>
    <s v="Travel_Frequently"/>
    <n v="143"/>
    <s v="Sales"/>
    <n v="4"/>
    <n v="3"/>
    <s v="Marketing"/>
    <n v="1"/>
    <n v="488"/>
    <n v="1"/>
    <s v="Male"/>
    <n v="56"/>
    <n v="3"/>
    <n v="2"/>
    <x v="0"/>
    <n v="2"/>
    <s v="Single"/>
    <n v="9355"/>
    <n v="9558"/>
    <n v="1"/>
    <s v="Y"/>
    <s v="No"/>
    <n v="18"/>
    <n v="3"/>
    <n v="3"/>
    <n v="80"/>
    <n v="0"/>
    <n v="8"/>
    <n v="5"/>
    <n v="3"/>
    <n v="8"/>
    <n v="7"/>
    <x v="4"/>
    <n v="7"/>
    <s v="OK"/>
    <s v="OK"/>
    <s v="OK"/>
    <s v="OK"/>
    <n v="0.875"/>
    <n v="0.875"/>
    <n v="0.625"/>
    <n v="0.875"/>
  </r>
  <r>
    <n v="50"/>
    <s v="No"/>
    <s v="Travel_Rarely"/>
    <n v="1046"/>
    <s v="Research &amp; Development"/>
    <n v="10"/>
    <n v="3"/>
    <s v="Technical Degree"/>
    <n v="1"/>
    <n v="491"/>
    <n v="4"/>
    <s v="Male"/>
    <n v="100"/>
    <n v="2"/>
    <n v="3"/>
    <x v="4"/>
    <n v="4"/>
    <s v="Single"/>
    <n v="10496"/>
    <n v="2755"/>
    <n v="6"/>
    <s v="Y"/>
    <s v="No"/>
    <n v="15"/>
    <n v="3"/>
    <n v="4"/>
    <n v="80"/>
    <n v="0"/>
    <n v="20"/>
    <n v="2"/>
    <n v="3"/>
    <n v="4"/>
    <n v="3"/>
    <x v="1"/>
    <n v="3"/>
    <s v="OK"/>
    <s v="OK"/>
    <s v="OK"/>
    <s v="OK"/>
    <n v="0.25"/>
    <n v="0.75"/>
    <n v="0.5"/>
    <n v="0.75"/>
  </r>
  <r>
    <n v="40"/>
    <s v="Yes"/>
    <s v="Travel_Rarely"/>
    <n v="575"/>
    <s v="Sales"/>
    <n v="22"/>
    <n v="2"/>
    <s v="Marketing"/>
    <n v="1"/>
    <n v="492"/>
    <n v="3"/>
    <s v="Male"/>
    <n v="68"/>
    <n v="2"/>
    <n v="2"/>
    <x v="0"/>
    <n v="3"/>
    <s v="Married"/>
    <n v="6380"/>
    <n v="6110"/>
    <n v="2"/>
    <s v="Y"/>
    <s v="Yes"/>
    <n v="12"/>
    <n v="3"/>
    <n v="1"/>
    <n v="80"/>
    <n v="2"/>
    <n v="8"/>
    <n v="6"/>
    <n v="3"/>
    <n v="6"/>
    <n v="4"/>
    <x v="1"/>
    <n v="0"/>
    <s v="OK"/>
    <s v="OK"/>
    <s v="OK"/>
    <s v="OK"/>
    <n v="0.16666666666666666"/>
    <n v="0.66666666666666663"/>
    <n v="1"/>
    <n v="0"/>
  </r>
  <r>
    <n v="31"/>
    <s v="No"/>
    <s v="Travel_Rarely"/>
    <n v="408"/>
    <s v="Research &amp; Development"/>
    <n v="9"/>
    <n v="4"/>
    <s v="Life Sciences"/>
    <n v="1"/>
    <n v="493"/>
    <n v="3"/>
    <s v="Male"/>
    <n v="42"/>
    <n v="2"/>
    <n v="1"/>
    <x v="1"/>
    <n v="2"/>
    <s v="Single"/>
    <n v="2657"/>
    <n v="7551"/>
    <n v="0"/>
    <s v="Y"/>
    <s v="Yes"/>
    <n v="16"/>
    <n v="3"/>
    <n v="4"/>
    <n v="80"/>
    <n v="0"/>
    <n v="3"/>
    <n v="5"/>
    <n v="3"/>
    <n v="2"/>
    <n v="2"/>
    <x v="3"/>
    <n v="2"/>
    <s v="OK"/>
    <s v="OK"/>
    <s v="OK"/>
    <s v="OK"/>
    <n v="1"/>
    <n v="1"/>
    <n v="2.5"/>
    <n v="1"/>
  </r>
  <r>
    <n v="21"/>
    <s v="Yes"/>
    <s v="Travel_Rarely"/>
    <n v="156"/>
    <s v="Sales"/>
    <n v="12"/>
    <n v="3"/>
    <s v="Life Sciences"/>
    <n v="1"/>
    <n v="494"/>
    <n v="3"/>
    <s v="Female"/>
    <n v="90"/>
    <n v="4"/>
    <n v="1"/>
    <x v="6"/>
    <n v="2"/>
    <s v="Single"/>
    <n v="2716"/>
    <n v="25422"/>
    <n v="1"/>
    <s v="Y"/>
    <s v="No"/>
    <n v="15"/>
    <n v="3"/>
    <n v="4"/>
    <n v="80"/>
    <n v="0"/>
    <n v="1"/>
    <n v="0"/>
    <n v="3"/>
    <n v="1"/>
    <n v="0"/>
    <x v="0"/>
    <n v="0"/>
    <s v="OK"/>
    <s v="OK"/>
    <s v="OK"/>
    <s v="OK"/>
    <n v="0"/>
    <n v="0"/>
    <n v="0"/>
    <n v="0"/>
  </r>
  <r>
    <n v="29"/>
    <s v="No"/>
    <s v="Travel_Rarely"/>
    <n v="1283"/>
    <s v="Research &amp; Development"/>
    <n v="23"/>
    <n v="3"/>
    <s v="Life Sciences"/>
    <n v="1"/>
    <n v="495"/>
    <n v="4"/>
    <s v="Male"/>
    <n v="54"/>
    <n v="3"/>
    <n v="1"/>
    <x v="1"/>
    <n v="4"/>
    <s v="Single"/>
    <n v="2201"/>
    <n v="18168"/>
    <n v="9"/>
    <s v="Y"/>
    <s v="No"/>
    <n v="16"/>
    <n v="3"/>
    <n v="4"/>
    <n v="80"/>
    <n v="0"/>
    <n v="6"/>
    <n v="4"/>
    <n v="3"/>
    <n v="3"/>
    <n v="2"/>
    <x v="1"/>
    <n v="2"/>
    <s v="OK"/>
    <s v="OK"/>
    <s v="OK"/>
    <s v="OK"/>
    <n v="0.33333333333333331"/>
    <n v="0.66666666666666663"/>
    <n v="1.3333333333333333"/>
    <n v="0.66666666666666663"/>
  </r>
  <r>
    <n v="35"/>
    <s v="No"/>
    <s v="Travel_Rarely"/>
    <n v="755"/>
    <s v="Research &amp; Development"/>
    <n v="9"/>
    <n v="4"/>
    <s v="Life Sciences"/>
    <n v="1"/>
    <n v="496"/>
    <n v="3"/>
    <s v="Male"/>
    <n v="97"/>
    <n v="2"/>
    <n v="2"/>
    <x v="4"/>
    <n v="2"/>
    <s v="Single"/>
    <n v="6540"/>
    <n v="19394"/>
    <n v="9"/>
    <s v="Y"/>
    <s v="No"/>
    <n v="19"/>
    <n v="3"/>
    <n v="3"/>
    <n v="80"/>
    <n v="0"/>
    <n v="10"/>
    <n v="5"/>
    <n v="3"/>
    <n v="1"/>
    <n v="1"/>
    <x v="0"/>
    <n v="0"/>
    <s v="OK"/>
    <s v="OK"/>
    <s v="OK"/>
    <s v="OK"/>
    <n v="0"/>
    <n v="1"/>
    <n v="5"/>
    <n v="0"/>
  </r>
  <r>
    <n v="27"/>
    <s v="No"/>
    <s v="Travel_Rarely"/>
    <n v="1469"/>
    <s v="Research &amp; Development"/>
    <n v="1"/>
    <n v="2"/>
    <s v="Medical"/>
    <n v="1"/>
    <n v="497"/>
    <n v="4"/>
    <s v="Male"/>
    <n v="82"/>
    <n v="3"/>
    <n v="1"/>
    <x v="2"/>
    <n v="2"/>
    <s v="Divorced"/>
    <n v="3816"/>
    <n v="17881"/>
    <n v="1"/>
    <s v="Y"/>
    <s v="No"/>
    <n v="11"/>
    <n v="3"/>
    <n v="2"/>
    <n v="80"/>
    <n v="1"/>
    <n v="5"/>
    <n v="2"/>
    <n v="3"/>
    <n v="5"/>
    <n v="2"/>
    <x v="0"/>
    <n v="4"/>
    <s v="OK"/>
    <s v="OK"/>
    <s v="OK"/>
    <s v="OK"/>
    <n v="0"/>
    <n v="0.4"/>
    <n v="0.4"/>
    <n v="0.8"/>
  </r>
  <r>
    <n v="28"/>
    <s v="No"/>
    <s v="Travel_Rarely"/>
    <n v="304"/>
    <s v="Sales"/>
    <n v="9"/>
    <n v="4"/>
    <s v="Life Sciences"/>
    <n v="1"/>
    <n v="498"/>
    <n v="2"/>
    <s v="Male"/>
    <n v="92"/>
    <n v="3"/>
    <n v="2"/>
    <x v="0"/>
    <n v="4"/>
    <s v="Single"/>
    <n v="5253"/>
    <n v="20750"/>
    <n v="1"/>
    <s v="Y"/>
    <s v="No"/>
    <n v="16"/>
    <n v="3"/>
    <n v="4"/>
    <n v="80"/>
    <n v="0"/>
    <n v="7"/>
    <n v="1"/>
    <n v="3"/>
    <n v="7"/>
    <n v="5"/>
    <x v="0"/>
    <n v="7"/>
    <s v="OK"/>
    <s v="OK"/>
    <s v="OK"/>
    <s v="OK"/>
    <n v="0"/>
    <n v="0.7142857142857143"/>
    <n v="0.14285714285714285"/>
    <n v="1"/>
  </r>
  <r>
    <n v="49"/>
    <s v="No"/>
    <s v="Travel_Rarely"/>
    <n v="1261"/>
    <s v="Research &amp; Development"/>
    <n v="7"/>
    <n v="3"/>
    <s v="Other"/>
    <n v="1"/>
    <n v="499"/>
    <n v="2"/>
    <s v="Male"/>
    <n v="31"/>
    <n v="2"/>
    <n v="3"/>
    <x v="4"/>
    <n v="3"/>
    <s v="Single"/>
    <n v="10965"/>
    <n v="12066"/>
    <n v="8"/>
    <s v="Y"/>
    <s v="No"/>
    <n v="24"/>
    <n v="4"/>
    <n v="3"/>
    <n v="80"/>
    <n v="0"/>
    <n v="26"/>
    <n v="2"/>
    <n v="3"/>
    <n v="5"/>
    <n v="2"/>
    <x v="0"/>
    <n v="0"/>
    <s v="OK"/>
    <s v="OK"/>
    <s v="OK"/>
    <s v="OK"/>
    <n v="0"/>
    <n v="0.4"/>
    <n v="0.4"/>
    <n v="0"/>
  </r>
  <r>
    <n v="51"/>
    <s v="No"/>
    <s v="Travel_Rarely"/>
    <n v="1178"/>
    <s v="Sales"/>
    <n v="14"/>
    <n v="2"/>
    <s v="Life Sciences"/>
    <n v="1"/>
    <n v="500"/>
    <n v="3"/>
    <s v="Female"/>
    <n v="87"/>
    <n v="3"/>
    <n v="2"/>
    <x v="0"/>
    <n v="4"/>
    <s v="Married"/>
    <n v="4936"/>
    <n v="14862"/>
    <n v="4"/>
    <s v="Y"/>
    <s v="No"/>
    <n v="11"/>
    <n v="3"/>
    <n v="3"/>
    <n v="80"/>
    <n v="1"/>
    <n v="18"/>
    <n v="2"/>
    <n v="2"/>
    <n v="7"/>
    <n v="7"/>
    <x v="0"/>
    <n v="7"/>
    <s v="OK"/>
    <s v="OK"/>
    <s v="OK"/>
    <s v="OK"/>
    <n v="0"/>
    <n v="1"/>
    <n v="0.2857142857142857"/>
    <n v="1"/>
  </r>
  <r>
    <n v="36"/>
    <s v="No"/>
    <s v="Travel_Rarely"/>
    <n v="329"/>
    <s v="Research &amp; Development"/>
    <n v="2"/>
    <n v="3"/>
    <s v="Life Sciences"/>
    <n v="1"/>
    <n v="501"/>
    <n v="4"/>
    <s v="Female"/>
    <n v="96"/>
    <n v="3"/>
    <n v="1"/>
    <x v="1"/>
    <n v="3"/>
    <s v="Married"/>
    <n v="2543"/>
    <n v="11868"/>
    <n v="4"/>
    <s v="Y"/>
    <s v="No"/>
    <n v="13"/>
    <n v="3"/>
    <n v="2"/>
    <n v="80"/>
    <n v="1"/>
    <n v="6"/>
    <n v="3"/>
    <n v="3"/>
    <n v="2"/>
    <n v="2"/>
    <x v="3"/>
    <n v="2"/>
    <s v="OK"/>
    <s v="OK"/>
    <s v="OK"/>
    <s v="OK"/>
    <n v="1"/>
    <n v="1"/>
    <n v="1.5"/>
    <n v="1"/>
  </r>
  <r>
    <n v="34"/>
    <s v="Yes"/>
    <s v="Non-Travel"/>
    <n v="1362"/>
    <s v="Sales"/>
    <n v="19"/>
    <n v="3"/>
    <s v="Marketing"/>
    <n v="1"/>
    <n v="502"/>
    <n v="1"/>
    <s v="Male"/>
    <n v="67"/>
    <n v="4"/>
    <n v="2"/>
    <x v="0"/>
    <n v="4"/>
    <s v="Single"/>
    <n v="5304"/>
    <n v="4652"/>
    <n v="8"/>
    <s v="Y"/>
    <s v="Yes"/>
    <n v="13"/>
    <n v="3"/>
    <n v="2"/>
    <n v="80"/>
    <n v="0"/>
    <n v="9"/>
    <n v="3"/>
    <n v="2"/>
    <n v="5"/>
    <n v="2"/>
    <x v="0"/>
    <n v="4"/>
    <s v="OK"/>
    <s v="OK"/>
    <s v="OK"/>
    <s v="OK"/>
    <n v="0"/>
    <n v="0.4"/>
    <n v="0.6"/>
    <n v="0.8"/>
  </r>
  <r>
    <n v="55"/>
    <s v="No"/>
    <s v="Travel_Rarely"/>
    <n v="1311"/>
    <s v="Research &amp; Development"/>
    <n v="2"/>
    <n v="3"/>
    <s v="Life Sciences"/>
    <n v="1"/>
    <n v="505"/>
    <n v="3"/>
    <s v="Female"/>
    <n v="97"/>
    <n v="3"/>
    <n v="4"/>
    <x v="5"/>
    <n v="4"/>
    <s v="Single"/>
    <n v="16659"/>
    <n v="23258"/>
    <n v="2"/>
    <s v="Y"/>
    <s v="Yes"/>
    <n v="13"/>
    <n v="3"/>
    <n v="3"/>
    <n v="80"/>
    <n v="0"/>
    <n v="30"/>
    <n v="2"/>
    <n v="3"/>
    <n v="5"/>
    <n v="4"/>
    <x v="1"/>
    <n v="2"/>
    <s v="OK"/>
    <s v="OK"/>
    <s v="OK"/>
    <s v="OK"/>
    <n v="0.2"/>
    <n v="0.8"/>
    <n v="0.4"/>
    <n v="0.4"/>
  </r>
  <r>
    <n v="24"/>
    <s v="No"/>
    <s v="Travel_Rarely"/>
    <n v="1371"/>
    <s v="Sales"/>
    <n v="10"/>
    <n v="4"/>
    <s v="Marketing"/>
    <n v="1"/>
    <n v="507"/>
    <n v="4"/>
    <s v="Female"/>
    <n v="77"/>
    <n v="3"/>
    <n v="2"/>
    <x v="0"/>
    <n v="3"/>
    <s v="Divorced"/>
    <n v="4260"/>
    <n v="5915"/>
    <n v="1"/>
    <s v="Y"/>
    <s v="Yes"/>
    <n v="12"/>
    <n v="3"/>
    <n v="4"/>
    <n v="80"/>
    <n v="1"/>
    <n v="5"/>
    <n v="2"/>
    <n v="4"/>
    <n v="5"/>
    <n v="2"/>
    <x v="0"/>
    <n v="3"/>
    <s v="OK"/>
    <s v="OK"/>
    <s v="OK"/>
    <s v="OK"/>
    <n v="0"/>
    <n v="0.4"/>
    <n v="0.4"/>
    <n v="0.6"/>
  </r>
  <r>
    <n v="30"/>
    <s v="No"/>
    <s v="Travel_Rarely"/>
    <n v="202"/>
    <s v="Sales"/>
    <n v="2"/>
    <n v="1"/>
    <s v="Technical Degree"/>
    <n v="1"/>
    <n v="508"/>
    <n v="3"/>
    <s v="Male"/>
    <n v="72"/>
    <n v="3"/>
    <n v="1"/>
    <x v="6"/>
    <n v="2"/>
    <s v="Married"/>
    <n v="2476"/>
    <n v="17434"/>
    <n v="1"/>
    <s v="Y"/>
    <s v="No"/>
    <n v="18"/>
    <n v="3"/>
    <n v="1"/>
    <n v="80"/>
    <n v="1"/>
    <n v="1"/>
    <n v="3"/>
    <n v="3"/>
    <n v="1"/>
    <n v="0"/>
    <x v="0"/>
    <n v="0"/>
    <s v="OK"/>
    <s v="OK"/>
    <s v="OK"/>
    <s v="OK"/>
    <n v="0"/>
    <n v="0"/>
    <n v="3"/>
    <n v="0"/>
  </r>
  <r>
    <n v="26"/>
    <s v="Yes"/>
    <s v="Travel_Frequently"/>
    <n v="575"/>
    <s v="Research &amp; Development"/>
    <n v="3"/>
    <n v="1"/>
    <s v="Technical Degree"/>
    <n v="1"/>
    <n v="510"/>
    <n v="3"/>
    <s v="Male"/>
    <n v="73"/>
    <n v="3"/>
    <n v="1"/>
    <x v="1"/>
    <n v="1"/>
    <s v="Single"/>
    <n v="3102"/>
    <n v="6582"/>
    <n v="0"/>
    <s v="Y"/>
    <s v="No"/>
    <n v="22"/>
    <n v="4"/>
    <n v="3"/>
    <n v="80"/>
    <n v="0"/>
    <n v="7"/>
    <n v="2"/>
    <n v="3"/>
    <n v="6"/>
    <n v="4"/>
    <x v="0"/>
    <n v="4"/>
    <s v="OK"/>
    <s v="OK"/>
    <s v="OK"/>
    <s v="OK"/>
    <n v="0"/>
    <n v="0.66666666666666663"/>
    <n v="0.33333333333333331"/>
    <n v="0.66666666666666663"/>
  </r>
  <r>
    <n v="22"/>
    <s v="No"/>
    <s v="Travel_Rarely"/>
    <n v="253"/>
    <s v="Research &amp; Development"/>
    <n v="11"/>
    <n v="3"/>
    <s v="Medical"/>
    <n v="1"/>
    <n v="511"/>
    <n v="1"/>
    <s v="Female"/>
    <n v="43"/>
    <n v="3"/>
    <n v="1"/>
    <x v="1"/>
    <n v="2"/>
    <s v="Married"/>
    <n v="2244"/>
    <n v="24440"/>
    <n v="1"/>
    <s v="Y"/>
    <s v="No"/>
    <n v="13"/>
    <n v="3"/>
    <n v="4"/>
    <n v="80"/>
    <n v="1"/>
    <n v="2"/>
    <n v="1"/>
    <n v="3"/>
    <n v="2"/>
    <n v="1"/>
    <x v="1"/>
    <n v="2"/>
    <s v="OK"/>
    <s v="OK"/>
    <s v="OK"/>
    <s v="OK"/>
    <n v="0.5"/>
    <n v="0.5"/>
    <n v="0.5"/>
    <n v="1"/>
  </r>
  <r>
    <n v="36"/>
    <s v="No"/>
    <s v="Travel_Rarely"/>
    <n v="164"/>
    <s v="Sales"/>
    <n v="2"/>
    <n v="2"/>
    <s v="Medical"/>
    <n v="1"/>
    <n v="513"/>
    <n v="2"/>
    <s v="Male"/>
    <n v="61"/>
    <n v="2"/>
    <n v="3"/>
    <x v="0"/>
    <n v="3"/>
    <s v="Married"/>
    <n v="7596"/>
    <n v="3809"/>
    <n v="1"/>
    <s v="Y"/>
    <s v="No"/>
    <n v="13"/>
    <n v="3"/>
    <n v="2"/>
    <n v="80"/>
    <n v="2"/>
    <n v="10"/>
    <n v="2"/>
    <n v="3"/>
    <n v="10"/>
    <n v="9"/>
    <x v="10"/>
    <n v="0"/>
    <s v="OK"/>
    <s v="OK"/>
    <s v="OK"/>
    <s v="OK"/>
    <n v="0.9"/>
    <n v="0.9"/>
    <n v="0.2"/>
    <n v="0"/>
  </r>
  <r>
    <n v="30"/>
    <s v="Yes"/>
    <s v="Travel_Frequently"/>
    <n v="464"/>
    <s v="Research &amp; Development"/>
    <n v="4"/>
    <n v="3"/>
    <s v="Technical Degree"/>
    <n v="1"/>
    <n v="514"/>
    <n v="3"/>
    <s v="Male"/>
    <n v="40"/>
    <n v="3"/>
    <n v="1"/>
    <x v="1"/>
    <n v="4"/>
    <s v="Single"/>
    <n v="2285"/>
    <n v="3427"/>
    <n v="9"/>
    <s v="Y"/>
    <s v="Yes"/>
    <n v="23"/>
    <n v="4"/>
    <n v="3"/>
    <n v="80"/>
    <n v="0"/>
    <n v="3"/>
    <n v="4"/>
    <n v="3"/>
    <n v="1"/>
    <n v="0"/>
    <x v="0"/>
    <n v="0"/>
    <s v="OK"/>
    <s v="OK"/>
    <s v="OK"/>
    <s v="OK"/>
    <n v="0"/>
    <n v="0"/>
    <n v="4"/>
    <n v="0"/>
  </r>
  <r>
    <n v="37"/>
    <s v="No"/>
    <s v="Travel_Rarely"/>
    <n v="1107"/>
    <s v="Research &amp; Development"/>
    <n v="14"/>
    <n v="3"/>
    <s v="Life Sciences"/>
    <n v="1"/>
    <n v="515"/>
    <n v="4"/>
    <s v="Female"/>
    <n v="95"/>
    <n v="3"/>
    <n v="1"/>
    <x v="2"/>
    <n v="1"/>
    <s v="Divorced"/>
    <n v="3034"/>
    <n v="26914"/>
    <n v="1"/>
    <s v="Y"/>
    <s v="No"/>
    <n v="12"/>
    <n v="3"/>
    <n v="3"/>
    <n v="80"/>
    <n v="1"/>
    <n v="18"/>
    <n v="2"/>
    <n v="2"/>
    <n v="18"/>
    <n v="7"/>
    <x v="12"/>
    <n v="17"/>
    <s v="OK"/>
    <s v="OK"/>
    <s v="OK"/>
    <s v="OK"/>
    <n v="0.66666666666666663"/>
    <n v="0.3888888888888889"/>
    <n v="0.1111111111111111"/>
    <n v="0.94444444444444442"/>
  </r>
  <r>
    <n v="40"/>
    <s v="No"/>
    <s v="Travel_Rarely"/>
    <n v="759"/>
    <s v="Sales"/>
    <n v="2"/>
    <n v="2"/>
    <s v="Marketing"/>
    <n v="1"/>
    <n v="516"/>
    <n v="4"/>
    <s v="Female"/>
    <n v="46"/>
    <n v="3"/>
    <n v="2"/>
    <x v="0"/>
    <n v="2"/>
    <s v="Divorced"/>
    <n v="5715"/>
    <n v="22553"/>
    <n v="7"/>
    <s v="Y"/>
    <s v="No"/>
    <n v="12"/>
    <n v="3"/>
    <n v="3"/>
    <n v="80"/>
    <n v="2"/>
    <n v="8"/>
    <n v="5"/>
    <n v="3"/>
    <n v="5"/>
    <n v="4"/>
    <x v="1"/>
    <n v="3"/>
    <s v="OK"/>
    <s v="OK"/>
    <s v="OK"/>
    <s v="OK"/>
    <n v="0.2"/>
    <n v="0.8"/>
    <n v="1"/>
    <n v="0.6"/>
  </r>
  <r>
    <n v="42"/>
    <s v="No"/>
    <s v="Travel_Rarely"/>
    <n v="201"/>
    <s v="Research &amp; Development"/>
    <n v="1"/>
    <n v="4"/>
    <s v="Life Sciences"/>
    <n v="1"/>
    <n v="517"/>
    <n v="2"/>
    <s v="Female"/>
    <n v="95"/>
    <n v="3"/>
    <n v="1"/>
    <x v="2"/>
    <n v="1"/>
    <s v="Divorced"/>
    <n v="2576"/>
    <n v="20490"/>
    <n v="3"/>
    <s v="Y"/>
    <s v="No"/>
    <n v="16"/>
    <n v="3"/>
    <n v="2"/>
    <n v="80"/>
    <n v="1"/>
    <n v="8"/>
    <n v="5"/>
    <n v="3"/>
    <n v="5"/>
    <n v="2"/>
    <x v="1"/>
    <n v="2"/>
    <s v="OK"/>
    <s v="OK"/>
    <s v="OK"/>
    <s v="OK"/>
    <n v="0.2"/>
    <n v="0.4"/>
    <n v="1"/>
    <n v="0.4"/>
  </r>
  <r>
    <n v="37"/>
    <s v="No"/>
    <s v="Travel_Rarely"/>
    <n v="1305"/>
    <s v="Research &amp; Development"/>
    <n v="10"/>
    <n v="4"/>
    <s v="Life Sciences"/>
    <n v="1"/>
    <n v="518"/>
    <n v="3"/>
    <s v="Male"/>
    <n v="49"/>
    <n v="3"/>
    <n v="2"/>
    <x v="3"/>
    <n v="2"/>
    <s v="Single"/>
    <n v="4197"/>
    <n v="21123"/>
    <n v="2"/>
    <s v="Y"/>
    <s v="Yes"/>
    <n v="12"/>
    <n v="3"/>
    <n v="4"/>
    <n v="80"/>
    <n v="0"/>
    <n v="18"/>
    <n v="2"/>
    <n v="2"/>
    <n v="1"/>
    <n v="0"/>
    <x v="0"/>
    <n v="1"/>
    <s v="OK"/>
    <s v="OK"/>
    <s v="OK"/>
    <s v="OK"/>
    <n v="0"/>
    <n v="0"/>
    <n v="2"/>
    <n v="1"/>
  </r>
  <r>
    <n v="43"/>
    <s v="No"/>
    <s v="Travel_Rarely"/>
    <n v="982"/>
    <s v="Research &amp; Development"/>
    <n v="12"/>
    <n v="3"/>
    <s v="Life Sciences"/>
    <n v="1"/>
    <n v="520"/>
    <n v="1"/>
    <s v="Male"/>
    <n v="59"/>
    <n v="2"/>
    <n v="4"/>
    <x v="7"/>
    <n v="2"/>
    <s v="Divorced"/>
    <n v="14336"/>
    <n v="4345"/>
    <n v="1"/>
    <s v="Y"/>
    <s v="No"/>
    <n v="11"/>
    <n v="3"/>
    <n v="3"/>
    <n v="80"/>
    <n v="1"/>
    <n v="25"/>
    <n v="3"/>
    <n v="3"/>
    <n v="25"/>
    <n v="10"/>
    <x v="2"/>
    <n v="9"/>
    <s v="OK"/>
    <s v="OK"/>
    <s v="OK"/>
    <s v="OK"/>
    <n v="0.12"/>
    <n v="0.4"/>
    <n v="0.12"/>
    <n v="0.36"/>
  </r>
  <r>
    <n v="40"/>
    <s v="No"/>
    <s v="Travel_Rarely"/>
    <n v="555"/>
    <s v="Research &amp; Development"/>
    <n v="2"/>
    <n v="3"/>
    <s v="Medical"/>
    <n v="1"/>
    <n v="521"/>
    <n v="2"/>
    <s v="Female"/>
    <n v="78"/>
    <n v="2"/>
    <n v="2"/>
    <x v="2"/>
    <n v="3"/>
    <s v="Married"/>
    <n v="3448"/>
    <n v="13436"/>
    <n v="6"/>
    <s v="Y"/>
    <s v="No"/>
    <n v="22"/>
    <n v="4"/>
    <n v="2"/>
    <n v="80"/>
    <n v="1"/>
    <n v="20"/>
    <n v="3"/>
    <n v="3"/>
    <n v="1"/>
    <n v="0"/>
    <x v="0"/>
    <n v="0"/>
    <s v="OK"/>
    <s v="OK"/>
    <s v="OK"/>
    <s v="OK"/>
    <n v="0"/>
    <n v="0"/>
    <n v="3"/>
    <n v="0"/>
  </r>
  <r>
    <n v="54"/>
    <s v="No"/>
    <s v="Travel_Rarely"/>
    <n v="821"/>
    <s v="Research &amp; Development"/>
    <n v="5"/>
    <n v="2"/>
    <s v="Medical"/>
    <n v="1"/>
    <n v="522"/>
    <n v="1"/>
    <s v="Male"/>
    <n v="86"/>
    <n v="3"/>
    <n v="5"/>
    <x v="7"/>
    <n v="1"/>
    <s v="Married"/>
    <n v="19406"/>
    <n v="8509"/>
    <n v="4"/>
    <s v="Y"/>
    <s v="No"/>
    <n v="11"/>
    <n v="3"/>
    <n v="3"/>
    <n v="80"/>
    <n v="1"/>
    <n v="24"/>
    <n v="4"/>
    <n v="2"/>
    <n v="4"/>
    <n v="2"/>
    <x v="1"/>
    <n v="2"/>
    <s v="OK"/>
    <s v="OK"/>
    <s v="OK"/>
    <s v="OK"/>
    <n v="0.25"/>
    <n v="0.5"/>
    <n v="1"/>
    <n v="0.5"/>
  </r>
  <r>
    <n v="34"/>
    <s v="No"/>
    <s v="Non-Travel"/>
    <n v="1381"/>
    <s v="Sales"/>
    <n v="4"/>
    <n v="4"/>
    <s v="Marketing"/>
    <n v="1"/>
    <n v="523"/>
    <n v="3"/>
    <s v="Female"/>
    <n v="72"/>
    <n v="3"/>
    <n v="2"/>
    <x v="0"/>
    <n v="3"/>
    <s v="Married"/>
    <n v="6538"/>
    <n v="12740"/>
    <n v="9"/>
    <s v="Y"/>
    <s v="No"/>
    <n v="15"/>
    <n v="3"/>
    <n v="1"/>
    <n v="80"/>
    <n v="1"/>
    <n v="6"/>
    <n v="3"/>
    <n v="3"/>
    <n v="3"/>
    <n v="2"/>
    <x v="1"/>
    <n v="2"/>
    <s v="OK"/>
    <s v="OK"/>
    <s v="OK"/>
    <s v="OK"/>
    <n v="0.33333333333333331"/>
    <n v="0.66666666666666663"/>
    <n v="1"/>
    <n v="0.66666666666666663"/>
  </r>
  <r>
    <n v="31"/>
    <s v="No"/>
    <s v="Travel_Rarely"/>
    <n v="480"/>
    <s v="Research &amp; Development"/>
    <n v="7"/>
    <n v="2"/>
    <s v="Medical"/>
    <n v="1"/>
    <n v="524"/>
    <n v="2"/>
    <s v="Female"/>
    <n v="31"/>
    <n v="3"/>
    <n v="2"/>
    <x v="3"/>
    <n v="1"/>
    <s v="Married"/>
    <n v="4306"/>
    <n v="4156"/>
    <n v="1"/>
    <s v="Y"/>
    <s v="No"/>
    <n v="12"/>
    <n v="3"/>
    <n v="2"/>
    <n v="80"/>
    <n v="1"/>
    <n v="13"/>
    <n v="5"/>
    <n v="1"/>
    <n v="13"/>
    <n v="10"/>
    <x v="2"/>
    <n v="12"/>
    <s v="OK"/>
    <s v="OK"/>
    <s v="OK"/>
    <s v="OK"/>
    <n v="0.23076923076923078"/>
    <n v="0.76923076923076927"/>
    <n v="0.38461538461538464"/>
    <n v="0.92307692307692313"/>
  </r>
  <r>
    <n v="43"/>
    <s v="No"/>
    <s v="Travel_Frequently"/>
    <n v="313"/>
    <s v="Research &amp; Development"/>
    <n v="21"/>
    <n v="3"/>
    <s v="Medical"/>
    <n v="1"/>
    <n v="525"/>
    <n v="4"/>
    <s v="Male"/>
    <n v="61"/>
    <n v="3"/>
    <n v="1"/>
    <x v="2"/>
    <n v="4"/>
    <s v="Married"/>
    <n v="2258"/>
    <n v="15238"/>
    <n v="7"/>
    <s v="Y"/>
    <s v="No"/>
    <n v="20"/>
    <n v="4"/>
    <n v="1"/>
    <n v="80"/>
    <n v="1"/>
    <n v="8"/>
    <n v="1"/>
    <n v="3"/>
    <n v="3"/>
    <n v="2"/>
    <x v="1"/>
    <n v="2"/>
    <s v="OK"/>
    <s v="OK"/>
    <s v="OK"/>
    <s v="OK"/>
    <n v="0.33333333333333331"/>
    <n v="0.66666666666666663"/>
    <n v="0.33333333333333331"/>
    <n v="0.66666666666666663"/>
  </r>
  <r>
    <n v="43"/>
    <s v="No"/>
    <s v="Travel_Rarely"/>
    <n v="1473"/>
    <s v="Research &amp; Development"/>
    <n v="8"/>
    <n v="4"/>
    <s v="Other"/>
    <n v="1"/>
    <n v="526"/>
    <n v="3"/>
    <s v="Female"/>
    <n v="74"/>
    <n v="3"/>
    <n v="2"/>
    <x v="4"/>
    <n v="3"/>
    <s v="Divorced"/>
    <n v="4522"/>
    <n v="2227"/>
    <n v="4"/>
    <s v="Y"/>
    <s v="Yes"/>
    <n v="14"/>
    <n v="3"/>
    <n v="4"/>
    <n v="80"/>
    <n v="0"/>
    <n v="8"/>
    <n v="3"/>
    <n v="3"/>
    <n v="5"/>
    <n v="2"/>
    <x v="0"/>
    <n v="2"/>
    <s v="OK"/>
    <s v="OK"/>
    <s v="OK"/>
    <s v="OK"/>
    <n v="0"/>
    <n v="0.4"/>
    <n v="0.6"/>
    <n v="0.4"/>
  </r>
  <r>
    <n v="25"/>
    <s v="No"/>
    <s v="Travel_Rarely"/>
    <n v="891"/>
    <s v="Sales"/>
    <n v="4"/>
    <n v="2"/>
    <s v="Life Sciences"/>
    <n v="1"/>
    <n v="527"/>
    <n v="2"/>
    <s v="Female"/>
    <n v="99"/>
    <n v="2"/>
    <n v="2"/>
    <x v="0"/>
    <n v="4"/>
    <s v="Single"/>
    <n v="4487"/>
    <n v="12090"/>
    <n v="1"/>
    <s v="Y"/>
    <s v="Yes"/>
    <n v="11"/>
    <n v="3"/>
    <n v="2"/>
    <n v="80"/>
    <n v="0"/>
    <n v="5"/>
    <n v="3"/>
    <n v="3"/>
    <n v="5"/>
    <n v="4"/>
    <x v="1"/>
    <n v="3"/>
    <s v="OK"/>
    <s v="OK"/>
    <s v="OK"/>
    <s v="OK"/>
    <n v="0.2"/>
    <n v="0.8"/>
    <n v="0.6"/>
    <n v="0.6"/>
  </r>
  <r>
    <n v="37"/>
    <s v="No"/>
    <s v="Non-Travel"/>
    <n v="1063"/>
    <s v="Research &amp; Development"/>
    <n v="25"/>
    <n v="5"/>
    <s v="Medical"/>
    <n v="1"/>
    <n v="529"/>
    <n v="2"/>
    <s v="Female"/>
    <n v="72"/>
    <n v="3"/>
    <n v="2"/>
    <x v="1"/>
    <n v="3"/>
    <s v="Married"/>
    <n v="4449"/>
    <n v="23866"/>
    <n v="3"/>
    <s v="Y"/>
    <s v="Yes"/>
    <n v="15"/>
    <n v="3"/>
    <n v="1"/>
    <n v="80"/>
    <n v="2"/>
    <n v="15"/>
    <n v="2"/>
    <n v="3"/>
    <n v="13"/>
    <n v="11"/>
    <x v="13"/>
    <n v="7"/>
    <s v="OK"/>
    <s v="OK"/>
    <s v="OK"/>
    <s v="OK"/>
    <n v="0.76923076923076927"/>
    <n v="0.84615384615384615"/>
    <n v="0.15384615384615385"/>
    <n v="0.53846153846153844"/>
  </r>
  <r>
    <n v="31"/>
    <s v="No"/>
    <s v="Travel_Rarely"/>
    <n v="329"/>
    <s v="Research &amp; Development"/>
    <n v="1"/>
    <n v="2"/>
    <s v="Life Sciences"/>
    <n v="1"/>
    <n v="530"/>
    <n v="4"/>
    <s v="Male"/>
    <n v="98"/>
    <n v="2"/>
    <n v="1"/>
    <x v="2"/>
    <n v="1"/>
    <s v="Married"/>
    <n v="2218"/>
    <n v="16193"/>
    <n v="1"/>
    <s v="Y"/>
    <s v="No"/>
    <n v="12"/>
    <n v="3"/>
    <n v="3"/>
    <n v="80"/>
    <n v="1"/>
    <n v="4"/>
    <n v="3"/>
    <n v="3"/>
    <n v="4"/>
    <n v="2"/>
    <x v="2"/>
    <n v="2"/>
    <s v="OK"/>
    <s v="OK"/>
    <s v="OK"/>
    <s v="OK"/>
    <n v="0.75"/>
    <n v="0.5"/>
    <n v="0.75"/>
    <n v="0.5"/>
  </r>
  <r>
    <n v="39"/>
    <s v="No"/>
    <s v="Travel_Frequently"/>
    <n v="1218"/>
    <s v="Research &amp; Development"/>
    <n v="1"/>
    <n v="1"/>
    <s v="Life Sciences"/>
    <n v="1"/>
    <n v="531"/>
    <n v="2"/>
    <s v="Male"/>
    <n v="52"/>
    <n v="3"/>
    <n v="5"/>
    <x v="5"/>
    <n v="3"/>
    <s v="Divorced"/>
    <n v="19197"/>
    <n v="8213"/>
    <n v="1"/>
    <s v="Y"/>
    <s v="Yes"/>
    <n v="14"/>
    <n v="3"/>
    <n v="3"/>
    <n v="80"/>
    <n v="1"/>
    <n v="21"/>
    <n v="3"/>
    <n v="3"/>
    <n v="21"/>
    <n v="8"/>
    <x v="1"/>
    <n v="6"/>
    <s v="OK"/>
    <s v="OK"/>
    <s v="OK"/>
    <s v="OK"/>
    <n v="4.7619047619047616E-2"/>
    <n v="0.38095238095238093"/>
    <n v="0.14285714285714285"/>
    <n v="0.2857142857142857"/>
  </r>
  <r>
    <n v="56"/>
    <s v="No"/>
    <s v="Travel_Frequently"/>
    <n v="906"/>
    <s v="Sales"/>
    <n v="6"/>
    <n v="3"/>
    <s v="Life Sciences"/>
    <n v="1"/>
    <n v="532"/>
    <n v="3"/>
    <s v="Female"/>
    <n v="86"/>
    <n v="4"/>
    <n v="4"/>
    <x v="0"/>
    <n v="1"/>
    <s v="Married"/>
    <n v="13212"/>
    <n v="18256"/>
    <n v="9"/>
    <s v="Y"/>
    <s v="No"/>
    <n v="11"/>
    <n v="3"/>
    <n v="4"/>
    <n v="80"/>
    <n v="3"/>
    <n v="36"/>
    <n v="0"/>
    <n v="2"/>
    <n v="7"/>
    <n v="7"/>
    <x v="4"/>
    <n v="7"/>
    <s v="OK"/>
    <s v="OK"/>
    <s v="OK"/>
    <s v="OK"/>
    <n v="1"/>
    <n v="1"/>
    <n v="0"/>
    <n v="1"/>
  </r>
  <r>
    <n v="30"/>
    <s v="No"/>
    <s v="Travel_Rarely"/>
    <n v="1082"/>
    <s v="Sales"/>
    <n v="12"/>
    <n v="3"/>
    <s v="Technical Degree"/>
    <n v="1"/>
    <n v="533"/>
    <n v="2"/>
    <s v="Female"/>
    <n v="83"/>
    <n v="3"/>
    <n v="2"/>
    <x v="0"/>
    <n v="3"/>
    <s v="Single"/>
    <n v="6577"/>
    <n v="19558"/>
    <n v="0"/>
    <s v="Y"/>
    <s v="No"/>
    <n v="11"/>
    <n v="3"/>
    <n v="2"/>
    <n v="80"/>
    <n v="0"/>
    <n v="6"/>
    <n v="6"/>
    <n v="3"/>
    <n v="5"/>
    <n v="4"/>
    <x v="5"/>
    <n v="4"/>
    <s v="OK"/>
    <s v="OK"/>
    <s v="OK"/>
    <s v="OK"/>
    <n v="0.8"/>
    <n v="0.8"/>
    <n v="1.2"/>
    <n v="0.8"/>
  </r>
  <r>
    <n v="41"/>
    <s v="No"/>
    <s v="Travel_Rarely"/>
    <n v="645"/>
    <s v="Sales"/>
    <n v="1"/>
    <n v="3"/>
    <s v="Marketing"/>
    <n v="1"/>
    <n v="534"/>
    <n v="2"/>
    <s v="Male"/>
    <n v="49"/>
    <n v="4"/>
    <n v="3"/>
    <x v="0"/>
    <n v="1"/>
    <s v="Married"/>
    <n v="8392"/>
    <n v="19566"/>
    <n v="1"/>
    <s v="Y"/>
    <s v="No"/>
    <n v="16"/>
    <n v="3"/>
    <n v="3"/>
    <n v="80"/>
    <n v="1"/>
    <n v="10"/>
    <n v="2"/>
    <n v="3"/>
    <n v="10"/>
    <n v="7"/>
    <x v="0"/>
    <n v="7"/>
    <s v="OK"/>
    <s v="OK"/>
    <s v="OK"/>
    <s v="OK"/>
    <n v="0"/>
    <n v="0.7"/>
    <n v="0.2"/>
    <n v="0.7"/>
  </r>
  <r>
    <n v="28"/>
    <s v="No"/>
    <s v="Travel_Rarely"/>
    <n v="1300"/>
    <s v="Research &amp; Development"/>
    <n v="17"/>
    <n v="2"/>
    <s v="Medical"/>
    <n v="1"/>
    <n v="536"/>
    <n v="3"/>
    <s v="Male"/>
    <n v="79"/>
    <n v="3"/>
    <n v="2"/>
    <x v="2"/>
    <n v="1"/>
    <s v="Divorced"/>
    <n v="4558"/>
    <n v="13535"/>
    <n v="1"/>
    <s v="Y"/>
    <s v="No"/>
    <n v="12"/>
    <n v="3"/>
    <n v="4"/>
    <n v="80"/>
    <n v="1"/>
    <n v="10"/>
    <n v="2"/>
    <n v="3"/>
    <n v="10"/>
    <n v="0"/>
    <x v="1"/>
    <n v="8"/>
    <s v="OK"/>
    <s v="OK"/>
    <s v="OK"/>
    <s v="OK"/>
    <n v="0.1"/>
    <n v="0"/>
    <n v="0.2"/>
    <n v="0.8"/>
  </r>
  <r>
    <n v="25"/>
    <s v="Yes"/>
    <s v="Travel_Rarely"/>
    <n v="688"/>
    <s v="Research &amp; Development"/>
    <n v="3"/>
    <n v="3"/>
    <s v="Medical"/>
    <n v="1"/>
    <n v="538"/>
    <n v="1"/>
    <s v="Male"/>
    <n v="91"/>
    <n v="3"/>
    <n v="1"/>
    <x v="2"/>
    <n v="1"/>
    <s v="Married"/>
    <n v="4031"/>
    <n v="9396"/>
    <n v="5"/>
    <s v="Y"/>
    <s v="No"/>
    <n v="13"/>
    <n v="3"/>
    <n v="3"/>
    <n v="80"/>
    <n v="1"/>
    <n v="6"/>
    <n v="5"/>
    <n v="3"/>
    <n v="2"/>
    <n v="2"/>
    <x v="0"/>
    <n v="2"/>
    <s v="OK"/>
    <s v="OK"/>
    <s v="OK"/>
    <s v="OK"/>
    <n v="0"/>
    <n v="1"/>
    <n v="2.5"/>
    <n v="1"/>
  </r>
  <r>
    <n v="52"/>
    <s v="No"/>
    <s v="Travel_Rarely"/>
    <n v="319"/>
    <s v="Research &amp; Development"/>
    <n v="3"/>
    <n v="3"/>
    <s v="Medical"/>
    <n v="1"/>
    <n v="543"/>
    <n v="4"/>
    <s v="Male"/>
    <n v="39"/>
    <n v="2"/>
    <n v="3"/>
    <x v="3"/>
    <n v="3"/>
    <s v="Married"/>
    <n v="7969"/>
    <n v="19609"/>
    <n v="2"/>
    <s v="Y"/>
    <s v="Yes"/>
    <n v="14"/>
    <n v="3"/>
    <n v="3"/>
    <n v="80"/>
    <n v="0"/>
    <n v="28"/>
    <n v="4"/>
    <n v="3"/>
    <n v="5"/>
    <n v="4"/>
    <x v="0"/>
    <n v="4"/>
    <s v="OK"/>
    <s v="OK"/>
    <s v="OK"/>
    <s v="OK"/>
    <n v="0"/>
    <n v="0.8"/>
    <n v="0.8"/>
    <n v="0.8"/>
  </r>
  <r>
    <n v="45"/>
    <s v="No"/>
    <s v="Travel_Rarely"/>
    <n v="192"/>
    <s v="Research &amp; Development"/>
    <n v="10"/>
    <n v="2"/>
    <s v="Life Sciences"/>
    <n v="1"/>
    <n v="544"/>
    <n v="1"/>
    <s v="Male"/>
    <n v="69"/>
    <n v="3"/>
    <n v="1"/>
    <x v="1"/>
    <n v="4"/>
    <s v="Married"/>
    <n v="2654"/>
    <n v="9655"/>
    <n v="3"/>
    <s v="Y"/>
    <s v="No"/>
    <n v="21"/>
    <n v="4"/>
    <n v="4"/>
    <n v="80"/>
    <n v="2"/>
    <n v="8"/>
    <n v="3"/>
    <n v="2"/>
    <n v="2"/>
    <n v="2"/>
    <x v="0"/>
    <n v="2"/>
    <s v="OK"/>
    <s v="OK"/>
    <s v="OK"/>
    <s v="OK"/>
    <n v="0"/>
    <n v="1"/>
    <n v="1.5"/>
    <n v="1"/>
  </r>
  <r>
    <n v="52"/>
    <s v="No"/>
    <s v="Travel_Rarely"/>
    <n v="1490"/>
    <s v="Research &amp; Development"/>
    <n v="4"/>
    <n v="2"/>
    <s v="Life Sciences"/>
    <n v="1"/>
    <n v="546"/>
    <n v="4"/>
    <s v="Female"/>
    <n v="30"/>
    <n v="3"/>
    <n v="4"/>
    <x v="5"/>
    <n v="4"/>
    <s v="Married"/>
    <n v="16555"/>
    <n v="10310"/>
    <n v="2"/>
    <s v="Y"/>
    <s v="No"/>
    <n v="13"/>
    <n v="3"/>
    <n v="4"/>
    <n v="80"/>
    <n v="0"/>
    <n v="31"/>
    <n v="2"/>
    <n v="1"/>
    <n v="5"/>
    <n v="2"/>
    <x v="1"/>
    <n v="4"/>
    <s v="OK"/>
    <s v="OK"/>
    <s v="OK"/>
    <s v="OK"/>
    <n v="0.2"/>
    <n v="0.4"/>
    <n v="0.4"/>
    <n v="0.8"/>
  </r>
  <r>
    <n v="42"/>
    <s v="No"/>
    <s v="Travel_Frequently"/>
    <n v="532"/>
    <s v="Research &amp; Development"/>
    <n v="29"/>
    <n v="2"/>
    <s v="Life Sciences"/>
    <n v="1"/>
    <n v="547"/>
    <n v="1"/>
    <s v="Female"/>
    <n v="92"/>
    <n v="3"/>
    <n v="2"/>
    <x v="1"/>
    <n v="3"/>
    <s v="Divorced"/>
    <n v="4556"/>
    <n v="12932"/>
    <n v="2"/>
    <s v="Y"/>
    <s v="No"/>
    <n v="11"/>
    <n v="3"/>
    <n v="2"/>
    <n v="80"/>
    <n v="1"/>
    <n v="19"/>
    <n v="3"/>
    <n v="3"/>
    <n v="5"/>
    <n v="4"/>
    <x v="0"/>
    <n v="2"/>
    <s v="OK"/>
    <s v="OK"/>
    <s v="OK"/>
    <s v="OK"/>
    <n v="0"/>
    <n v="0.8"/>
    <n v="0.6"/>
    <n v="0.4"/>
  </r>
  <r>
    <n v="30"/>
    <s v="No"/>
    <s v="Travel_Rarely"/>
    <n v="317"/>
    <s v="Research &amp; Development"/>
    <n v="2"/>
    <n v="3"/>
    <s v="Life Sciences"/>
    <n v="1"/>
    <n v="548"/>
    <n v="3"/>
    <s v="Female"/>
    <n v="43"/>
    <n v="1"/>
    <n v="2"/>
    <x v="3"/>
    <n v="4"/>
    <s v="Single"/>
    <n v="6091"/>
    <n v="24793"/>
    <n v="2"/>
    <s v="Y"/>
    <s v="No"/>
    <n v="20"/>
    <n v="4"/>
    <n v="3"/>
    <n v="80"/>
    <n v="0"/>
    <n v="11"/>
    <n v="2"/>
    <n v="3"/>
    <n v="5"/>
    <n v="4"/>
    <x v="0"/>
    <n v="2"/>
    <s v="OK"/>
    <s v="OK"/>
    <s v="OK"/>
    <s v="OK"/>
    <n v="0"/>
    <n v="0.8"/>
    <n v="0.4"/>
    <n v="0.4"/>
  </r>
  <r>
    <n v="60"/>
    <s v="No"/>
    <s v="Travel_Rarely"/>
    <n v="422"/>
    <s v="Research &amp; Development"/>
    <n v="7"/>
    <n v="3"/>
    <s v="Life Sciences"/>
    <n v="1"/>
    <n v="549"/>
    <n v="1"/>
    <s v="Female"/>
    <n v="41"/>
    <n v="3"/>
    <n v="5"/>
    <x v="5"/>
    <n v="1"/>
    <s v="Married"/>
    <n v="19566"/>
    <n v="3854"/>
    <n v="5"/>
    <s v="Y"/>
    <s v="No"/>
    <n v="11"/>
    <n v="3"/>
    <n v="4"/>
    <n v="80"/>
    <n v="0"/>
    <n v="33"/>
    <n v="5"/>
    <n v="1"/>
    <n v="29"/>
    <n v="8"/>
    <x v="14"/>
    <n v="10"/>
    <s v="OK"/>
    <s v="OK"/>
    <s v="OK"/>
    <s v="OK"/>
    <n v="0.37931034482758619"/>
    <n v="0.27586206896551724"/>
    <n v="0.17241379310344829"/>
    <n v="0.34482758620689657"/>
  </r>
  <r>
    <n v="46"/>
    <s v="No"/>
    <s v="Travel_Rarely"/>
    <n v="1485"/>
    <s v="Research &amp; Development"/>
    <n v="18"/>
    <n v="3"/>
    <s v="Medical"/>
    <n v="1"/>
    <n v="550"/>
    <n v="3"/>
    <s v="Female"/>
    <n v="87"/>
    <n v="3"/>
    <n v="2"/>
    <x v="3"/>
    <n v="3"/>
    <s v="Divorced"/>
    <n v="4810"/>
    <n v="26314"/>
    <n v="2"/>
    <s v="Y"/>
    <s v="No"/>
    <n v="14"/>
    <n v="3"/>
    <n v="3"/>
    <n v="80"/>
    <n v="1"/>
    <n v="19"/>
    <n v="5"/>
    <n v="2"/>
    <n v="10"/>
    <n v="7"/>
    <x v="0"/>
    <n v="8"/>
    <s v="OK"/>
    <s v="OK"/>
    <s v="OK"/>
    <s v="OK"/>
    <n v="0"/>
    <n v="0.7"/>
    <n v="0.5"/>
    <n v="0.8"/>
  </r>
  <r>
    <n v="42"/>
    <s v="No"/>
    <s v="Travel_Frequently"/>
    <n v="1368"/>
    <s v="Research &amp; Development"/>
    <n v="28"/>
    <n v="4"/>
    <s v="Technical Degree"/>
    <n v="1"/>
    <n v="551"/>
    <n v="4"/>
    <s v="Female"/>
    <n v="88"/>
    <n v="2"/>
    <n v="2"/>
    <x v="4"/>
    <n v="4"/>
    <s v="Married"/>
    <n v="4523"/>
    <n v="4386"/>
    <n v="0"/>
    <s v="Y"/>
    <s v="No"/>
    <n v="11"/>
    <n v="3"/>
    <n v="4"/>
    <n v="80"/>
    <n v="3"/>
    <n v="7"/>
    <n v="4"/>
    <n v="4"/>
    <n v="6"/>
    <n v="5"/>
    <x v="0"/>
    <n v="4"/>
    <s v="OK"/>
    <s v="OK"/>
    <s v="OK"/>
    <s v="OK"/>
    <n v="0"/>
    <n v="0.83333333333333337"/>
    <n v="0.66666666666666663"/>
    <n v="0.66666666666666663"/>
  </r>
  <r>
    <n v="24"/>
    <s v="Yes"/>
    <s v="Travel_Rarely"/>
    <n v="1448"/>
    <s v="Sales"/>
    <n v="1"/>
    <n v="1"/>
    <s v="Technical Degree"/>
    <n v="1"/>
    <n v="554"/>
    <n v="1"/>
    <s v="Female"/>
    <n v="62"/>
    <n v="3"/>
    <n v="1"/>
    <x v="6"/>
    <n v="2"/>
    <s v="Single"/>
    <n v="3202"/>
    <n v="21972"/>
    <n v="1"/>
    <s v="Y"/>
    <s v="Yes"/>
    <n v="16"/>
    <n v="3"/>
    <n v="2"/>
    <n v="80"/>
    <n v="0"/>
    <n v="6"/>
    <n v="4"/>
    <n v="3"/>
    <n v="5"/>
    <n v="3"/>
    <x v="1"/>
    <n v="4"/>
    <s v="OK"/>
    <s v="OK"/>
    <s v="OK"/>
    <s v="OK"/>
    <n v="0.2"/>
    <n v="0.6"/>
    <n v="0.8"/>
    <n v="0.8"/>
  </r>
  <r>
    <n v="34"/>
    <s v="Yes"/>
    <s v="Travel_Frequently"/>
    <n v="296"/>
    <s v="Sales"/>
    <n v="6"/>
    <n v="2"/>
    <s v="Marketing"/>
    <n v="1"/>
    <n v="555"/>
    <n v="4"/>
    <s v="Female"/>
    <n v="33"/>
    <n v="1"/>
    <n v="1"/>
    <x v="6"/>
    <n v="3"/>
    <s v="Divorced"/>
    <n v="2351"/>
    <n v="12253"/>
    <n v="0"/>
    <s v="Y"/>
    <s v="No"/>
    <n v="16"/>
    <n v="3"/>
    <n v="4"/>
    <n v="80"/>
    <n v="1"/>
    <n v="3"/>
    <n v="3"/>
    <n v="2"/>
    <n v="2"/>
    <n v="2"/>
    <x v="1"/>
    <n v="0"/>
    <s v="OK"/>
    <s v="OK"/>
    <s v="OK"/>
    <s v="OK"/>
    <n v="0.5"/>
    <n v="1"/>
    <n v="1.5"/>
    <n v="0"/>
  </r>
  <r>
    <n v="38"/>
    <s v="No"/>
    <s v="Travel_Frequently"/>
    <n v="1490"/>
    <s v="Research &amp; Development"/>
    <n v="2"/>
    <n v="2"/>
    <s v="Life Sciences"/>
    <n v="1"/>
    <n v="556"/>
    <n v="4"/>
    <s v="Male"/>
    <n v="42"/>
    <n v="3"/>
    <n v="1"/>
    <x v="2"/>
    <n v="4"/>
    <s v="Married"/>
    <n v="1702"/>
    <n v="12106"/>
    <n v="1"/>
    <s v="Y"/>
    <s v="Yes"/>
    <n v="23"/>
    <n v="4"/>
    <n v="3"/>
    <n v="80"/>
    <n v="1"/>
    <n v="1"/>
    <n v="3"/>
    <n v="3"/>
    <n v="1"/>
    <n v="0"/>
    <x v="0"/>
    <n v="0"/>
    <s v="OK"/>
    <s v="OK"/>
    <s v="OK"/>
    <s v="OK"/>
    <n v="0"/>
    <n v="0"/>
    <n v="3"/>
    <n v="0"/>
  </r>
  <r>
    <n v="40"/>
    <s v="No"/>
    <s v="Travel_Rarely"/>
    <n v="1398"/>
    <s v="Sales"/>
    <n v="2"/>
    <n v="4"/>
    <s v="Life Sciences"/>
    <n v="1"/>
    <n v="558"/>
    <n v="3"/>
    <s v="Female"/>
    <n v="79"/>
    <n v="3"/>
    <n v="5"/>
    <x v="5"/>
    <n v="3"/>
    <s v="Married"/>
    <n v="18041"/>
    <n v="13022"/>
    <n v="0"/>
    <s v="Y"/>
    <s v="No"/>
    <n v="14"/>
    <n v="3"/>
    <n v="4"/>
    <n v="80"/>
    <n v="0"/>
    <n v="21"/>
    <n v="2"/>
    <n v="3"/>
    <n v="20"/>
    <n v="15"/>
    <x v="1"/>
    <n v="12"/>
    <s v="OK"/>
    <s v="OK"/>
    <s v="OK"/>
    <s v="OK"/>
    <n v="0.05"/>
    <n v="0.75"/>
    <n v="0.1"/>
    <n v="0.6"/>
  </r>
  <r>
    <n v="26"/>
    <s v="No"/>
    <s v="Travel_Rarely"/>
    <n v="1349"/>
    <s v="Research &amp; Development"/>
    <n v="23"/>
    <n v="3"/>
    <s v="Life Sciences"/>
    <n v="1"/>
    <n v="560"/>
    <n v="1"/>
    <s v="Female"/>
    <n v="90"/>
    <n v="3"/>
    <n v="1"/>
    <x v="1"/>
    <n v="4"/>
    <s v="Divorced"/>
    <n v="2886"/>
    <n v="3032"/>
    <n v="1"/>
    <s v="Y"/>
    <s v="No"/>
    <n v="22"/>
    <n v="4"/>
    <n v="2"/>
    <n v="80"/>
    <n v="2"/>
    <n v="3"/>
    <n v="3"/>
    <n v="1"/>
    <n v="3"/>
    <n v="2"/>
    <x v="0"/>
    <n v="2"/>
    <s v="OK"/>
    <s v="OK"/>
    <s v="OK"/>
    <s v="OK"/>
    <n v="0"/>
    <n v="0.66666666666666663"/>
    <n v="1"/>
    <n v="0.66666666666666663"/>
  </r>
  <r>
    <n v="30"/>
    <s v="No"/>
    <s v="Non-Travel"/>
    <n v="1400"/>
    <s v="Research &amp; Development"/>
    <n v="3"/>
    <n v="3"/>
    <s v="Life Sciences"/>
    <n v="1"/>
    <n v="562"/>
    <n v="3"/>
    <s v="Male"/>
    <n v="53"/>
    <n v="3"/>
    <n v="1"/>
    <x v="2"/>
    <n v="4"/>
    <s v="Married"/>
    <n v="2097"/>
    <n v="16734"/>
    <n v="4"/>
    <s v="Y"/>
    <s v="No"/>
    <n v="15"/>
    <n v="3"/>
    <n v="3"/>
    <n v="80"/>
    <n v="1"/>
    <n v="9"/>
    <n v="3"/>
    <n v="1"/>
    <n v="5"/>
    <n v="3"/>
    <x v="1"/>
    <n v="4"/>
    <s v="OK"/>
    <s v="OK"/>
    <s v="OK"/>
    <s v="OK"/>
    <n v="0.2"/>
    <n v="0.6"/>
    <n v="0.6"/>
    <n v="0.8"/>
  </r>
  <r>
    <n v="29"/>
    <s v="No"/>
    <s v="Travel_Rarely"/>
    <n v="986"/>
    <s v="Research &amp; Development"/>
    <n v="3"/>
    <n v="4"/>
    <s v="Medical"/>
    <n v="1"/>
    <n v="564"/>
    <n v="2"/>
    <s v="Male"/>
    <n v="93"/>
    <n v="2"/>
    <n v="3"/>
    <x v="7"/>
    <n v="3"/>
    <s v="Married"/>
    <n v="11935"/>
    <n v="21526"/>
    <n v="1"/>
    <s v="Y"/>
    <s v="No"/>
    <n v="18"/>
    <n v="3"/>
    <n v="3"/>
    <n v="80"/>
    <n v="0"/>
    <n v="10"/>
    <n v="2"/>
    <n v="3"/>
    <n v="10"/>
    <n v="2"/>
    <x v="0"/>
    <n v="7"/>
    <s v="OK"/>
    <s v="OK"/>
    <s v="OK"/>
    <s v="OK"/>
    <n v="0"/>
    <n v="0.2"/>
    <n v="0.2"/>
    <n v="0.7"/>
  </r>
  <r>
    <n v="29"/>
    <s v="Yes"/>
    <s v="Travel_Rarely"/>
    <n v="408"/>
    <s v="Research &amp; Development"/>
    <n v="25"/>
    <n v="5"/>
    <s v="Technical Degree"/>
    <n v="1"/>
    <n v="565"/>
    <n v="3"/>
    <s v="Female"/>
    <n v="71"/>
    <n v="2"/>
    <n v="1"/>
    <x v="1"/>
    <n v="2"/>
    <s v="Married"/>
    <n v="2546"/>
    <n v="18300"/>
    <n v="5"/>
    <s v="Y"/>
    <s v="No"/>
    <n v="16"/>
    <n v="3"/>
    <n v="2"/>
    <n v="80"/>
    <n v="0"/>
    <n v="6"/>
    <n v="2"/>
    <n v="4"/>
    <n v="2"/>
    <n v="2"/>
    <x v="1"/>
    <n v="1"/>
    <s v="OK"/>
    <s v="OK"/>
    <s v="OK"/>
    <s v="OK"/>
    <n v="0.5"/>
    <n v="1"/>
    <n v="1"/>
    <n v="0.5"/>
  </r>
  <r>
    <n v="19"/>
    <s v="Yes"/>
    <s v="Travel_Rarely"/>
    <n v="489"/>
    <s v="Human Resources"/>
    <n v="2"/>
    <n v="2"/>
    <s v="Technical Degree"/>
    <n v="1"/>
    <n v="566"/>
    <n v="1"/>
    <s v="Male"/>
    <n v="52"/>
    <n v="2"/>
    <n v="1"/>
    <x v="8"/>
    <n v="4"/>
    <s v="Single"/>
    <n v="2564"/>
    <n v="18437"/>
    <n v="1"/>
    <s v="Y"/>
    <s v="No"/>
    <n v="12"/>
    <n v="3"/>
    <n v="3"/>
    <n v="80"/>
    <n v="0"/>
    <n v="1"/>
    <n v="3"/>
    <n v="4"/>
    <n v="1"/>
    <n v="0"/>
    <x v="0"/>
    <n v="0"/>
    <s v="OK"/>
    <s v="OK"/>
    <s v="OK"/>
    <s v="OK"/>
    <n v="0"/>
    <n v="0"/>
    <n v="3"/>
    <n v="0"/>
  </r>
  <r>
    <n v="30"/>
    <s v="No"/>
    <s v="Non-Travel"/>
    <n v="1398"/>
    <s v="Sales"/>
    <n v="22"/>
    <n v="4"/>
    <s v="Other"/>
    <n v="1"/>
    <n v="567"/>
    <n v="3"/>
    <s v="Female"/>
    <n v="69"/>
    <n v="3"/>
    <n v="3"/>
    <x v="0"/>
    <n v="1"/>
    <s v="Married"/>
    <n v="8412"/>
    <n v="2890"/>
    <n v="0"/>
    <s v="Y"/>
    <s v="No"/>
    <n v="11"/>
    <n v="3"/>
    <n v="3"/>
    <n v="80"/>
    <n v="0"/>
    <n v="10"/>
    <n v="3"/>
    <n v="3"/>
    <n v="9"/>
    <n v="8"/>
    <x v="4"/>
    <n v="8"/>
    <s v="OK"/>
    <s v="OK"/>
    <s v="OK"/>
    <s v="OK"/>
    <n v="0.77777777777777779"/>
    <n v="0.88888888888888884"/>
    <n v="0.33333333333333331"/>
    <n v="0.88888888888888884"/>
  </r>
  <r>
    <n v="57"/>
    <s v="No"/>
    <s v="Travel_Rarely"/>
    <n v="210"/>
    <s v="Sales"/>
    <n v="29"/>
    <n v="3"/>
    <s v="Marketing"/>
    <n v="1"/>
    <n v="568"/>
    <n v="1"/>
    <s v="Male"/>
    <n v="56"/>
    <n v="2"/>
    <n v="4"/>
    <x v="5"/>
    <n v="4"/>
    <s v="Divorced"/>
    <n v="14118"/>
    <n v="22102"/>
    <n v="3"/>
    <s v="Y"/>
    <s v="No"/>
    <n v="12"/>
    <n v="3"/>
    <n v="3"/>
    <n v="80"/>
    <n v="1"/>
    <n v="32"/>
    <n v="3"/>
    <n v="2"/>
    <n v="1"/>
    <n v="0"/>
    <x v="0"/>
    <n v="0"/>
    <s v="OK"/>
    <s v="OK"/>
    <s v="OK"/>
    <s v="OK"/>
    <n v="0"/>
    <n v="0"/>
    <n v="3"/>
    <n v="0"/>
  </r>
  <r>
    <n v="50"/>
    <s v="No"/>
    <s v="Travel_Rarely"/>
    <n v="1099"/>
    <s v="Research &amp; Development"/>
    <n v="29"/>
    <n v="4"/>
    <s v="Life Sciences"/>
    <n v="1"/>
    <n v="569"/>
    <n v="2"/>
    <s v="Male"/>
    <n v="88"/>
    <n v="2"/>
    <n v="4"/>
    <x v="5"/>
    <n v="3"/>
    <s v="Married"/>
    <n v="17046"/>
    <n v="9314"/>
    <n v="0"/>
    <s v="Y"/>
    <s v="No"/>
    <n v="15"/>
    <n v="3"/>
    <n v="2"/>
    <n v="80"/>
    <n v="1"/>
    <n v="28"/>
    <n v="2"/>
    <n v="3"/>
    <n v="27"/>
    <n v="10"/>
    <x v="9"/>
    <n v="7"/>
    <s v="OK"/>
    <s v="OK"/>
    <s v="OK"/>
    <s v="OK"/>
    <n v="0.55555555555555558"/>
    <n v="0.37037037037037035"/>
    <n v="7.407407407407407E-2"/>
    <n v="0.25925925925925924"/>
  </r>
  <r>
    <n v="30"/>
    <s v="No"/>
    <s v="Non-Travel"/>
    <n v="1116"/>
    <s v="Research &amp; Development"/>
    <n v="2"/>
    <n v="3"/>
    <s v="Medical"/>
    <n v="1"/>
    <n v="571"/>
    <n v="3"/>
    <s v="Female"/>
    <n v="49"/>
    <n v="3"/>
    <n v="1"/>
    <x v="2"/>
    <n v="4"/>
    <s v="Single"/>
    <n v="2564"/>
    <n v="7181"/>
    <n v="0"/>
    <s v="Y"/>
    <s v="No"/>
    <n v="14"/>
    <n v="3"/>
    <n v="3"/>
    <n v="80"/>
    <n v="0"/>
    <n v="12"/>
    <n v="2"/>
    <n v="2"/>
    <n v="11"/>
    <n v="7"/>
    <x v="7"/>
    <n v="7"/>
    <s v="OK"/>
    <s v="OK"/>
    <s v="OK"/>
    <s v="OK"/>
    <n v="0.54545454545454541"/>
    <n v="0.63636363636363635"/>
    <n v="0.18181818181818182"/>
    <n v="0.63636363636363635"/>
  </r>
  <r>
    <n v="60"/>
    <s v="No"/>
    <s v="Travel_Frequently"/>
    <n v="1499"/>
    <s v="Sales"/>
    <n v="28"/>
    <n v="3"/>
    <s v="Marketing"/>
    <n v="1"/>
    <n v="573"/>
    <n v="3"/>
    <s v="Female"/>
    <n v="80"/>
    <n v="2"/>
    <n v="3"/>
    <x v="0"/>
    <n v="1"/>
    <s v="Married"/>
    <n v="10266"/>
    <n v="2845"/>
    <n v="4"/>
    <s v="Y"/>
    <s v="No"/>
    <n v="19"/>
    <n v="3"/>
    <n v="4"/>
    <n v="80"/>
    <n v="0"/>
    <n v="22"/>
    <n v="5"/>
    <n v="4"/>
    <n v="18"/>
    <n v="13"/>
    <x v="11"/>
    <n v="11"/>
    <s v="OK"/>
    <s v="OK"/>
    <s v="OK"/>
    <s v="OK"/>
    <n v="0.72222222222222221"/>
    <n v="0.72222222222222221"/>
    <n v="0.27777777777777779"/>
    <n v="0.61111111111111116"/>
  </r>
  <r>
    <n v="47"/>
    <s v="No"/>
    <s v="Travel_Rarely"/>
    <n v="983"/>
    <s v="Research &amp; Development"/>
    <n v="2"/>
    <n v="2"/>
    <s v="Medical"/>
    <n v="1"/>
    <n v="574"/>
    <n v="1"/>
    <s v="Female"/>
    <n v="65"/>
    <n v="3"/>
    <n v="2"/>
    <x v="3"/>
    <n v="4"/>
    <s v="Divorced"/>
    <n v="5070"/>
    <n v="7389"/>
    <n v="5"/>
    <s v="Y"/>
    <s v="No"/>
    <n v="13"/>
    <n v="3"/>
    <n v="3"/>
    <n v="80"/>
    <n v="3"/>
    <n v="20"/>
    <n v="2"/>
    <n v="3"/>
    <n v="5"/>
    <n v="0"/>
    <x v="0"/>
    <n v="4"/>
    <s v="OK"/>
    <s v="OK"/>
    <s v="OK"/>
    <s v="OK"/>
    <n v="0"/>
    <n v="0"/>
    <n v="0.4"/>
    <n v="0.8"/>
  </r>
  <r>
    <n v="46"/>
    <s v="No"/>
    <s v="Travel_Rarely"/>
    <n v="1009"/>
    <s v="Research &amp; Development"/>
    <n v="2"/>
    <n v="3"/>
    <s v="Life Sciences"/>
    <n v="1"/>
    <n v="575"/>
    <n v="1"/>
    <s v="Male"/>
    <n v="51"/>
    <n v="3"/>
    <n v="4"/>
    <x v="7"/>
    <n v="3"/>
    <s v="Married"/>
    <n v="17861"/>
    <n v="2288"/>
    <n v="6"/>
    <s v="Y"/>
    <s v="No"/>
    <n v="13"/>
    <n v="3"/>
    <n v="3"/>
    <n v="80"/>
    <n v="0"/>
    <n v="26"/>
    <n v="2"/>
    <n v="1"/>
    <n v="3"/>
    <n v="2"/>
    <x v="0"/>
    <n v="1"/>
    <s v="OK"/>
    <s v="OK"/>
    <s v="OK"/>
    <s v="OK"/>
    <n v="0"/>
    <n v="0.66666666666666663"/>
    <n v="0.66666666666666663"/>
    <n v="0.33333333333333331"/>
  </r>
  <r>
    <n v="35"/>
    <s v="No"/>
    <s v="Travel_Rarely"/>
    <n v="144"/>
    <s v="Research &amp; Development"/>
    <n v="22"/>
    <n v="3"/>
    <s v="Life Sciences"/>
    <n v="1"/>
    <n v="577"/>
    <n v="4"/>
    <s v="Male"/>
    <n v="46"/>
    <n v="1"/>
    <n v="1"/>
    <x v="2"/>
    <n v="3"/>
    <s v="Single"/>
    <n v="4230"/>
    <n v="19225"/>
    <n v="0"/>
    <s v="Y"/>
    <s v="No"/>
    <n v="15"/>
    <n v="3"/>
    <n v="3"/>
    <n v="80"/>
    <n v="0"/>
    <n v="6"/>
    <n v="2"/>
    <n v="3"/>
    <n v="5"/>
    <n v="4"/>
    <x v="5"/>
    <n v="3"/>
    <s v="OK"/>
    <s v="OK"/>
    <s v="OK"/>
    <s v="OK"/>
    <n v="0.8"/>
    <n v="0.8"/>
    <n v="0.4"/>
    <n v="0.6"/>
  </r>
  <r>
    <n v="54"/>
    <s v="No"/>
    <s v="Travel_Rarely"/>
    <n v="548"/>
    <s v="Research &amp; Development"/>
    <n v="8"/>
    <n v="4"/>
    <s v="Life Sciences"/>
    <n v="1"/>
    <n v="578"/>
    <n v="3"/>
    <s v="Female"/>
    <n v="42"/>
    <n v="3"/>
    <n v="2"/>
    <x v="2"/>
    <n v="3"/>
    <s v="Single"/>
    <n v="3780"/>
    <n v="23428"/>
    <n v="7"/>
    <s v="Y"/>
    <s v="No"/>
    <n v="11"/>
    <n v="3"/>
    <n v="3"/>
    <n v="80"/>
    <n v="0"/>
    <n v="19"/>
    <n v="3"/>
    <n v="3"/>
    <n v="1"/>
    <n v="0"/>
    <x v="0"/>
    <n v="0"/>
    <s v="OK"/>
    <s v="OK"/>
    <s v="OK"/>
    <s v="OK"/>
    <n v="0"/>
    <n v="0"/>
    <n v="3"/>
    <n v="0"/>
  </r>
  <r>
    <n v="34"/>
    <s v="No"/>
    <s v="Travel_Rarely"/>
    <n v="1303"/>
    <s v="Research &amp; Development"/>
    <n v="2"/>
    <n v="4"/>
    <s v="Life Sciences"/>
    <n v="1"/>
    <n v="579"/>
    <n v="4"/>
    <s v="Male"/>
    <n v="62"/>
    <n v="2"/>
    <n v="1"/>
    <x v="1"/>
    <n v="3"/>
    <s v="Divorced"/>
    <n v="2768"/>
    <n v="8416"/>
    <n v="3"/>
    <s v="Y"/>
    <s v="No"/>
    <n v="12"/>
    <n v="3"/>
    <n v="3"/>
    <n v="80"/>
    <n v="1"/>
    <n v="14"/>
    <n v="3"/>
    <n v="3"/>
    <n v="7"/>
    <n v="3"/>
    <x v="8"/>
    <n v="7"/>
    <s v="OK"/>
    <s v="OK"/>
    <s v="OK"/>
    <s v="OK"/>
    <n v="0.7142857142857143"/>
    <n v="0.42857142857142855"/>
    <n v="0.42857142857142855"/>
    <n v="1"/>
  </r>
  <r>
    <n v="46"/>
    <s v="No"/>
    <s v="Travel_Rarely"/>
    <n v="1125"/>
    <s v="Sales"/>
    <n v="10"/>
    <n v="3"/>
    <s v="Marketing"/>
    <n v="1"/>
    <n v="580"/>
    <n v="3"/>
    <s v="Female"/>
    <n v="94"/>
    <n v="2"/>
    <n v="3"/>
    <x v="0"/>
    <n v="4"/>
    <s v="Married"/>
    <n v="9071"/>
    <n v="11563"/>
    <n v="2"/>
    <s v="Y"/>
    <s v="Yes"/>
    <n v="19"/>
    <n v="3"/>
    <n v="3"/>
    <n v="80"/>
    <n v="1"/>
    <n v="15"/>
    <n v="3"/>
    <n v="3"/>
    <n v="3"/>
    <n v="2"/>
    <x v="1"/>
    <n v="2"/>
    <s v="OK"/>
    <s v="OK"/>
    <s v="OK"/>
    <s v="OK"/>
    <n v="0.33333333333333331"/>
    <n v="0.66666666666666663"/>
    <n v="1"/>
    <n v="0.66666666666666663"/>
  </r>
  <r>
    <n v="31"/>
    <s v="No"/>
    <s v="Travel_Rarely"/>
    <n v="1274"/>
    <s v="Research &amp; Development"/>
    <n v="9"/>
    <n v="1"/>
    <s v="Life Sciences"/>
    <n v="1"/>
    <n v="581"/>
    <n v="3"/>
    <s v="Male"/>
    <n v="33"/>
    <n v="3"/>
    <n v="3"/>
    <x v="3"/>
    <n v="2"/>
    <s v="Divorced"/>
    <n v="10648"/>
    <n v="14394"/>
    <n v="1"/>
    <s v="Y"/>
    <s v="No"/>
    <n v="25"/>
    <n v="4"/>
    <n v="4"/>
    <n v="80"/>
    <n v="1"/>
    <n v="13"/>
    <n v="6"/>
    <n v="4"/>
    <n v="13"/>
    <n v="8"/>
    <x v="0"/>
    <n v="8"/>
    <s v="OK"/>
    <s v="OK"/>
    <s v="OK"/>
    <s v="OK"/>
    <n v="0"/>
    <n v="0.61538461538461542"/>
    <n v="0.46153846153846156"/>
    <n v="0.61538461538461542"/>
  </r>
  <r>
    <n v="33"/>
    <s v="Yes"/>
    <s v="Travel_Rarely"/>
    <n v="1277"/>
    <s v="Research &amp; Development"/>
    <n v="15"/>
    <n v="1"/>
    <s v="Medical"/>
    <n v="1"/>
    <n v="582"/>
    <n v="2"/>
    <s v="Male"/>
    <n v="56"/>
    <n v="3"/>
    <n v="3"/>
    <x v="5"/>
    <n v="3"/>
    <s v="Married"/>
    <n v="13610"/>
    <n v="24619"/>
    <n v="7"/>
    <s v="Y"/>
    <s v="Yes"/>
    <n v="12"/>
    <n v="3"/>
    <n v="4"/>
    <n v="80"/>
    <n v="0"/>
    <n v="15"/>
    <n v="2"/>
    <n v="4"/>
    <n v="7"/>
    <n v="6"/>
    <x v="4"/>
    <n v="7"/>
    <s v="OK"/>
    <s v="OK"/>
    <s v="OK"/>
    <s v="OK"/>
    <n v="1"/>
    <n v="0.8571428571428571"/>
    <n v="0.2857142857142857"/>
    <n v="1"/>
  </r>
  <r>
    <n v="33"/>
    <s v="Yes"/>
    <s v="Travel_Rarely"/>
    <n v="587"/>
    <s v="Research &amp; Development"/>
    <n v="10"/>
    <n v="1"/>
    <s v="Medical"/>
    <n v="1"/>
    <n v="584"/>
    <n v="1"/>
    <s v="Male"/>
    <n v="38"/>
    <n v="1"/>
    <n v="1"/>
    <x v="2"/>
    <n v="4"/>
    <s v="Divorced"/>
    <n v="3408"/>
    <n v="6705"/>
    <n v="7"/>
    <s v="Y"/>
    <s v="No"/>
    <n v="13"/>
    <n v="3"/>
    <n v="1"/>
    <n v="80"/>
    <n v="3"/>
    <n v="8"/>
    <n v="2"/>
    <n v="3"/>
    <n v="4"/>
    <n v="3"/>
    <x v="1"/>
    <n v="3"/>
    <s v="OK"/>
    <s v="OK"/>
    <s v="OK"/>
    <s v="OK"/>
    <n v="0.25"/>
    <n v="0.75"/>
    <n v="0.5"/>
    <n v="0.75"/>
  </r>
  <r>
    <n v="30"/>
    <s v="No"/>
    <s v="Travel_Rarely"/>
    <n v="413"/>
    <s v="Sales"/>
    <n v="7"/>
    <n v="1"/>
    <s v="Marketing"/>
    <n v="1"/>
    <n v="585"/>
    <n v="4"/>
    <s v="Male"/>
    <n v="57"/>
    <n v="3"/>
    <n v="1"/>
    <x v="6"/>
    <n v="2"/>
    <s v="Single"/>
    <n v="2983"/>
    <n v="18398"/>
    <n v="0"/>
    <s v="Y"/>
    <s v="No"/>
    <n v="14"/>
    <n v="3"/>
    <n v="1"/>
    <n v="80"/>
    <n v="0"/>
    <n v="4"/>
    <n v="3"/>
    <n v="3"/>
    <n v="3"/>
    <n v="2"/>
    <x v="1"/>
    <n v="2"/>
    <s v="OK"/>
    <s v="OK"/>
    <s v="OK"/>
    <s v="OK"/>
    <n v="0.33333333333333331"/>
    <n v="0.66666666666666663"/>
    <n v="1"/>
    <n v="0.66666666666666663"/>
  </r>
  <r>
    <n v="35"/>
    <s v="No"/>
    <s v="Travel_Rarely"/>
    <n v="1276"/>
    <s v="Research &amp; Development"/>
    <n v="16"/>
    <n v="3"/>
    <s v="Life Sciences"/>
    <n v="1"/>
    <n v="586"/>
    <n v="4"/>
    <s v="Male"/>
    <n v="72"/>
    <n v="3"/>
    <n v="3"/>
    <x v="4"/>
    <n v="3"/>
    <s v="Married"/>
    <n v="7632"/>
    <n v="14295"/>
    <n v="4"/>
    <s v="Y"/>
    <s v="Yes"/>
    <n v="12"/>
    <n v="3"/>
    <n v="3"/>
    <n v="80"/>
    <n v="0"/>
    <n v="10"/>
    <n v="2"/>
    <n v="3"/>
    <n v="8"/>
    <n v="7"/>
    <x v="0"/>
    <n v="0"/>
    <s v="OK"/>
    <s v="OK"/>
    <s v="OK"/>
    <s v="OK"/>
    <n v="0"/>
    <n v="0.875"/>
    <n v="0.25"/>
    <n v="0"/>
  </r>
  <r>
    <n v="31"/>
    <s v="Yes"/>
    <s v="Travel_Frequently"/>
    <n v="534"/>
    <s v="Research &amp; Development"/>
    <n v="20"/>
    <n v="3"/>
    <s v="Life Sciences"/>
    <n v="1"/>
    <n v="587"/>
    <n v="1"/>
    <s v="Male"/>
    <n v="66"/>
    <n v="3"/>
    <n v="3"/>
    <x v="4"/>
    <n v="3"/>
    <s v="Married"/>
    <n v="9824"/>
    <n v="22908"/>
    <n v="3"/>
    <s v="Y"/>
    <s v="No"/>
    <n v="12"/>
    <n v="3"/>
    <n v="1"/>
    <n v="80"/>
    <n v="0"/>
    <n v="12"/>
    <n v="2"/>
    <n v="3"/>
    <n v="1"/>
    <n v="0"/>
    <x v="0"/>
    <n v="0"/>
    <s v="OK"/>
    <s v="OK"/>
    <s v="OK"/>
    <s v="OK"/>
    <n v="0"/>
    <n v="0"/>
    <n v="2"/>
    <n v="0"/>
  </r>
  <r>
    <n v="34"/>
    <s v="Yes"/>
    <s v="Travel_Frequently"/>
    <n v="988"/>
    <s v="Human Resources"/>
    <n v="23"/>
    <n v="3"/>
    <s v="Human Resources"/>
    <n v="1"/>
    <n v="590"/>
    <n v="2"/>
    <s v="Female"/>
    <n v="43"/>
    <n v="3"/>
    <n v="3"/>
    <x v="8"/>
    <n v="1"/>
    <s v="Divorced"/>
    <n v="9950"/>
    <n v="11533"/>
    <n v="9"/>
    <s v="Y"/>
    <s v="Yes"/>
    <n v="15"/>
    <n v="3"/>
    <n v="3"/>
    <n v="80"/>
    <n v="3"/>
    <n v="11"/>
    <n v="2"/>
    <n v="3"/>
    <n v="3"/>
    <n v="2"/>
    <x v="0"/>
    <n v="2"/>
    <s v="OK"/>
    <s v="OK"/>
    <s v="OK"/>
    <s v="OK"/>
    <n v="0"/>
    <n v="0.66666666666666663"/>
    <n v="0.66666666666666663"/>
    <n v="0.66666666666666663"/>
  </r>
  <r>
    <n v="42"/>
    <s v="No"/>
    <s v="Travel_Frequently"/>
    <n v="1474"/>
    <s v="Research &amp; Development"/>
    <n v="5"/>
    <n v="2"/>
    <s v="Other"/>
    <n v="1"/>
    <n v="591"/>
    <n v="2"/>
    <s v="Male"/>
    <n v="97"/>
    <n v="3"/>
    <n v="1"/>
    <x v="2"/>
    <n v="3"/>
    <s v="Married"/>
    <n v="2093"/>
    <n v="9260"/>
    <n v="4"/>
    <s v="Y"/>
    <s v="No"/>
    <n v="17"/>
    <n v="3"/>
    <n v="4"/>
    <n v="80"/>
    <n v="1"/>
    <n v="8"/>
    <n v="4"/>
    <n v="3"/>
    <n v="2"/>
    <n v="2"/>
    <x v="3"/>
    <n v="0"/>
    <s v="OK"/>
    <s v="OK"/>
    <s v="OK"/>
    <s v="OK"/>
    <n v="1"/>
    <n v="1"/>
    <n v="2"/>
    <n v="0"/>
  </r>
  <r>
    <n v="36"/>
    <s v="No"/>
    <s v="Non-Travel"/>
    <n v="635"/>
    <s v="Sales"/>
    <n v="10"/>
    <n v="4"/>
    <s v="Medical"/>
    <n v="1"/>
    <n v="592"/>
    <n v="2"/>
    <s v="Male"/>
    <n v="32"/>
    <n v="3"/>
    <n v="3"/>
    <x v="0"/>
    <n v="4"/>
    <s v="Single"/>
    <n v="9980"/>
    <n v="15318"/>
    <n v="1"/>
    <s v="Y"/>
    <s v="No"/>
    <n v="14"/>
    <n v="3"/>
    <n v="4"/>
    <n v="80"/>
    <n v="0"/>
    <n v="10"/>
    <n v="3"/>
    <n v="2"/>
    <n v="10"/>
    <n v="3"/>
    <x v="10"/>
    <n v="7"/>
    <s v="OK"/>
    <s v="OK"/>
    <s v="OK"/>
    <s v="OK"/>
    <n v="0.9"/>
    <n v="0.3"/>
    <n v="0.3"/>
    <n v="0.7"/>
  </r>
  <r>
    <n v="22"/>
    <s v="Yes"/>
    <s v="Travel_Frequently"/>
    <n v="1368"/>
    <s v="Research &amp; Development"/>
    <n v="4"/>
    <n v="1"/>
    <s v="Technical Degree"/>
    <n v="1"/>
    <n v="593"/>
    <n v="3"/>
    <s v="Male"/>
    <n v="99"/>
    <n v="2"/>
    <n v="1"/>
    <x v="2"/>
    <n v="3"/>
    <s v="Single"/>
    <n v="3894"/>
    <n v="9129"/>
    <n v="5"/>
    <s v="Y"/>
    <s v="No"/>
    <n v="16"/>
    <n v="3"/>
    <n v="3"/>
    <n v="80"/>
    <n v="0"/>
    <n v="4"/>
    <n v="3"/>
    <n v="3"/>
    <n v="2"/>
    <n v="2"/>
    <x v="1"/>
    <n v="2"/>
    <s v="OK"/>
    <s v="OK"/>
    <s v="OK"/>
    <s v="OK"/>
    <n v="0.5"/>
    <n v="1"/>
    <n v="1.5"/>
    <n v="1"/>
  </r>
  <r>
    <n v="48"/>
    <s v="No"/>
    <s v="Travel_Rarely"/>
    <n v="163"/>
    <s v="Sales"/>
    <n v="2"/>
    <n v="5"/>
    <s v="Marketing"/>
    <n v="1"/>
    <n v="595"/>
    <n v="2"/>
    <s v="Female"/>
    <n v="37"/>
    <n v="3"/>
    <n v="2"/>
    <x v="0"/>
    <n v="4"/>
    <s v="Married"/>
    <n v="4051"/>
    <n v="19658"/>
    <n v="2"/>
    <s v="Y"/>
    <s v="No"/>
    <n v="14"/>
    <n v="3"/>
    <n v="1"/>
    <n v="80"/>
    <n v="1"/>
    <n v="14"/>
    <n v="2"/>
    <n v="3"/>
    <n v="9"/>
    <n v="7"/>
    <x v="7"/>
    <n v="7"/>
    <s v="OK"/>
    <s v="OK"/>
    <s v="OK"/>
    <s v="OK"/>
    <n v="0.66666666666666663"/>
    <n v="0.77777777777777779"/>
    <n v="0.22222222222222221"/>
    <n v="0.77777777777777779"/>
  </r>
  <r>
    <n v="55"/>
    <s v="No"/>
    <s v="Travel_Rarely"/>
    <n v="1117"/>
    <s v="Sales"/>
    <n v="18"/>
    <n v="5"/>
    <s v="Life Sciences"/>
    <n v="1"/>
    <n v="597"/>
    <n v="1"/>
    <s v="Female"/>
    <n v="83"/>
    <n v="3"/>
    <n v="4"/>
    <x v="5"/>
    <n v="2"/>
    <s v="Single"/>
    <n v="16835"/>
    <n v="9873"/>
    <n v="3"/>
    <s v="Y"/>
    <s v="No"/>
    <n v="23"/>
    <n v="4"/>
    <n v="4"/>
    <n v="80"/>
    <n v="0"/>
    <n v="37"/>
    <n v="2"/>
    <n v="3"/>
    <n v="10"/>
    <n v="9"/>
    <x v="4"/>
    <n v="7"/>
    <s v="OK"/>
    <s v="OK"/>
    <s v="OK"/>
    <s v="OK"/>
    <n v="0.7"/>
    <n v="0.9"/>
    <n v="0.2"/>
    <n v="0.7"/>
  </r>
  <r>
    <n v="41"/>
    <s v="No"/>
    <s v="Non-Travel"/>
    <n v="267"/>
    <s v="Sales"/>
    <n v="10"/>
    <n v="2"/>
    <s v="Life Sciences"/>
    <n v="1"/>
    <n v="599"/>
    <n v="4"/>
    <s v="Male"/>
    <n v="56"/>
    <n v="3"/>
    <n v="2"/>
    <x v="0"/>
    <n v="4"/>
    <s v="Single"/>
    <n v="6230"/>
    <n v="13430"/>
    <n v="7"/>
    <s v="Y"/>
    <s v="No"/>
    <n v="14"/>
    <n v="3"/>
    <n v="4"/>
    <n v="80"/>
    <n v="0"/>
    <n v="16"/>
    <n v="3"/>
    <n v="3"/>
    <n v="14"/>
    <n v="3"/>
    <x v="1"/>
    <n v="10"/>
    <s v="OK"/>
    <s v="OK"/>
    <s v="OK"/>
    <s v="OK"/>
    <n v="7.1428571428571425E-2"/>
    <n v="0.21428571428571427"/>
    <n v="0.21428571428571427"/>
    <n v="0.7142857142857143"/>
  </r>
  <r>
    <n v="35"/>
    <s v="No"/>
    <s v="Travel_Rarely"/>
    <n v="619"/>
    <s v="Sales"/>
    <n v="1"/>
    <n v="3"/>
    <s v="Marketing"/>
    <n v="1"/>
    <n v="600"/>
    <n v="2"/>
    <s v="Male"/>
    <n v="85"/>
    <n v="3"/>
    <n v="2"/>
    <x v="0"/>
    <n v="3"/>
    <s v="Married"/>
    <n v="4717"/>
    <n v="18659"/>
    <n v="9"/>
    <s v="Y"/>
    <s v="No"/>
    <n v="11"/>
    <n v="3"/>
    <n v="3"/>
    <n v="80"/>
    <n v="0"/>
    <n v="15"/>
    <n v="2"/>
    <n v="3"/>
    <n v="11"/>
    <n v="9"/>
    <x v="7"/>
    <n v="9"/>
    <s v="OK"/>
    <s v="OK"/>
    <s v="OK"/>
    <s v="OK"/>
    <n v="0.54545454545454541"/>
    <n v="0.81818181818181823"/>
    <n v="0.18181818181818182"/>
    <n v="0.81818181818181823"/>
  </r>
  <r>
    <n v="40"/>
    <s v="No"/>
    <s v="Travel_Rarely"/>
    <n v="302"/>
    <s v="Research &amp; Development"/>
    <n v="6"/>
    <n v="3"/>
    <s v="Life Sciences"/>
    <n v="1"/>
    <n v="601"/>
    <n v="2"/>
    <s v="Female"/>
    <n v="75"/>
    <n v="3"/>
    <n v="4"/>
    <x v="3"/>
    <n v="3"/>
    <s v="Single"/>
    <n v="13237"/>
    <n v="20364"/>
    <n v="7"/>
    <s v="Y"/>
    <s v="No"/>
    <n v="15"/>
    <n v="3"/>
    <n v="3"/>
    <n v="80"/>
    <n v="0"/>
    <n v="22"/>
    <n v="3"/>
    <n v="3"/>
    <n v="20"/>
    <n v="6"/>
    <x v="8"/>
    <n v="13"/>
    <s v="OK"/>
    <s v="OK"/>
    <s v="OK"/>
    <s v="OK"/>
    <n v="0.25"/>
    <n v="0.3"/>
    <n v="0.15"/>
    <n v="0.65"/>
  </r>
  <r>
    <n v="39"/>
    <s v="No"/>
    <s v="Travel_Frequently"/>
    <n v="443"/>
    <s v="Research &amp; Development"/>
    <n v="8"/>
    <n v="1"/>
    <s v="Life Sciences"/>
    <n v="1"/>
    <n v="602"/>
    <n v="3"/>
    <s v="Female"/>
    <n v="48"/>
    <n v="3"/>
    <n v="1"/>
    <x v="2"/>
    <n v="3"/>
    <s v="Married"/>
    <n v="3755"/>
    <n v="17872"/>
    <n v="1"/>
    <s v="Y"/>
    <s v="No"/>
    <n v="11"/>
    <n v="3"/>
    <n v="1"/>
    <n v="80"/>
    <n v="1"/>
    <n v="8"/>
    <n v="3"/>
    <n v="3"/>
    <n v="8"/>
    <n v="3"/>
    <x v="0"/>
    <n v="7"/>
    <s v="OK"/>
    <s v="OK"/>
    <s v="OK"/>
    <s v="OK"/>
    <n v="0"/>
    <n v="0.375"/>
    <n v="0.375"/>
    <n v="0.875"/>
  </r>
  <r>
    <n v="31"/>
    <s v="No"/>
    <s v="Travel_Rarely"/>
    <n v="828"/>
    <s v="Sales"/>
    <n v="2"/>
    <n v="1"/>
    <s v="Life Sciences"/>
    <n v="1"/>
    <n v="604"/>
    <n v="2"/>
    <s v="Male"/>
    <n v="77"/>
    <n v="3"/>
    <n v="2"/>
    <x v="0"/>
    <n v="4"/>
    <s v="Single"/>
    <n v="6582"/>
    <n v="8346"/>
    <n v="4"/>
    <s v="Y"/>
    <s v="Yes"/>
    <n v="13"/>
    <n v="3"/>
    <n v="3"/>
    <n v="80"/>
    <n v="0"/>
    <n v="10"/>
    <n v="2"/>
    <n v="4"/>
    <n v="6"/>
    <n v="5"/>
    <x v="0"/>
    <n v="5"/>
    <s v="OK"/>
    <s v="OK"/>
    <s v="OK"/>
    <s v="OK"/>
    <n v="0"/>
    <n v="0.83333333333333337"/>
    <n v="0.33333333333333331"/>
    <n v="0.83333333333333337"/>
  </r>
  <r>
    <n v="42"/>
    <s v="No"/>
    <s v="Travel_Rarely"/>
    <n v="319"/>
    <s v="Research &amp; Development"/>
    <n v="24"/>
    <n v="3"/>
    <s v="Medical"/>
    <n v="1"/>
    <n v="605"/>
    <n v="4"/>
    <s v="Male"/>
    <n v="56"/>
    <n v="3"/>
    <n v="3"/>
    <x v="3"/>
    <n v="1"/>
    <s v="Married"/>
    <n v="7406"/>
    <n v="6950"/>
    <n v="1"/>
    <s v="Y"/>
    <s v="Yes"/>
    <n v="21"/>
    <n v="4"/>
    <n v="4"/>
    <n v="80"/>
    <n v="1"/>
    <n v="10"/>
    <n v="5"/>
    <n v="2"/>
    <n v="10"/>
    <n v="9"/>
    <x v="8"/>
    <n v="8"/>
    <s v="OK"/>
    <s v="OK"/>
    <s v="OK"/>
    <s v="OK"/>
    <n v="0.5"/>
    <n v="0.9"/>
    <n v="0.5"/>
    <n v="0.8"/>
  </r>
  <r>
    <n v="45"/>
    <s v="No"/>
    <s v="Travel_Rarely"/>
    <n v="561"/>
    <s v="Sales"/>
    <n v="2"/>
    <n v="3"/>
    <s v="Other"/>
    <n v="1"/>
    <n v="606"/>
    <n v="4"/>
    <s v="Male"/>
    <n v="61"/>
    <n v="3"/>
    <n v="2"/>
    <x v="0"/>
    <n v="2"/>
    <s v="Married"/>
    <n v="4805"/>
    <n v="16177"/>
    <n v="0"/>
    <s v="Y"/>
    <s v="No"/>
    <n v="19"/>
    <n v="3"/>
    <n v="2"/>
    <n v="80"/>
    <n v="1"/>
    <n v="9"/>
    <n v="3"/>
    <n v="4"/>
    <n v="8"/>
    <n v="7"/>
    <x v="2"/>
    <n v="7"/>
    <s v="OK"/>
    <s v="OK"/>
    <s v="OK"/>
    <s v="OK"/>
    <n v="0.375"/>
    <n v="0.875"/>
    <n v="0.375"/>
    <n v="0.875"/>
  </r>
  <r>
    <n v="26"/>
    <s v="Yes"/>
    <s v="Travel_Frequently"/>
    <n v="426"/>
    <s v="Human Resources"/>
    <n v="17"/>
    <n v="4"/>
    <s v="Life Sciences"/>
    <n v="1"/>
    <n v="608"/>
    <n v="2"/>
    <s v="Female"/>
    <n v="58"/>
    <n v="3"/>
    <n v="1"/>
    <x v="8"/>
    <n v="3"/>
    <s v="Divorced"/>
    <n v="2741"/>
    <n v="22808"/>
    <n v="0"/>
    <s v="Y"/>
    <s v="Yes"/>
    <n v="11"/>
    <n v="3"/>
    <n v="2"/>
    <n v="80"/>
    <n v="1"/>
    <n v="8"/>
    <n v="2"/>
    <n v="2"/>
    <n v="7"/>
    <n v="7"/>
    <x v="1"/>
    <n v="0"/>
    <s v="OK"/>
    <s v="OK"/>
    <s v="OK"/>
    <s v="OK"/>
    <n v="0.14285714285714285"/>
    <n v="1"/>
    <n v="0.2857142857142857"/>
    <n v="0"/>
  </r>
  <r>
    <n v="29"/>
    <s v="No"/>
    <s v="Travel_Rarely"/>
    <n v="232"/>
    <s v="Research &amp; Development"/>
    <n v="19"/>
    <n v="3"/>
    <s v="Technical Degree"/>
    <n v="1"/>
    <n v="611"/>
    <n v="4"/>
    <s v="Male"/>
    <n v="34"/>
    <n v="3"/>
    <n v="2"/>
    <x v="3"/>
    <n v="4"/>
    <s v="Divorced"/>
    <n v="4262"/>
    <n v="22645"/>
    <n v="4"/>
    <s v="Y"/>
    <s v="No"/>
    <n v="12"/>
    <n v="3"/>
    <n v="2"/>
    <n v="80"/>
    <n v="2"/>
    <n v="8"/>
    <n v="2"/>
    <n v="4"/>
    <n v="3"/>
    <n v="2"/>
    <x v="1"/>
    <n v="2"/>
    <s v="OK"/>
    <s v="OK"/>
    <s v="OK"/>
    <s v="OK"/>
    <n v="0.33333333333333331"/>
    <n v="0.66666666666666663"/>
    <n v="0.66666666666666663"/>
    <n v="0.66666666666666663"/>
  </r>
  <r>
    <n v="33"/>
    <s v="No"/>
    <s v="Travel_Rarely"/>
    <n v="922"/>
    <s v="Research &amp; Development"/>
    <n v="1"/>
    <n v="5"/>
    <s v="Medical"/>
    <n v="1"/>
    <n v="612"/>
    <n v="1"/>
    <s v="Female"/>
    <n v="95"/>
    <n v="4"/>
    <n v="4"/>
    <x v="7"/>
    <n v="3"/>
    <s v="Divorced"/>
    <n v="16184"/>
    <n v="22578"/>
    <n v="4"/>
    <s v="Y"/>
    <s v="No"/>
    <n v="19"/>
    <n v="3"/>
    <n v="3"/>
    <n v="80"/>
    <n v="1"/>
    <n v="10"/>
    <n v="2"/>
    <n v="3"/>
    <n v="6"/>
    <n v="1"/>
    <x v="0"/>
    <n v="5"/>
    <s v="OK"/>
    <s v="OK"/>
    <s v="OK"/>
    <s v="OK"/>
    <n v="0"/>
    <n v="0.16666666666666666"/>
    <n v="0.33333333333333331"/>
    <n v="0.83333333333333337"/>
  </r>
  <r>
    <n v="31"/>
    <s v="No"/>
    <s v="Travel_Rarely"/>
    <n v="688"/>
    <s v="Sales"/>
    <n v="7"/>
    <n v="3"/>
    <s v="Life Sciences"/>
    <n v="1"/>
    <n v="613"/>
    <n v="3"/>
    <s v="Male"/>
    <n v="44"/>
    <n v="2"/>
    <n v="3"/>
    <x v="5"/>
    <n v="4"/>
    <s v="Divorced"/>
    <n v="11557"/>
    <n v="25291"/>
    <n v="9"/>
    <s v="Y"/>
    <s v="No"/>
    <n v="21"/>
    <n v="4"/>
    <n v="3"/>
    <n v="80"/>
    <n v="1"/>
    <n v="10"/>
    <n v="3"/>
    <n v="2"/>
    <n v="5"/>
    <n v="4"/>
    <x v="0"/>
    <n v="1"/>
    <s v="OK"/>
    <s v="OK"/>
    <s v="OK"/>
    <s v="OK"/>
    <n v="0"/>
    <n v="0.8"/>
    <n v="0.6"/>
    <n v="0.2"/>
  </r>
  <r>
    <n v="18"/>
    <s v="Yes"/>
    <s v="Travel_Frequently"/>
    <n v="1306"/>
    <s v="Sales"/>
    <n v="5"/>
    <n v="3"/>
    <s v="Marketing"/>
    <n v="1"/>
    <n v="614"/>
    <n v="2"/>
    <s v="Male"/>
    <n v="69"/>
    <n v="3"/>
    <n v="1"/>
    <x v="6"/>
    <n v="2"/>
    <s v="Single"/>
    <n v="1878"/>
    <n v="8059"/>
    <n v="1"/>
    <s v="Y"/>
    <s v="Yes"/>
    <n v="14"/>
    <n v="3"/>
    <n v="4"/>
    <n v="80"/>
    <n v="0"/>
    <n v="0"/>
    <n v="3"/>
    <n v="3"/>
    <n v="0"/>
    <n v="0"/>
    <x v="0"/>
    <n v="0"/>
    <s v="OK"/>
    <s v="OK"/>
    <s v="OK"/>
    <s v="OK"/>
    <n v="0"/>
    <n v="0"/>
    <n v="0"/>
    <n v="0"/>
  </r>
  <r>
    <n v="40"/>
    <s v="No"/>
    <s v="Non-Travel"/>
    <n v="1094"/>
    <s v="Sales"/>
    <n v="28"/>
    <n v="3"/>
    <s v="Other"/>
    <n v="1"/>
    <n v="615"/>
    <n v="3"/>
    <s v="Male"/>
    <n v="58"/>
    <n v="1"/>
    <n v="3"/>
    <x v="0"/>
    <n v="1"/>
    <s v="Divorced"/>
    <n v="10932"/>
    <n v="11373"/>
    <n v="3"/>
    <s v="Y"/>
    <s v="No"/>
    <n v="15"/>
    <n v="3"/>
    <n v="3"/>
    <n v="80"/>
    <n v="1"/>
    <n v="20"/>
    <n v="2"/>
    <n v="3"/>
    <n v="1"/>
    <n v="0"/>
    <x v="0"/>
    <n v="1"/>
    <s v="OK"/>
    <s v="OK"/>
    <s v="OK"/>
    <s v="OK"/>
    <n v="0"/>
    <n v="0"/>
    <n v="2"/>
    <n v="1"/>
  </r>
  <r>
    <n v="41"/>
    <s v="No"/>
    <s v="Non-Travel"/>
    <n v="509"/>
    <s v="Research &amp; Development"/>
    <n v="2"/>
    <n v="4"/>
    <s v="Other"/>
    <n v="1"/>
    <n v="616"/>
    <n v="1"/>
    <s v="Female"/>
    <n v="62"/>
    <n v="2"/>
    <n v="2"/>
    <x v="4"/>
    <n v="3"/>
    <s v="Single"/>
    <n v="6811"/>
    <n v="2112"/>
    <n v="2"/>
    <s v="Y"/>
    <s v="Yes"/>
    <n v="17"/>
    <n v="3"/>
    <n v="1"/>
    <n v="80"/>
    <n v="0"/>
    <n v="10"/>
    <n v="3"/>
    <n v="3"/>
    <n v="8"/>
    <n v="7"/>
    <x v="0"/>
    <n v="7"/>
    <s v="OK"/>
    <s v="OK"/>
    <s v="OK"/>
    <s v="OK"/>
    <n v="0"/>
    <n v="0.875"/>
    <n v="0.375"/>
    <n v="0.875"/>
  </r>
  <r>
    <n v="26"/>
    <s v="No"/>
    <s v="Travel_Rarely"/>
    <n v="775"/>
    <s v="Sales"/>
    <n v="29"/>
    <n v="2"/>
    <s v="Medical"/>
    <n v="1"/>
    <n v="618"/>
    <n v="1"/>
    <s v="Male"/>
    <n v="45"/>
    <n v="3"/>
    <n v="2"/>
    <x v="0"/>
    <n v="3"/>
    <s v="Divorced"/>
    <n v="4306"/>
    <n v="4267"/>
    <n v="5"/>
    <s v="Y"/>
    <s v="No"/>
    <n v="12"/>
    <n v="3"/>
    <n v="1"/>
    <n v="80"/>
    <n v="2"/>
    <n v="8"/>
    <n v="5"/>
    <n v="3"/>
    <n v="0"/>
    <n v="0"/>
    <x v="0"/>
    <n v="0"/>
    <s v="OK"/>
    <s v="OK"/>
    <s v="OK"/>
    <s v="OK"/>
    <n v="0"/>
    <n v="0"/>
    <n v="0"/>
    <n v="0"/>
  </r>
  <r>
    <n v="35"/>
    <s v="No"/>
    <s v="Travel_Rarely"/>
    <n v="195"/>
    <s v="Sales"/>
    <n v="1"/>
    <n v="3"/>
    <s v="Medical"/>
    <n v="1"/>
    <n v="620"/>
    <n v="1"/>
    <s v="Female"/>
    <n v="80"/>
    <n v="3"/>
    <n v="2"/>
    <x v="0"/>
    <n v="3"/>
    <s v="Single"/>
    <n v="4859"/>
    <n v="6698"/>
    <n v="1"/>
    <s v="Y"/>
    <s v="No"/>
    <n v="16"/>
    <n v="3"/>
    <n v="4"/>
    <n v="80"/>
    <n v="0"/>
    <n v="5"/>
    <n v="3"/>
    <n v="3"/>
    <n v="5"/>
    <n v="4"/>
    <x v="0"/>
    <n v="3"/>
    <s v="OK"/>
    <s v="OK"/>
    <s v="OK"/>
    <s v="OK"/>
    <n v="0"/>
    <n v="0.8"/>
    <n v="0.6"/>
    <n v="0.6"/>
  </r>
  <r>
    <n v="34"/>
    <s v="No"/>
    <s v="Travel_Rarely"/>
    <n v="258"/>
    <s v="Sales"/>
    <n v="21"/>
    <n v="4"/>
    <s v="Life Sciences"/>
    <n v="1"/>
    <n v="621"/>
    <n v="4"/>
    <s v="Male"/>
    <n v="74"/>
    <n v="4"/>
    <n v="2"/>
    <x v="0"/>
    <n v="4"/>
    <s v="Single"/>
    <n v="5337"/>
    <n v="19921"/>
    <n v="1"/>
    <s v="Y"/>
    <s v="No"/>
    <n v="12"/>
    <n v="3"/>
    <n v="4"/>
    <n v="80"/>
    <n v="0"/>
    <n v="10"/>
    <n v="3"/>
    <n v="3"/>
    <n v="10"/>
    <n v="7"/>
    <x v="8"/>
    <n v="7"/>
    <s v="OK"/>
    <s v="OK"/>
    <s v="OK"/>
    <s v="OK"/>
    <n v="0.5"/>
    <n v="0.7"/>
    <n v="0.3"/>
    <n v="0.7"/>
  </r>
  <r>
    <n v="26"/>
    <s v="Yes"/>
    <s v="Travel_Rarely"/>
    <n v="471"/>
    <s v="Research &amp; Development"/>
    <n v="24"/>
    <n v="3"/>
    <s v="Technical Degree"/>
    <n v="1"/>
    <n v="622"/>
    <n v="3"/>
    <s v="Male"/>
    <n v="66"/>
    <n v="1"/>
    <n v="1"/>
    <x v="2"/>
    <n v="4"/>
    <s v="Single"/>
    <n v="2340"/>
    <n v="23213"/>
    <n v="1"/>
    <s v="Y"/>
    <s v="Yes"/>
    <n v="18"/>
    <n v="3"/>
    <n v="2"/>
    <n v="80"/>
    <n v="0"/>
    <n v="1"/>
    <n v="3"/>
    <n v="1"/>
    <n v="1"/>
    <n v="0"/>
    <x v="0"/>
    <n v="0"/>
    <s v="OK"/>
    <s v="OK"/>
    <s v="OK"/>
    <s v="OK"/>
    <n v="0"/>
    <n v="0"/>
    <n v="3"/>
    <n v="0"/>
  </r>
  <r>
    <n v="37"/>
    <s v="No"/>
    <s v="Travel_Rarely"/>
    <n v="799"/>
    <s v="Research &amp; Development"/>
    <n v="1"/>
    <n v="3"/>
    <s v="Technical Degree"/>
    <n v="1"/>
    <n v="623"/>
    <n v="2"/>
    <s v="Female"/>
    <n v="59"/>
    <n v="3"/>
    <n v="3"/>
    <x v="3"/>
    <n v="4"/>
    <s v="Single"/>
    <n v="7491"/>
    <n v="23848"/>
    <n v="4"/>
    <s v="Y"/>
    <s v="No"/>
    <n v="17"/>
    <n v="3"/>
    <n v="4"/>
    <n v="80"/>
    <n v="0"/>
    <n v="12"/>
    <n v="3"/>
    <n v="4"/>
    <n v="6"/>
    <n v="5"/>
    <x v="1"/>
    <n v="2"/>
    <s v="OK"/>
    <s v="OK"/>
    <s v="OK"/>
    <s v="OK"/>
    <n v="0.16666666666666666"/>
    <n v="0.83333333333333337"/>
    <n v="0.5"/>
    <n v="0.33333333333333331"/>
  </r>
  <r>
    <n v="46"/>
    <s v="No"/>
    <s v="Travel_Frequently"/>
    <n v="1034"/>
    <s v="Research &amp; Development"/>
    <n v="18"/>
    <n v="1"/>
    <s v="Medical"/>
    <n v="1"/>
    <n v="624"/>
    <n v="1"/>
    <s v="Female"/>
    <n v="86"/>
    <n v="3"/>
    <n v="3"/>
    <x v="4"/>
    <n v="3"/>
    <s v="Married"/>
    <n v="10527"/>
    <n v="8984"/>
    <n v="5"/>
    <s v="Y"/>
    <s v="No"/>
    <n v="11"/>
    <n v="3"/>
    <n v="4"/>
    <n v="80"/>
    <n v="0"/>
    <n v="28"/>
    <n v="3"/>
    <n v="2"/>
    <n v="2"/>
    <n v="2"/>
    <x v="1"/>
    <n v="2"/>
    <s v="OK"/>
    <s v="OK"/>
    <s v="OK"/>
    <s v="OK"/>
    <n v="0.5"/>
    <n v="1"/>
    <n v="1.5"/>
    <n v="1"/>
  </r>
  <r>
    <n v="41"/>
    <s v="No"/>
    <s v="Travel_Rarely"/>
    <n v="1276"/>
    <s v="Sales"/>
    <n v="2"/>
    <n v="5"/>
    <s v="Life Sciences"/>
    <n v="1"/>
    <n v="625"/>
    <n v="2"/>
    <s v="Female"/>
    <n v="91"/>
    <n v="3"/>
    <n v="4"/>
    <x v="5"/>
    <n v="1"/>
    <s v="Married"/>
    <n v="16595"/>
    <n v="5626"/>
    <n v="7"/>
    <s v="Y"/>
    <s v="No"/>
    <n v="16"/>
    <n v="3"/>
    <n v="2"/>
    <n v="80"/>
    <n v="1"/>
    <n v="22"/>
    <n v="2"/>
    <n v="3"/>
    <n v="18"/>
    <n v="16"/>
    <x v="14"/>
    <n v="8"/>
    <s v="OK"/>
    <s v="OK"/>
    <s v="OK"/>
    <s v="OK"/>
    <n v="0.61111111111111116"/>
    <n v="0.88888888888888884"/>
    <n v="0.1111111111111111"/>
    <n v="0.44444444444444442"/>
  </r>
  <r>
    <n v="37"/>
    <s v="No"/>
    <s v="Non-Travel"/>
    <n v="142"/>
    <s v="Sales"/>
    <n v="9"/>
    <n v="4"/>
    <s v="Medical"/>
    <n v="1"/>
    <n v="626"/>
    <n v="1"/>
    <s v="Male"/>
    <n v="69"/>
    <n v="3"/>
    <n v="3"/>
    <x v="0"/>
    <n v="2"/>
    <s v="Divorced"/>
    <n v="8834"/>
    <n v="24666"/>
    <n v="1"/>
    <s v="Y"/>
    <s v="No"/>
    <n v="13"/>
    <n v="3"/>
    <n v="4"/>
    <n v="80"/>
    <n v="1"/>
    <n v="9"/>
    <n v="6"/>
    <n v="3"/>
    <n v="9"/>
    <n v="5"/>
    <x v="4"/>
    <n v="7"/>
    <s v="OK"/>
    <s v="OK"/>
    <s v="OK"/>
    <s v="OK"/>
    <n v="0.77777777777777779"/>
    <n v="0.55555555555555558"/>
    <n v="0.66666666666666663"/>
    <n v="0.77777777777777779"/>
  </r>
  <r>
    <n v="52"/>
    <s v="No"/>
    <s v="Travel_Rarely"/>
    <n v="956"/>
    <s v="Research &amp; Development"/>
    <n v="6"/>
    <n v="2"/>
    <s v="Technical Degree"/>
    <n v="1"/>
    <n v="630"/>
    <n v="4"/>
    <s v="Male"/>
    <n v="78"/>
    <n v="3"/>
    <n v="2"/>
    <x v="1"/>
    <n v="1"/>
    <s v="Divorced"/>
    <n v="5577"/>
    <n v="22087"/>
    <n v="3"/>
    <s v="Y"/>
    <s v="Yes"/>
    <n v="12"/>
    <n v="3"/>
    <n v="2"/>
    <n v="80"/>
    <n v="2"/>
    <n v="18"/>
    <n v="3"/>
    <n v="3"/>
    <n v="10"/>
    <n v="9"/>
    <x v="7"/>
    <n v="9"/>
    <s v="OK"/>
    <s v="OK"/>
    <s v="OK"/>
    <s v="OK"/>
    <n v="0.6"/>
    <n v="0.9"/>
    <n v="0.3"/>
    <n v="0.9"/>
  </r>
  <r>
    <n v="32"/>
    <s v="Yes"/>
    <s v="Non-Travel"/>
    <n v="1474"/>
    <s v="Sales"/>
    <n v="11"/>
    <n v="4"/>
    <s v="Other"/>
    <n v="1"/>
    <n v="631"/>
    <n v="4"/>
    <s v="Male"/>
    <n v="60"/>
    <n v="4"/>
    <n v="2"/>
    <x v="0"/>
    <n v="3"/>
    <s v="Married"/>
    <n v="4707"/>
    <n v="23914"/>
    <n v="8"/>
    <s v="Y"/>
    <s v="No"/>
    <n v="12"/>
    <n v="3"/>
    <n v="4"/>
    <n v="80"/>
    <n v="0"/>
    <n v="6"/>
    <n v="2"/>
    <n v="3"/>
    <n v="4"/>
    <n v="2"/>
    <x v="1"/>
    <n v="2"/>
    <s v="OK"/>
    <s v="OK"/>
    <s v="OK"/>
    <s v="OK"/>
    <n v="0.25"/>
    <n v="0.5"/>
    <n v="0.5"/>
    <n v="0.5"/>
  </r>
  <r>
    <n v="24"/>
    <s v="No"/>
    <s v="Travel_Frequently"/>
    <n v="535"/>
    <s v="Sales"/>
    <n v="24"/>
    <n v="3"/>
    <s v="Medical"/>
    <n v="1"/>
    <n v="632"/>
    <n v="4"/>
    <s v="Male"/>
    <n v="38"/>
    <n v="3"/>
    <n v="1"/>
    <x v="6"/>
    <n v="4"/>
    <s v="Married"/>
    <n v="2400"/>
    <n v="5530"/>
    <n v="0"/>
    <s v="Y"/>
    <s v="No"/>
    <n v="13"/>
    <n v="3"/>
    <n v="3"/>
    <n v="80"/>
    <n v="2"/>
    <n v="3"/>
    <n v="3"/>
    <n v="3"/>
    <n v="2"/>
    <n v="2"/>
    <x v="3"/>
    <n v="1"/>
    <s v="OK"/>
    <s v="OK"/>
    <s v="OK"/>
    <s v="OK"/>
    <n v="1"/>
    <n v="1"/>
    <n v="1.5"/>
    <n v="0.5"/>
  </r>
  <r>
    <n v="38"/>
    <s v="No"/>
    <s v="Travel_Rarely"/>
    <n v="1495"/>
    <s v="Research &amp; Development"/>
    <n v="10"/>
    <n v="3"/>
    <s v="Medical"/>
    <n v="1"/>
    <n v="634"/>
    <n v="3"/>
    <s v="Female"/>
    <n v="76"/>
    <n v="3"/>
    <n v="2"/>
    <x v="4"/>
    <n v="3"/>
    <s v="Married"/>
    <n v="9824"/>
    <n v="22174"/>
    <n v="3"/>
    <s v="Y"/>
    <s v="No"/>
    <n v="19"/>
    <n v="3"/>
    <n v="3"/>
    <n v="80"/>
    <n v="1"/>
    <n v="18"/>
    <n v="4"/>
    <n v="3"/>
    <n v="1"/>
    <n v="0"/>
    <x v="0"/>
    <n v="0"/>
    <s v="OK"/>
    <s v="OK"/>
    <s v="OK"/>
    <s v="OK"/>
    <n v="0"/>
    <n v="0"/>
    <n v="4"/>
    <n v="0"/>
  </r>
  <r>
    <n v="37"/>
    <s v="No"/>
    <s v="Travel_Rarely"/>
    <n v="446"/>
    <s v="Research &amp; Development"/>
    <n v="1"/>
    <n v="4"/>
    <s v="Life Sciences"/>
    <n v="1"/>
    <n v="635"/>
    <n v="2"/>
    <s v="Female"/>
    <n v="65"/>
    <n v="3"/>
    <n v="2"/>
    <x v="3"/>
    <n v="2"/>
    <s v="Married"/>
    <n v="6447"/>
    <n v="15701"/>
    <n v="6"/>
    <s v="Y"/>
    <s v="No"/>
    <n v="12"/>
    <n v="3"/>
    <n v="2"/>
    <n v="80"/>
    <n v="1"/>
    <n v="8"/>
    <n v="2"/>
    <n v="2"/>
    <n v="6"/>
    <n v="5"/>
    <x v="5"/>
    <n v="3"/>
    <s v="OK"/>
    <s v="OK"/>
    <s v="OK"/>
    <s v="OK"/>
    <n v="0.66666666666666663"/>
    <n v="0.83333333333333337"/>
    <n v="0.33333333333333331"/>
    <n v="0.5"/>
  </r>
  <r>
    <n v="49"/>
    <s v="No"/>
    <s v="Travel_Rarely"/>
    <n v="1245"/>
    <s v="Research &amp; Development"/>
    <n v="18"/>
    <n v="4"/>
    <s v="Life Sciences"/>
    <n v="1"/>
    <n v="638"/>
    <n v="4"/>
    <s v="Male"/>
    <n v="58"/>
    <n v="2"/>
    <n v="5"/>
    <x v="7"/>
    <n v="3"/>
    <s v="Divorced"/>
    <n v="19502"/>
    <n v="2125"/>
    <n v="1"/>
    <s v="Y"/>
    <s v="Yes"/>
    <n v="17"/>
    <n v="3"/>
    <n v="3"/>
    <n v="80"/>
    <n v="1"/>
    <n v="31"/>
    <n v="5"/>
    <n v="3"/>
    <n v="31"/>
    <n v="9"/>
    <x v="0"/>
    <n v="9"/>
    <s v="OK"/>
    <s v="OK"/>
    <s v="OK"/>
    <s v="OK"/>
    <n v="0"/>
    <n v="0.29032258064516131"/>
    <n v="0.16129032258064516"/>
    <n v="0.29032258064516131"/>
  </r>
  <r>
    <n v="24"/>
    <s v="No"/>
    <s v="Travel_Rarely"/>
    <n v="691"/>
    <s v="Research &amp; Development"/>
    <n v="23"/>
    <n v="3"/>
    <s v="Medical"/>
    <n v="1"/>
    <n v="639"/>
    <n v="2"/>
    <s v="Male"/>
    <n v="89"/>
    <n v="4"/>
    <n v="1"/>
    <x v="1"/>
    <n v="4"/>
    <s v="Married"/>
    <n v="2725"/>
    <n v="21630"/>
    <n v="1"/>
    <s v="Y"/>
    <s v="Yes"/>
    <n v="11"/>
    <n v="3"/>
    <n v="2"/>
    <n v="80"/>
    <n v="2"/>
    <n v="6"/>
    <n v="3"/>
    <n v="3"/>
    <n v="6"/>
    <n v="5"/>
    <x v="1"/>
    <n v="4"/>
    <s v="OK"/>
    <s v="OK"/>
    <s v="OK"/>
    <s v="OK"/>
    <n v="0.16666666666666666"/>
    <n v="0.83333333333333337"/>
    <n v="0.5"/>
    <n v="0.66666666666666663"/>
  </r>
  <r>
    <n v="26"/>
    <s v="No"/>
    <s v="Travel_Rarely"/>
    <n v="703"/>
    <s v="Sales"/>
    <n v="28"/>
    <n v="2"/>
    <s v="Marketing"/>
    <n v="1"/>
    <n v="641"/>
    <n v="1"/>
    <s v="Male"/>
    <n v="66"/>
    <n v="3"/>
    <n v="2"/>
    <x v="0"/>
    <n v="2"/>
    <s v="Married"/>
    <n v="6272"/>
    <n v="7428"/>
    <n v="1"/>
    <s v="Y"/>
    <s v="No"/>
    <n v="20"/>
    <n v="4"/>
    <n v="4"/>
    <n v="80"/>
    <n v="2"/>
    <n v="6"/>
    <n v="5"/>
    <n v="4"/>
    <n v="5"/>
    <n v="3"/>
    <x v="1"/>
    <n v="4"/>
    <s v="OK"/>
    <s v="OK"/>
    <s v="OK"/>
    <s v="OK"/>
    <n v="0.2"/>
    <n v="0.6"/>
    <n v="1"/>
    <n v="0.8"/>
  </r>
  <r>
    <n v="24"/>
    <s v="No"/>
    <s v="Travel_Rarely"/>
    <n v="823"/>
    <s v="Research &amp; Development"/>
    <n v="17"/>
    <n v="2"/>
    <s v="Other"/>
    <n v="1"/>
    <n v="643"/>
    <n v="4"/>
    <s v="Male"/>
    <n v="94"/>
    <n v="2"/>
    <n v="1"/>
    <x v="2"/>
    <n v="2"/>
    <s v="Married"/>
    <n v="2127"/>
    <n v="9100"/>
    <n v="1"/>
    <s v="Y"/>
    <s v="No"/>
    <n v="21"/>
    <n v="4"/>
    <n v="4"/>
    <n v="80"/>
    <n v="1"/>
    <n v="1"/>
    <n v="2"/>
    <n v="3"/>
    <n v="1"/>
    <n v="0"/>
    <x v="0"/>
    <n v="0"/>
    <s v="OK"/>
    <s v="OK"/>
    <s v="OK"/>
    <s v="OK"/>
    <n v="0"/>
    <n v="0"/>
    <n v="2"/>
    <n v="0"/>
  </r>
  <r>
    <n v="50"/>
    <s v="No"/>
    <s v="Travel_Frequently"/>
    <n v="1246"/>
    <s v="Human Resources"/>
    <n v="3"/>
    <n v="3"/>
    <s v="Medical"/>
    <n v="1"/>
    <n v="644"/>
    <n v="1"/>
    <s v="Male"/>
    <n v="99"/>
    <n v="3"/>
    <n v="5"/>
    <x v="5"/>
    <n v="2"/>
    <s v="Married"/>
    <n v="18200"/>
    <n v="7999"/>
    <n v="1"/>
    <s v="Y"/>
    <s v="No"/>
    <n v="11"/>
    <n v="3"/>
    <n v="3"/>
    <n v="80"/>
    <n v="1"/>
    <n v="32"/>
    <n v="2"/>
    <n v="3"/>
    <n v="32"/>
    <n v="5"/>
    <x v="13"/>
    <n v="7"/>
    <s v="OK"/>
    <s v="OK"/>
    <s v="OK"/>
    <s v="OK"/>
    <n v="0.3125"/>
    <n v="0.15625"/>
    <n v="6.25E-2"/>
    <n v="0.21875"/>
  </r>
  <r>
    <n v="25"/>
    <s v="No"/>
    <s v="Travel_Rarely"/>
    <n v="622"/>
    <s v="Sales"/>
    <n v="13"/>
    <n v="1"/>
    <s v="Medical"/>
    <n v="1"/>
    <n v="645"/>
    <n v="2"/>
    <s v="Male"/>
    <n v="40"/>
    <n v="3"/>
    <n v="1"/>
    <x v="6"/>
    <n v="3"/>
    <s v="Married"/>
    <n v="2096"/>
    <n v="26376"/>
    <n v="1"/>
    <s v="Y"/>
    <s v="No"/>
    <n v="11"/>
    <n v="3"/>
    <n v="3"/>
    <n v="80"/>
    <n v="0"/>
    <n v="7"/>
    <n v="1"/>
    <n v="3"/>
    <n v="7"/>
    <n v="4"/>
    <x v="0"/>
    <n v="6"/>
    <s v="OK"/>
    <s v="OK"/>
    <s v="OK"/>
    <s v="OK"/>
    <n v="0"/>
    <n v="0.5714285714285714"/>
    <n v="0.14285714285714285"/>
    <n v="0.8571428571428571"/>
  </r>
  <r>
    <n v="24"/>
    <s v="Yes"/>
    <s v="Travel_Frequently"/>
    <n v="1287"/>
    <s v="Research &amp; Development"/>
    <n v="7"/>
    <n v="3"/>
    <s v="Life Sciences"/>
    <n v="1"/>
    <n v="647"/>
    <n v="1"/>
    <s v="Female"/>
    <n v="55"/>
    <n v="3"/>
    <n v="1"/>
    <x v="2"/>
    <n v="3"/>
    <s v="Married"/>
    <n v="2886"/>
    <n v="14168"/>
    <n v="1"/>
    <s v="Y"/>
    <s v="Yes"/>
    <n v="16"/>
    <n v="3"/>
    <n v="4"/>
    <n v="80"/>
    <n v="1"/>
    <n v="6"/>
    <n v="4"/>
    <n v="3"/>
    <n v="6"/>
    <n v="3"/>
    <x v="1"/>
    <n v="2"/>
    <s v="OK"/>
    <s v="OK"/>
    <s v="OK"/>
    <s v="OK"/>
    <n v="0.16666666666666666"/>
    <n v="0.5"/>
    <n v="0.66666666666666663"/>
    <n v="0.33333333333333331"/>
  </r>
  <r>
    <n v="30"/>
    <s v="Yes"/>
    <s v="Travel_Frequently"/>
    <n v="448"/>
    <s v="Sales"/>
    <n v="12"/>
    <n v="4"/>
    <s v="Life Sciences"/>
    <n v="1"/>
    <n v="648"/>
    <n v="2"/>
    <s v="Male"/>
    <n v="74"/>
    <n v="2"/>
    <n v="1"/>
    <x v="6"/>
    <n v="1"/>
    <s v="Married"/>
    <n v="2033"/>
    <n v="14470"/>
    <n v="1"/>
    <s v="Y"/>
    <s v="No"/>
    <n v="18"/>
    <n v="3"/>
    <n v="3"/>
    <n v="80"/>
    <n v="1"/>
    <n v="1"/>
    <n v="2"/>
    <n v="4"/>
    <n v="1"/>
    <n v="0"/>
    <x v="0"/>
    <n v="0"/>
    <s v="OK"/>
    <s v="OK"/>
    <s v="OK"/>
    <s v="OK"/>
    <n v="0"/>
    <n v="0"/>
    <n v="2"/>
    <n v="0"/>
  </r>
  <r>
    <n v="34"/>
    <s v="No"/>
    <s v="Travel_Rarely"/>
    <n v="254"/>
    <s v="Research &amp; Development"/>
    <n v="1"/>
    <n v="2"/>
    <s v="Life Sciences"/>
    <n v="1"/>
    <n v="649"/>
    <n v="2"/>
    <s v="Male"/>
    <n v="83"/>
    <n v="2"/>
    <n v="1"/>
    <x v="1"/>
    <n v="4"/>
    <s v="Married"/>
    <n v="3622"/>
    <n v="22794"/>
    <n v="1"/>
    <s v="Y"/>
    <s v="Yes"/>
    <n v="13"/>
    <n v="3"/>
    <n v="4"/>
    <n v="80"/>
    <n v="1"/>
    <n v="6"/>
    <n v="3"/>
    <n v="3"/>
    <n v="6"/>
    <n v="5"/>
    <x v="1"/>
    <n v="3"/>
    <s v="OK"/>
    <s v="OK"/>
    <s v="OK"/>
    <s v="OK"/>
    <n v="0.16666666666666666"/>
    <n v="0.83333333333333337"/>
    <n v="0.5"/>
    <n v="0.5"/>
  </r>
  <r>
    <n v="31"/>
    <s v="Yes"/>
    <s v="Travel_Rarely"/>
    <n v="1365"/>
    <s v="Sales"/>
    <n v="13"/>
    <n v="4"/>
    <s v="Medical"/>
    <n v="1"/>
    <n v="650"/>
    <n v="2"/>
    <s v="Male"/>
    <n v="46"/>
    <n v="3"/>
    <n v="2"/>
    <x v="0"/>
    <n v="1"/>
    <s v="Divorced"/>
    <n v="4233"/>
    <n v="11512"/>
    <n v="2"/>
    <s v="Y"/>
    <s v="No"/>
    <n v="17"/>
    <n v="3"/>
    <n v="3"/>
    <n v="80"/>
    <n v="0"/>
    <n v="9"/>
    <n v="2"/>
    <n v="1"/>
    <n v="3"/>
    <n v="1"/>
    <x v="1"/>
    <n v="2"/>
    <s v="OK"/>
    <s v="OK"/>
    <s v="OK"/>
    <s v="OK"/>
    <n v="0.33333333333333331"/>
    <n v="0.33333333333333331"/>
    <n v="0.66666666666666663"/>
    <n v="0.66666666666666663"/>
  </r>
  <r>
    <n v="35"/>
    <s v="No"/>
    <s v="Travel_Rarely"/>
    <n v="538"/>
    <s v="Research &amp; Development"/>
    <n v="25"/>
    <n v="2"/>
    <s v="Other"/>
    <n v="1"/>
    <n v="652"/>
    <n v="1"/>
    <s v="Male"/>
    <n v="54"/>
    <n v="2"/>
    <n v="2"/>
    <x v="2"/>
    <n v="4"/>
    <s v="Single"/>
    <n v="3681"/>
    <n v="14004"/>
    <n v="4"/>
    <s v="Y"/>
    <s v="No"/>
    <n v="14"/>
    <n v="3"/>
    <n v="4"/>
    <n v="80"/>
    <n v="0"/>
    <n v="9"/>
    <n v="3"/>
    <n v="3"/>
    <n v="3"/>
    <n v="2"/>
    <x v="0"/>
    <n v="2"/>
    <s v="OK"/>
    <s v="OK"/>
    <s v="OK"/>
    <s v="OK"/>
    <n v="0"/>
    <n v="0.66666666666666663"/>
    <n v="1"/>
    <n v="0.66666666666666663"/>
  </r>
  <r>
    <n v="31"/>
    <s v="No"/>
    <s v="Travel_Rarely"/>
    <n v="525"/>
    <s v="Sales"/>
    <n v="6"/>
    <n v="4"/>
    <s v="Medical"/>
    <n v="1"/>
    <n v="653"/>
    <n v="1"/>
    <s v="Male"/>
    <n v="66"/>
    <n v="4"/>
    <n v="2"/>
    <x v="0"/>
    <n v="4"/>
    <s v="Divorced"/>
    <n v="5460"/>
    <n v="6219"/>
    <n v="4"/>
    <s v="Y"/>
    <s v="No"/>
    <n v="22"/>
    <n v="4"/>
    <n v="4"/>
    <n v="80"/>
    <n v="2"/>
    <n v="13"/>
    <n v="4"/>
    <n v="4"/>
    <n v="7"/>
    <n v="7"/>
    <x v="8"/>
    <n v="7"/>
    <s v="OK"/>
    <s v="OK"/>
    <s v="OK"/>
    <s v="OK"/>
    <n v="0.7142857142857143"/>
    <n v="1"/>
    <n v="0.5714285714285714"/>
    <n v="1"/>
  </r>
  <r>
    <n v="27"/>
    <s v="No"/>
    <s v="Travel_Rarely"/>
    <n v="798"/>
    <s v="Research &amp; Development"/>
    <n v="6"/>
    <n v="4"/>
    <s v="Medical"/>
    <n v="1"/>
    <n v="655"/>
    <n v="1"/>
    <s v="Female"/>
    <n v="66"/>
    <n v="2"/>
    <n v="1"/>
    <x v="1"/>
    <n v="3"/>
    <s v="Divorced"/>
    <n v="2187"/>
    <n v="5013"/>
    <n v="0"/>
    <s v="Y"/>
    <s v="No"/>
    <n v="12"/>
    <n v="3"/>
    <n v="3"/>
    <n v="80"/>
    <n v="2"/>
    <n v="6"/>
    <n v="5"/>
    <n v="2"/>
    <n v="5"/>
    <n v="3"/>
    <x v="0"/>
    <n v="3"/>
    <s v="OK"/>
    <s v="OK"/>
    <s v="OK"/>
    <s v="OK"/>
    <n v="0"/>
    <n v="0.6"/>
    <n v="1"/>
    <n v="0.6"/>
  </r>
  <r>
    <n v="37"/>
    <s v="No"/>
    <s v="Travel_Rarely"/>
    <n v="558"/>
    <s v="Sales"/>
    <n v="2"/>
    <n v="3"/>
    <s v="Marketing"/>
    <n v="1"/>
    <n v="656"/>
    <n v="4"/>
    <s v="Male"/>
    <n v="75"/>
    <n v="3"/>
    <n v="2"/>
    <x v="0"/>
    <n v="3"/>
    <s v="Married"/>
    <n v="9602"/>
    <n v="3010"/>
    <n v="4"/>
    <s v="Y"/>
    <s v="Yes"/>
    <n v="11"/>
    <n v="3"/>
    <n v="3"/>
    <n v="80"/>
    <n v="1"/>
    <n v="17"/>
    <n v="3"/>
    <n v="2"/>
    <n v="3"/>
    <n v="0"/>
    <x v="1"/>
    <n v="0"/>
    <s v="OK"/>
    <s v="OK"/>
    <s v="OK"/>
    <s v="OK"/>
    <n v="0.33333333333333331"/>
    <n v="0"/>
    <n v="1"/>
    <n v="0"/>
  </r>
  <r>
    <n v="20"/>
    <s v="No"/>
    <s v="Travel_Rarely"/>
    <n v="959"/>
    <s v="Research &amp; Development"/>
    <n v="1"/>
    <n v="3"/>
    <s v="Life Sciences"/>
    <n v="1"/>
    <n v="657"/>
    <n v="4"/>
    <s v="Female"/>
    <n v="83"/>
    <n v="2"/>
    <n v="1"/>
    <x v="1"/>
    <n v="2"/>
    <s v="Single"/>
    <n v="2836"/>
    <n v="11757"/>
    <n v="1"/>
    <s v="Y"/>
    <s v="No"/>
    <n v="13"/>
    <n v="3"/>
    <n v="4"/>
    <n v="80"/>
    <n v="0"/>
    <n v="1"/>
    <n v="0"/>
    <n v="4"/>
    <n v="1"/>
    <n v="0"/>
    <x v="0"/>
    <n v="0"/>
    <s v="OK"/>
    <s v="OK"/>
    <s v="OK"/>
    <s v="OK"/>
    <n v="0"/>
    <n v="0"/>
    <n v="0"/>
    <n v="0"/>
  </r>
  <r>
    <n v="42"/>
    <s v="No"/>
    <s v="Travel_Rarely"/>
    <n v="622"/>
    <s v="Research &amp; Development"/>
    <n v="2"/>
    <n v="4"/>
    <s v="Life Sciences"/>
    <n v="1"/>
    <n v="659"/>
    <n v="3"/>
    <s v="Female"/>
    <n v="81"/>
    <n v="3"/>
    <n v="2"/>
    <x v="4"/>
    <n v="4"/>
    <s v="Married"/>
    <n v="4089"/>
    <n v="5718"/>
    <n v="1"/>
    <s v="Y"/>
    <s v="No"/>
    <n v="13"/>
    <n v="3"/>
    <n v="2"/>
    <n v="80"/>
    <n v="2"/>
    <n v="10"/>
    <n v="4"/>
    <n v="3"/>
    <n v="10"/>
    <n v="2"/>
    <x v="3"/>
    <n v="2"/>
    <s v="OK"/>
    <s v="OK"/>
    <s v="OK"/>
    <s v="OK"/>
    <n v="0.2"/>
    <n v="0.2"/>
    <n v="0.4"/>
    <n v="0.2"/>
  </r>
  <r>
    <n v="43"/>
    <s v="No"/>
    <s v="Travel_Rarely"/>
    <n v="782"/>
    <s v="Research &amp; Development"/>
    <n v="6"/>
    <n v="4"/>
    <s v="Other"/>
    <n v="1"/>
    <n v="661"/>
    <n v="2"/>
    <s v="Male"/>
    <n v="50"/>
    <n v="2"/>
    <n v="4"/>
    <x v="7"/>
    <n v="4"/>
    <s v="Divorced"/>
    <n v="16627"/>
    <n v="2671"/>
    <n v="4"/>
    <s v="Y"/>
    <s v="Yes"/>
    <n v="14"/>
    <n v="3"/>
    <n v="3"/>
    <n v="80"/>
    <n v="1"/>
    <n v="21"/>
    <n v="3"/>
    <n v="2"/>
    <n v="1"/>
    <n v="0"/>
    <x v="0"/>
    <n v="0"/>
    <s v="OK"/>
    <s v="OK"/>
    <s v="OK"/>
    <s v="OK"/>
    <n v="0"/>
    <n v="0"/>
    <n v="3"/>
    <n v="0"/>
  </r>
  <r>
    <n v="38"/>
    <s v="No"/>
    <s v="Travel_Rarely"/>
    <n v="362"/>
    <s v="Research &amp; Development"/>
    <n v="1"/>
    <n v="1"/>
    <s v="Life Sciences"/>
    <n v="1"/>
    <n v="662"/>
    <n v="3"/>
    <s v="Female"/>
    <n v="43"/>
    <n v="3"/>
    <n v="1"/>
    <x v="1"/>
    <n v="1"/>
    <s v="Single"/>
    <n v="2619"/>
    <n v="14561"/>
    <n v="3"/>
    <s v="Y"/>
    <s v="No"/>
    <n v="17"/>
    <n v="3"/>
    <n v="4"/>
    <n v="80"/>
    <n v="0"/>
    <n v="8"/>
    <n v="3"/>
    <n v="2"/>
    <n v="0"/>
    <n v="0"/>
    <x v="0"/>
    <n v="0"/>
    <s v="OK"/>
    <s v="OK"/>
    <s v="OK"/>
    <s v="OK"/>
    <n v="0"/>
    <n v="0"/>
    <n v="0"/>
    <n v="0"/>
  </r>
  <r>
    <n v="43"/>
    <s v="No"/>
    <s v="Travel_Frequently"/>
    <n v="1001"/>
    <s v="Research &amp; Development"/>
    <n v="9"/>
    <n v="5"/>
    <s v="Medical"/>
    <n v="1"/>
    <n v="663"/>
    <n v="4"/>
    <s v="Male"/>
    <n v="72"/>
    <n v="3"/>
    <n v="2"/>
    <x v="2"/>
    <n v="3"/>
    <s v="Divorced"/>
    <n v="5679"/>
    <n v="19627"/>
    <n v="3"/>
    <s v="Y"/>
    <s v="Yes"/>
    <n v="13"/>
    <n v="3"/>
    <n v="2"/>
    <n v="80"/>
    <n v="1"/>
    <n v="10"/>
    <n v="3"/>
    <n v="3"/>
    <n v="8"/>
    <n v="7"/>
    <x v="5"/>
    <n v="7"/>
    <s v="OK"/>
    <s v="OK"/>
    <s v="OK"/>
    <s v="OK"/>
    <n v="0.5"/>
    <n v="0.875"/>
    <n v="0.375"/>
    <n v="0.875"/>
  </r>
  <r>
    <n v="48"/>
    <s v="No"/>
    <s v="Travel_Rarely"/>
    <n v="1236"/>
    <s v="Research &amp; Development"/>
    <n v="1"/>
    <n v="4"/>
    <s v="Life Sciences"/>
    <n v="1"/>
    <n v="664"/>
    <n v="4"/>
    <s v="Female"/>
    <n v="40"/>
    <n v="2"/>
    <n v="4"/>
    <x v="5"/>
    <n v="1"/>
    <s v="Married"/>
    <n v="15402"/>
    <n v="17997"/>
    <n v="7"/>
    <s v="Y"/>
    <s v="No"/>
    <n v="11"/>
    <n v="3"/>
    <n v="1"/>
    <n v="80"/>
    <n v="1"/>
    <n v="21"/>
    <n v="3"/>
    <n v="1"/>
    <n v="3"/>
    <n v="2"/>
    <x v="0"/>
    <n v="2"/>
    <s v="OK"/>
    <s v="OK"/>
    <s v="OK"/>
    <s v="OK"/>
    <n v="0"/>
    <n v="0.66666666666666663"/>
    <n v="1"/>
    <n v="0.66666666666666663"/>
  </r>
  <r>
    <n v="44"/>
    <s v="No"/>
    <s v="Travel_Rarely"/>
    <n v="1112"/>
    <s v="Human Resources"/>
    <n v="1"/>
    <n v="4"/>
    <s v="Life Sciences"/>
    <n v="1"/>
    <n v="665"/>
    <n v="1"/>
    <s v="Female"/>
    <n v="50"/>
    <n v="2"/>
    <n v="2"/>
    <x v="8"/>
    <n v="3"/>
    <s v="Single"/>
    <n v="5985"/>
    <n v="26894"/>
    <n v="4"/>
    <s v="Y"/>
    <s v="No"/>
    <n v="11"/>
    <n v="3"/>
    <n v="2"/>
    <n v="80"/>
    <n v="0"/>
    <n v="10"/>
    <n v="1"/>
    <n v="4"/>
    <n v="2"/>
    <n v="2"/>
    <x v="0"/>
    <n v="2"/>
    <s v="OK"/>
    <s v="OK"/>
    <s v="OK"/>
    <s v="OK"/>
    <n v="0"/>
    <n v="1"/>
    <n v="0.5"/>
    <n v="1"/>
  </r>
  <r>
    <n v="34"/>
    <s v="No"/>
    <s v="Travel_Rarely"/>
    <n v="204"/>
    <s v="Sales"/>
    <n v="14"/>
    <n v="3"/>
    <s v="Technical Degree"/>
    <n v="1"/>
    <n v="666"/>
    <n v="3"/>
    <s v="Female"/>
    <n v="31"/>
    <n v="3"/>
    <n v="1"/>
    <x v="6"/>
    <n v="3"/>
    <s v="Divorced"/>
    <n v="2579"/>
    <n v="2912"/>
    <n v="1"/>
    <s v="Y"/>
    <s v="Yes"/>
    <n v="18"/>
    <n v="3"/>
    <n v="4"/>
    <n v="80"/>
    <n v="2"/>
    <n v="8"/>
    <n v="3"/>
    <n v="3"/>
    <n v="8"/>
    <n v="2"/>
    <x v="0"/>
    <n v="6"/>
    <s v="OK"/>
    <s v="OK"/>
    <s v="OK"/>
    <s v="OK"/>
    <n v="0"/>
    <n v="0.25"/>
    <n v="0.375"/>
    <n v="0.75"/>
  </r>
  <r>
    <n v="27"/>
    <s v="Yes"/>
    <s v="Travel_Rarely"/>
    <n v="1420"/>
    <s v="Sales"/>
    <n v="2"/>
    <n v="1"/>
    <s v="Marketing"/>
    <n v="1"/>
    <n v="667"/>
    <n v="3"/>
    <s v="Male"/>
    <n v="85"/>
    <n v="3"/>
    <n v="1"/>
    <x v="6"/>
    <n v="1"/>
    <s v="Divorced"/>
    <n v="3041"/>
    <n v="16346"/>
    <n v="0"/>
    <s v="Y"/>
    <s v="No"/>
    <n v="11"/>
    <n v="3"/>
    <n v="2"/>
    <n v="80"/>
    <n v="1"/>
    <n v="5"/>
    <n v="3"/>
    <n v="3"/>
    <n v="4"/>
    <n v="3"/>
    <x v="0"/>
    <n v="2"/>
    <s v="OK"/>
    <s v="OK"/>
    <s v="OK"/>
    <s v="OK"/>
    <n v="0"/>
    <n v="0.75"/>
    <n v="0.75"/>
    <n v="0.5"/>
  </r>
  <r>
    <n v="21"/>
    <s v="No"/>
    <s v="Travel_Rarely"/>
    <n v="1343"/>
    <s v="Sales"/>
    <n v="22"/>
    <n v="1"/>
    <s v="Technical Degree"/>
    <n v="1"/>
    <n v="669"/>
    <n v="3"/>
    <s v="Male"/>
    <n v="49"/>
    <n v="3"/>
    <n v="1"/>
    <x v="6"/>
    <n v="3"/>
    <s v="Single"/>
    <n v="3447"/>
    <n v="24444"/>
    <n v="1"/>
    <s v="Y"/>
    <s v="No"/>
    <n v="11"/>
    <n v="3"/>
    <n v="3"/>
    <n v="80"/>
    <n v="0"/>
    <n v="3"/>
    <n v="2"/>
    <n v="3"/>
    <n v="3"/>
    <n v="2"/>
    <x v="1"/>
    <n v="2"/>
    <s v="OK"/>
    <s v="OK"/>
    <s v="OK"/>
    <s v="OK"/>
    <n v="0.33333333333333331"/>
    <n v="0.66666666666666663"/>
    <n v="0.66666666666666663"/>
    <n v="0.66666666666666663"/>
  </r>
  <r>
    <n v="44"/>
    <s v="No"/>
    <s v="Travel_Rarely"/>
    <n v="1315"/>
    <s v="Research &amp; Development"/>
    <n v="3"/>
    <n v="4"/>
    <s v="Other"/>
    <n v="1"/>
    <n v="671"/>
    <n v="4"/>
    <s v="Male"/>
    <n v="35"/>
    <n v="3"/>
    <n v="5"/>
    <x v="5"/>
    <n v="4"/>
    <s v="Married"/>
    <n v="19513"/>
    <n v="9358"/>
    <n v="4"/>
    <s v="Y"/>
    <s v="Yes"/>
    <n v="12"/>
    <n v="3"/>
    <n v="1"/>
    <n v="80"/>
    <n v="1"/>
    <n v="26"/>
    <n v="2"/>
    <n v="4"/>
    <n v="2"/>
    <n v="2"/>
    <x v="0"/>
    <n v="1"/>
    <s v="OK"/>
    <s v="OK"/>
    <s v="OK"/>
    <s v="OK"/>
    <n v="0"/>
    <n v="1"/>
    <n v="1"/>
    <n v="0.5"/>
  </r>
  <r>
    <n v="22"/>
    <s v="No"/>
    <s v="Travel_Rarely"/>
    <n v="604"/>
    <s v="Research &amp; Development"/>
    <n v="6"/>
    <n v="1"/>
    <s v="Medical"/>
    <n v="1"/>
    <n v="675"/>
    <n v="1"/>
    <s v="Male"/>
    <n v="69"/>
    <n v="3"/>
    <n v="1"/>
    <x v="1"/>
    <n v="3"/>
    <s v="Married"/>
    <n v="2773"/>
    <n v="12145"/>
    <n v="0"/>
    <s v="Y"/>
    <s v="No"/>
    <n v="20"/>
    <n v="4"/>
    <n v="4"/>
    <n v="80"/>
    <n v="0"/>
    <n v="3"/>
    <n v="3"/>
    <n v="3"/>
    <n v="2"/>
    <n v="2"/>
    <x v="3"/>
    <n v="2"/>
    <s v="OK"/>
    <s v="OK"/>
    <s v="OK"/>
    <s v="OK"/>
    <n v="1"/>
    <n v="1"/>
    <n v="1.5"/>
    <n v="1"/>
  </r>
  <r>
    <n v="33"/>
    <s v="No"/>
    <s v="Travel_Rarely"/>
    <n v="1216"/>
    <s v="Sales"/>
    <n v="8"/>
    <n v="4"/>
    <s v="Marketing"/>
    <n v="1"/>
    <n v="677"/>
    <n v="3"/>
    <s v="Male"/>
    <n v="39"/>
    <n v="3"/>
    <n v="2"/>
    <x v="0"/>
    <n v="3"/>
    <s v="Divorced"/>
    <n v="7104"/>
    <n v="20431"/>
    <n v="0"/>
    <s v="Y"/>
    <s v="No"/>
    <n v="12"/>
    <n v="3"/>
    <n v="4"/>
    <n v="80"/>
    <n v="0"/>
    <n v="6"/>
    <n v="3"/>
    <n v="3"/>
    <n v="5"/>
    <n v="0"/>
    <x v="1"/>
    <n v="2"/>
    <s v="OK"/>
    <s v="OK"/>
    <s v="OK"/>
    <s v="OK"/>
    <n v="0.2"/>
    <n v="0"/>
    <n v="0.6"/>
    <n v="0.4"/>
  </r>
  <r>
    <n v="32"/>
    <s v="No"/>
    <s v="Travel_Rarely"/>
    <n v="646"/>
    <s v="Research &amp; Development"/>
    <n v="9"/>
    <n v="4"/>
    <s v="Life Sciences"/>
    <n v="1"/>
    <n v="679"/>
    <n v="1"/>
    <s v="Female"/>
    <n v="92"/>
    <n v="3"/>
    <n v="2"/>
    <x v="1"/>
    <n v="4"/>
    <s v="Married"/>
    <n v="6322"/>
    <n v="18089"/>
    <n v="1"/>
    <s v="Y"/>
    <s v="Yes"/>
    <n v="12"/>
    <n v="3"/>
    <n v="4"/>
    <n v="80"/>
    <n v="1"/>
    <n v="6"/>
    <n v="2"/>
    <n v="2"/>
    <n v="6"/>
    <n v="4"/>
    <x v="0"/>
    <n v="5"/>
    <s v="OK"/>
    <s v="OK"/>
    <s v="OK"/>
    <s v="OK"/>
    <n v="0"/>
    <n v="0.66666666666666663"/>
    <n v="0.33333333333333331"/>
    <n v="0.83333333333333337"/>
  </r>
  <r>
    <n v="30"/>
    <s v="No"/>
    <s v="Travel_Frequently"/>
    <n v="160"/>
    <s v="Research &amp; Development"/>
    <n v="3"/>
    <n v="3"/>
    <s v="Medical"/>
    <n v="1"/>
    <n v="680"/>
    <n v="3"/>
    <s v="Female"/>
    <n v="71"/>
    <n v="3"/>
    <n v="1"/>
    <x v="1"/>
    <n v="3"/>
    <s v="Divorced"/>
    <n v="2083"/>
    <n v="22653"/>
    <n v="1"/>
    <s v="Y"/>
    <s v="No"/>
    <n v="20"/>
    <n v="4"/>
    <n v="3"/>
    <n v="80"/>
    <n v="1"/>
    <n v="1"/>
    <n v="2"/>
    <n v="3"/>
    <n v="1"/>
    <n v="0"/>
    <x v="0"/>
    <n v="0"/>
    <s v="OK"/>
    <s v="OK"/>
    <s v="OK"/>
    <s v="OK"/>
    <n v="0"/>
    <n v="0"/>
    <n v="2"/>
    <n v="0"/>
  </r>
  <r>
    <n v="53"/>
    <s v="No"/>
    <s v="Travel_Rarely"/>
    <n v="238"/>
    <s v="Sales"/>
    <n v="1"/>
    <n v="1"/>
    <s v="Medical"/>
    <n v="1"/>
    <n v="682"/>
    <n v="4"/>
    <s v="Female"/>
    <n v="34"/>
    <n v="3"/>
    <n v="2"/>
    <x v="0"/>
    <n v="1"/>
    <s v="Single"/>
    <n v="8381"/>
    <n v="7507"/>
    <n v="7"/>
    <s v="Y"/>
    <s v="No"/>
    <n v="20"/>
    <n v="4"/>
    <n v="4"/>
    <n v="80"/>
    <n v="0"/>
    <n v="18"/>
    <n v="2"/>
    <n v="4"/>
    <n v="14"/>
    <n v="7"/>
    <x v="6"/>
    <n v="10"/>
    <s v="OK"/>
    <s v="OK"/>
    <s v="OK"/>
    <s v="OK"/>
    <n v="0.5714285714285714"/>
    <n v="0.5"/>
    <n v="0.14285714285714285"/>
    <n v="0.7142857142857143"/>
  </r>
  <r>
    <n v="34"/>
    <s v="No"/>
    <s v="Travel_Rarely"/>
    <n v="1397"/>
    <s v="Research &amp; Development"/>
    <n v="1"/>
    <n v="5"/>
    <s v="Life Sciences"/>
    <n v="1"/>
    <n v="683"/>
    <n v="2"/>
    <s v="Male"/>
    <n v="42"/>
    <n v="3"/>
    <n v="1"/>
    <x v="1"/>
    <n v="4"/>
    <s v="Married"/>
    <n v="2691"/>
    <n v="7660"/>
    <n v="1"/>
    <s v="Y"/>
    <s v="No"/>
    <n v="12"/>
    <n v="3"/>
    <n v="4"/>
    <n v="80"/>
    <n v="1"/>
    <n v="10"/>
    <n v="4"/>
    <n v="2"/>
    <n v="10"/>
    <n v="9"/>
    <x v="6"/>
    <n v="8"/>
    <s v="OK"/>
    <s v="OK"/>
    <s v="OK"/>
    <s v="OK"/>
    <n v="0.8"/>
    <n v="0.9"/>
    <n v="0.4"/>
    <n v="0.8"/>
  </r>
  <r>
    <n v="45"/>
    <s v="Yes"/>
    <s v="Travel_Frequently"/>
    <n v="306"/>
    <s v="Sales"/>
    <n v="26"/>
    <n v="4"/>
    <s v="Life Sciences"/>
    <n v="1"/>
    <n v="684"/>
    <n v="1"/>
    <s v="Female"/>
    <n v="100"/>
    <n v="3"/>
    <n v="2"/>
    <x v="0"/>
    <n v="1"/>
    <s v="Married"/>
    <n v="4286"/>
    <n v="5630"/>
    <n v="2"/>
    <s v="Y"/>
    <s v="No"/>
    <n v="14"/>
    <n v="3"/>
    <n v="4"/>
    <n v="80"/>
    <n v="2"/>
    <n v="5"/>
    <n v="4"/>
    <n v="3"/>
    <n v="1"/>
    <n v="1"/>
    <x v="0"/>
    <n v="0"/>
    <s v="OK"/>
    <s v="OK"/>
    <s v="OK"/>
    <s v="OK"/>
    <n v="0"/>
    <n v="1"/>
    <n v="4"/>
    <n v="0"/>
  </r>
  <r>
    <n v="26"/>
    <s v="No"/>
    <s v="Travel_Rarely"/>
    <n v="991"/>
    <s v="Research &amp; Development"/>
    <n v="6"/>
    <n v="3"/>
    <s v="Life Sciences"/>
    <n v="1"/>
    <n v="686"/>
    <n v="3"/>
    <s v="Female"/>
    <n v="71"/>
    <n v="3"/>
    <n v="1"/>
    <x v="2"/>
    <n v="4"/>
    <s v="Married"/>
    <n v="2659"/>
    <n v="17759"/>
    <n v="1"/>
    <s v="Y"/>
    <s v="Yes"/>
    <n v="13"/>
    <n v="3"/>
    <n v="3"/>
    <n v="80"/>
    <n v="1"/>
    <n v="3"/>
    <n v="2"/>
    <n v="3"/>
    <n v="3"/>
    <n v="2"/>
    <x v="0"/>
    <n v="2"/>
    <s v="OK"/>
    <s v="OK"/>
    <s v="OK"/>
    <s v="OK"/>
    <n v="0"/>
    <n v="0.66666666666666663"/>
    <n v="0.66666666666666663"/>
    <n v="0.66666666666666663"/>
  </r>
  <r>
    <n v="37"/>
    <s v="No"/>
    <s v="Travel_Rarely"/>
    <n v="482"/>
    <s v="Research &amp; Development"/>
    <n v="3"/>
    <n v="3"/>
    <s v="Other"/>
    <n v="1"/>
    <n v="689"/>
    <n v="3"/>
    <s v="Male"/>
    <n v="36"/>
    <n v="3"/>
    <n v="3"/>
    <x v="3"/>
    <n v="3"/>
    <s v="Married"/>
    <n v="9434"/>
    <n v="9606"/>
    <n v="1"/>
    <s v="Y"/>
    <s v="No"/>
    <n v="15"/>
    <n v="3"/>
    <n v="3"/>
    <n v="80"/>
    <n v="1"/>
    <n v="10"/>
    <n v="2"/>
    <n v="3"/>
    <n v="10"/>
    <n v="7"/>
    <x v="4"/>
    <n v="8"/>
    <s v="OK"/>
    <s v="OK"/>
    <s v="OK"/>
    <s v="OK"/>
    <n v="0.7"/>
    <n v="0.7"/>
    <n v="0.2"/>
    <n v="0.8"/>
  </r>
  <r>
    <n v="29"/>
    <s v="No"/>
    <s v="Travel_Rarely"/>
    <n v="1176"/>
    <s v="Sales"/>
    <n v="3"/>
    <n v="2"/>
    <s v="Medical"/>
    <n v="1"/>
    <n v="690"/>
    <n v="2"/>
    <s v="Female"/>
    <n v="62"/>
    <n v="3"/>
    <n v="2"/>
    <x v="0"/>
    <n v="3"/>
    <s v="Married"/>
    <n v="5561"/>
    <n v="3487"/>
    <n v="1"/>
    <s v="Y"/>
    <s v="No"/>
    <n v="14"/>
    <n v="3"/>
    <n v="1"/>
    <n v="80"/>
    <n v="1"/>
    <n v="6"/>
    <n v="5"/>
    <n v="2"/>
    <n v="6"/>
    <n v="0"/>
    <x v="1"/>
    <n v="2"/>
    <s v="OK"/>
    <s v="OK"/>
    <s v="OK"/>
    <s v="OK"/>
    <n v="0.16666666666666666"/>
    <n v="0"/>
    <n v="0.83333333333333337"/>
    <n v="0.33333333333333331"/>
  </r>
  <r>
    <n v="35"/>
    <s v="No"/>
    <s v="Travel_Rarely"/>
    <n v="1017"/>
    <s v="Research &amp; Development"/>
    <n v="6"/>
    <n v="4"/>
    <s v="Life Sciences"/>
    <n v="1"/>
    <n v="691"/>
    <n v="2"/>
    <s v="Male"/>
    <n v="82"/>
    <n v="1"/>
    <n v="2"/>
    <x v="1"/>
    <n v="4"/>
    <s v="Single"/>
    <n v="6646"/>
    <n v="19368"/>
    <n v="1"/>
    <s v="Y"/>
    <s v="No"/>
    <n v="13"/>
    <n v="3"/>
    <n v="2"/>
    <n v="80"/>
    <n v="0"/>
    <n v="17"/>
    <n v="3"/>
    <n v="3"/>
    <n v="17"/>
    <n v="11"/>
    <x v="14"/>
    <n v="8"/>
    <s v="OK"/>
    <s v="OK"/>
    <s v="OK"/>
    <s v="OK"/>
    <n v="0.6470588235294118"/>
    <n v="0.6470588235294118"/>
    <n v="0.17647058823529413"/>
    <n v="0.47058823529411764"/>
  </r>
  <r>
    <n v="33"/>
    <s v="No"/>
    <s v="Travel_Frequently"/>
    <n v="1296"/>
    <s v="Research &amp; Development"/>
    <n v="6"/>
    <n v="3"/>
    <s v="Life Sciences"/>
    <n v="1"/>
    <n v="692"/>
    <n v="3"/>
    <s v="Male"/>
    <n v="30"/>
    <n v="3"/>
    <n v="2"/>
    <x v="4"/>
    <n v="4"/>
    <s v="Divorced"/>
    <n v="7725"/>
    <n v="5335"/>
    <n v="3"/>
    <s v="Y"/>
    <s v="No"/>
    <n v="23"/>
    <n v="4"/>
    <n v="3"/>
    <n v="80"/>
    <n v="1"/>
    <n v="15"/>
    <n v="2"/>
    <n v="1"/>
    <n v="13"/>
    <n v="11"/>
    <x v="5"/>
    <n v="7"/>
    <s v="OK"/>
    <s v="OK"/>
    <s v="OK"/>
    <s v="OK"/>
    <n v="0.30769230769230771"/>
    <n v="0.84615384615384615"/>
    <n v="0.15384615384615385"/>
    <n v="0.53846153846153844"/>
  </r>
  <r>
    <n v="54"/>
    <s v="No"/>
    <s v="Travel_Rarely"/>
    <n v="397"/>
    <s v="Human Resources"/>
    <n v="19"/>
    <n v="4"/>
    <s v="Medical"/>
    <n v="1"/>
    <n v="698"/>
    <n v="3"/>
    <s v="Male"/>
    <n v="88"/>
    <n v="3"/>
    <n v="3"/>
    <x v="8"/>
    <n v="2"/>
    <s v="Married"/>
    <n v="10725"/>
    <n v="6729"/>
    <n v="2"/>
    <s v="Y"/>
    <s v="No"/>
    <n v="15"/>
    <n v="3"/>
    <n v="3"/>
    <n v="80"/>
    <n v="1"/>
    <n v="16"/>
    <n v="1"/>
    <n v="4"/>
    <n v="9"/>
    <n v="7"/>
    <x v="4"/>
    <n v="1"/>
    <s v="OK"/>
    <s v="OK"/>
    <s v="OK"/>
    <s v="OK"/>
    <n v="0.77777777777777779"/>
    <n v="0.77777777777777779"/>
    <n v="0.1111111111111111"/>
    <n v="0.1111111111111111"/>
  </r>
  <r>
    <n v="36"/>
    <s v="No"/>
    <s v="Travel_Rarely"/>
    <n v="913"/>
    <s v="Research &amp; Development"/>
    <n v="9"/>
    <n v="2"/>
    <s v="Medical"/>
    <n v="1"/>
    <n v="699"/>
    <n v="2"/>
    <s v="Male"/>
    <n v="48"/>
    <n v="2"/>
    <n v="2"/>
    <x v="3"/>
    <n v="2"/>
    <s v="Divorced"/>
    <n v="8847"/>
    <n v="13934"/>
    <n v="2"/>
    <s v="Y"/>
    <s v="Yes"/>
    <n v="11"/>
    <n v="3"/>
    <n v="3"/>
    <n v="80"/>
    <n v="1"/>
    <n v="13"/>
    <n v="2"/>
    <n v="3"/>
    <n v="3"/>
    <n v="2"/>
    <x v="0"/>
    <n v="2"/>
    <s v="OK"/>
    <s v="OK"/>
    <s v="OK"/>
    <s v="OK"/>
    <n v="0"/>
    <n v="0.66666666666666663"/>
    <n v="0.66666666666666663"/>
    <n v="0.66666666666666663"/>
  </r>
  <r>
    <n v="27"/>
    <s v="No"/>
    <s v="Travel_Rarely"/>
    <n v="1115"/>
    <s v="Research &amp; Development"/>
    <n v="3"/>
    <n v="4"/>
    <s v="Medical"/>
    <n v="1"/>
    <n v="700"/>
    <n v="1"/>
    <s v="Male"/>
    <n v="54"/>
    <n v="2"/>
    <n v="1"/>
    <x v="1"/>
    <n v="4"/>
    <s v="Single"/>
    <n v="2045"/>
    <n v="15174"/>
    <n v="0"/>
    <s v="Y"/>
    <s v="No"/>
    <n v="13"/>
    <n v="3"/>
    <n v="4"/>
    <n v="80"/>
    <n v="0"/>
    <n v="5"/>
    <n v="0"/>
    <n v="3"/>
    <n v="4"/>
    <n v="2"/>
    <x v="1"/>
    <n v="1"/>
    <s v="OK"/>
    <s v="OK"/>
    <s v="OK"/>
    <s v="OK"/>
    <n v="0.25"/>
    <n v="0.5"/>
    <n v="0"/>
    <n v="0.25"/>
  </r>
  <r>
    <n v="20"/>
    <s v="Yes"/>
    <s v="Travel_Rarely"/>
    <n v="1362"/>
    <s v="Research &amp; Development"/>
    <n v="10"/>
    <n v="1"/>
    <s v="Medical"/>
    <n v="1"/>
    <n v="701"/>
    <n v="4"/>
    <s v="Male"/>
    <n v="32"/>
    <n v="3"/>
    <n v="1"/>
    <x v="1"/>
    <n v="3"/>
    <s v="Single"/>
    <n v="1009"/>
    <n v="26999"/>
    <n v="1"/>
    <s v="Y"/>
    <s v="Yes"/>
    <n v="11"/>
    <n v="3"/>
    <n v="4"/>
    <n v="80"/>
    <n v="0"/>
    <n v="1"/>
    <n v="5"/>
    <n v="3"/>
    <n v="1"/>
    <n v="0"/>
    <x v="1"/>
    <n v="1"/>
    <s v="OK"/>
    <s v="OK"/>
    <s v="OK"/>
    <s v="OK"/>
    <n v="1"/>
    <n v="0"/>
    <n v="5"/>
    <n v="1"/>
  </r>
  <r>
    <n v="33"/>
    <s v="Yes"/>
    <s v="Travel_Frequently"/>
    <n v="1076"/>
    <s v="Research &amp; Development"/>
    <n v="3"/>
    <n v="3"/>
    <s v="Life Sciences"/>
    <n v="1"/>
    <n v="702"/>
    <n v="1"/>
    <s v="Male"/>
    <n v="70"/>
    <n v="3"/>
    <n v="1"/>
    <x v="1"/>
    <n v="1"/>
    <s v="Single"/>
    <n v="3348"/>
    <n v="3164"/>
    <n v="1"/>
    <s v="Y"/>
    <s v="Yes"/>
    <n v="11"/>
    <n v="3"/>
    <n v="1"/>
    <n v="80"/>
    <n v="0"/>
    <n v="10"/>
    <n v="3"/>
    <n v="3"/>
    <n v="10"/>
    <n v="8"/>
    <x v="10"/>
    <n v="7"/>
    <s v="OK"/>
    <s v="OK"/>
    <s v="OK"/>
    <s v="OK"/>
    <n v="0.9"/>
    <n v="0.8"/>
    <n v="0.3"/>
    <n v="0.7"/>
  </r>
  <r>
    <n v="35"/>
    <s v="No"/>
    <s v="Non-Travel"/>
    <n v="727"/>
    <s v="Research &amp; Development"/>
    <n v="3"/>
    <n v="3"/>
    <s v="Life Sciences"/>
    <n v="1"/>
    <n v="704"/>
    <n v="3"/>
    <s v="Male"/>
    <n v="41"/>
    <n v="2"/>
    <n v="1"/>
    <x v="2"/>
    <n v="3"/>
    <s v="Married"/>
    <n v="1281"/>
    <n v="16900"/>
    <n v="1"/>
    <s v="Y"/>
    <s v="No"/>
    <n v="18"/>
    <n v="3"/>
    <n v="3"/>
    <n v="80"/>
    <n v="2"/>
    <n v="1"/>
    <n v="3"/>
    <n v="3"/>
    <n v="1"/>
    <n v="0"/>
    <x v="0"/>
    <n v="0"/>
    <s v="OK"/>
    <s v="OK"/>
    <s v="OK"/>
    <s v="OK"/>
    <n v="0"/>
    <n v="0"/>
    <n v="3"/>
    <n v="0"/>
  </r>
  <r>
    <n v="23"/>
    <s v="No"/>
    <s v="Travel_Rarely"/>
    <n v="885"/>
    <s v="Research &amp; Development"/>
    <n v="4"/>
    <n v="3"/>
    <s v="Medical"/>
    <n v="1"/>
    <n v="705"/>
    <n v="1"/>
    <s v="Male"/>
    <n v="58"/>
    <n v="4"/>
    <n v="1"/>
    <x v="1"/>
    <n v="1"/>
    <s v="Married"/>
    <n v="2819"/>
    <n v="8544"/>
    <n v="2"/>
    <s v="Y"/>
    <s v="No"/>
    <n v="16"/>
    <n v="3"/>
    <n v="1"/>
    <n v="80"/>
    <n v="1"/>
    <n v="5"/>
    <n v="3"/>
    <n v="4"/>
    <n v="3"/>
    <n v="2"/>
    <x v="0"/>
    <n v="2"/>
    <s v="OK"/>
    <s v="OK"/>
    <s v="OK"/>
    <s v="OK"/>
    <n v="0"/>
    <n v="0.66666666666666663"/>
    <n v="1"/>
    <n v="0.66666666666666663"/>
  </r>
  <r>
    <n v="25"/>
    <s v="No"/>
    <s v="Travel_Rarely"/>
    <n v="810"/>
    <s v="Sales"/>
    <n v="8"/>
    <n v="3"/>
    <s v="Life Sciences"/>
    <n v="1"/>
    <n v="707"/>
    <n v="4"/>
    <s v="Male"/>
    <n v="57"/>
    <n v="4"/>
    <n v="2"/>
    <x v="0"/>
    <n v="2"/>
    <s v="Married"/>
    <n v="4851"/>
    <n v="15678"/>
    <n v="0"/>
    <s v="Y"/>
    <s v="No"/>
    <n v="22"/>
    <n v="4"/>
    <n v="3"/>
    <n v="80"/>
    <n v="1"/>
    <n v="4"/>
    <n v="4"/>
    <n v="3"/>
    <n v="3"/>
    <n v="2"/>
    <x v="1"/>
    <n v="2"/>
    <s v="OK"/>
    <s v="OK"/>
    <s v="OK"/>
    <s v="OK"/>
    <n v="0.33333333333333331"/>
    <n v="0.66666666666666663"/>
    <n v="1.3333333333333333"/>
    <n v="0.66666666666666663"/>
  </r>
  <r>
    <n v="38"/>
    <s v="No"/>
    <s v="Travel_Rarely"/>
    <n v="243"/>
    <s v="Sales"/>
    <n v="7"/>
    <n v="4"/>
    <s v="Marketing"/>
    <n v="1"/>
    <n v="709"/>
    <n v="4"/>
    <s v="Female"/>
    <n v="46"/>
    <n v="2"/>
    <n v="2"/>
    <x v="0"/>
    <n v="4"/>
    <s v="Single"/>
    <n v="4028"/>
    <n v="7791"/>
    <n v="0"/>
    <s v="Y"/>
    <s v="No"/>
    <n v="20"/>
    <n v="4"/>
    <n v="1"/>
    <n v="80"/>
    <n v="0"/>
    <n v="8"/>
    <n v="2"/>
    <n v="3"/>
    <n v="7"/>
    <n v="7"/>
    <x v="0"/>
    <n v="5"/>
    <s v="OK"/>
    <s v="OK"/>
    <s v="OK"/>
    <s v="OK"/>
    <n v="0"/>
    <n v="1"/>
    <n v="0.2857142857142857"/>
    <n v="0.7142857142857143"/>
  </r>
  <r>
    <n v="29"/>
    <s v="No"/>
    <s v="Travel_Frequently"/>
    <n v="806"/>
    <s v="Research &amp; Development"/>
    <n v="1"/>
    <n v="4"/>
    <s v="Life Sciences"/>
    <n v="1"/>
    <n v="710"/>
    <n v="2"/>
    <s v="Male"/>
    <n v="76"/>
    <n v="1"/>
    <n v="1"/>
    <x v="1"/>
    <n v="4"/>
    <s v="Divorced"/>
    <n v="2720"/>
    <n v="18959"/>
    <n v="1"/>
    <s v="Y"/>
    <s v="No"/>
    <n v="18"/>
    <n v="3"/>
    <n v="4"/>
    <n v="80"/>
    <n v="1"/>
    <n v="10"/>
    <n v="5"/>
    <n v="3"/>
    <n v="10"/>
    <n v="7"/>
    <x v="3"/>
    <n v="8"/>
    <s v="OK"/>
    <s v="OK"/>
    <s v="OK"/>
    <s v="OK"/>
    <n v="0.2"/>
    <n v="0.7"/>
    <n v="0.5"/>
    <n v="0.8"/>
  </r>
  <r>
    <n v="48"/>
    <s v="No"/>
    <s v="Travel_Rarely"/>
    <n v="817"/>
    <s v="Sales"/>
    <n v="2"/>
    <n v="1"/>
    <s v="Marketing"/>
    <n v="1"/>
    <n v="712"/>
    <n v="2"/>
    <s v="Male"/>
    <n v="56"/>
    <n v="4"/>
    <n v="2"/>
    <x v="0"/>
    <n v="2"/>
    <s v="Married"/>
    <n v="8120"/>
    <n v="18597"/>
    <n v="3"/>
    <s v="Y"/>
    <s v="No"/>
    <n v="12"/>
    <n v="3"/>
    <n v="4"/>
    <n v="80"/>
    <n v="0"/>
    <n v="12"/>
    <n v="3"/>
    <n v="3"/>
    <n v="2"/>
    <n v="2"/>
    <x v="3"/>
    <n v="2"/>
    <s v="OK"/>
    <s v="OK"/>
    <s v="OK"/>
    <s v="OK"/>
    <n v="1"/>
    <n v="1"/>
    <n v="1.5"/>
    <n v="1"/>
  </r>
  <r>
    <n v="27"/>
    <s v="No"/>
    <s v="Travel_Frequently"/>
    <n v="1410"/>
    <s v="Sales"/>
    <n v="3"/>
    <n v="1"/>
    <s v="Medical"/>
    <n v="1"/>
    <n v="714"/>
    <n v="4"/>
    <s v="Female"/>
    <n v="71"/>
    <n v="4"/>
    <n v="2"/>
    <x v="0"/>
    <n v="4"/>
    <s v="Divorced"/>
    <n v="4647"/>
    <n v="16673"/>
    <n v="1"/>
    <s v="Y"/>
    <s v="Yes"/>
    <n v="20"/>
    <n v="4"/>
    <n v="2"/>
    <n v="80"/>
    <n v="2"/>
    <n v="6"/>
    <n v="3"/>
    <n v="3"/>
    <n v="6"/>
    <n v="5"/>
    <x v="0"/>
    <n v="4"/>
    <s v="OK"/>
    <s v="OK"/>
    <s v="OK"/>
    <s v="OK"/>
    <n v="0"/>
    <n v="0.83333333333333337"/>
    <n v="0.5"/>
    <n v="0.66666666666666663"/>
  </r>
  <r>
    <n v="37"/>
    <s v="No"/>
    <s v="Travel_Rarely"/>
    <n v="1225"/>
    <s v="Research &amp; Development"/>
    <n v="10"/>
    <n v="2"/>
    <s v="Life Sciences"/>
    <n v="1"/>
    <n v="715"/>
    <n v="4"/>
    <s v="Male"/>
    <n v="80"/>
    <n v="4"/>
    <n v="1"/>
    <x v="1"/>
    <n v="4"/>
    <s v="Single"/>
    <n v="4680"/>
    <n v="15232"/>
    <n v="3"/>
    <s v="Y"/>
    <s v="No"/>
    <n v="17"/>
    <n v="3"/>
    <n v="1"/>
    <n v="80"/>
    <n v="0"/>
    <n v="4"/>
    <n v="2"/>
    <n v="3"/>
    <n v="1"/>
    <n v="0"/>
    <x v="0"/>
    <n v="0"/>
    <s v="OK"/>
    <s v="OK"/>
    <s v="OK"/>
    <s v="OK"/>
    <n v="0"/>
    <n v="0"/>
    <n v="2"/>
    <n v="0"/>
  </r>
  <r>
    <n v="50"/>
    <s v="No"/>
    <s v="Travel_Rarely"/>
    <n v="1207"/>
    <s v="Research &amp; Development"/>
    <n v="28"/>
    <n v="1"/>
    <s v="Medical"/>
    <n v="1"/>
    <n v="716"/>
    <n v="4"/>
    <s v="Male"/>
    <n v="74"/>
    <n v="4"/>
    <n v="1"/>
    <x v="2"/>
    <n v="3"/>
    <s v="Married"/>
    <n v="3221"/>
    <n v="3297"/>
    <n v="1"/>
    <s v="Y"/>
    <s v="Yes"/>
    <n v="11"/>
    <n v="3"/>
    <n v="3"/>
    <n v="80"/>
    <n v="3"/>
    <n v="20"/>
    <n v="3"/>
    <n v="3"/>
    <n v="20"/>
    <n v="8"/>
    <x v="2"/>
    <n v="8"/>
    <s v="OK"/>
    <s v="OK"/>
    <s v="OK"/>
    <s v="OK"/>
    <n v="0.15"/>
    <n v="0.4"/>
    <n v="0.15"/>
    <n v="0.4"/>
  </r>
  <r>
    <n v="34"/>
    <s v="No"/>
    <s v="Travel_Rarely"/>
    <n v="1442"/>
    <s v="Research &amp; Development"/>
    <n v="9"/>
    <n v="3"/>
    <s v="Medical"/>
    <n v="1"/>
    <n v="717"/>
    <n v="4"/>
    <s v="Female"/>
    <n v="46"/>
    <n v="2"/>
    <n v="3"/>
    <x v="4"/>
    <n v="2"/>
    <s v="Single"/>
    <n v="8621"/>
    <n v="17654"/>
    <n v="1"/>
    <s v="Y"/>
    <s v="No"/>
    <n v="14"/>
    <n v="3"/>
    <n v="2"/>
    <n v="80"/>
    <n v="0"/>
    <n v="9"/>
    <n v="3"/>
    <n v="4"/>
    <n v="8"/>
    <n v="7"/>
    <x v="4"/>
    <n v="7"/>
    <s v="OK"/>
    <s v="OK"/>
    <s v="OK"/>
    <s v="OK"/>
    <n v="0.875"/>
    <n v="0.875"/>
    <n v="0.375"/>
    <n v="0.875"/>
  </r>
  <r>
    <n v="24"/>
    <s v="Yes"/>
    <s v="Travel_Rarely"/>
    <n v="693"/>
    <s v="Sales"/>
    <n v="3"/>
    <n v="2"/>
    <s v="Life Sciences"/>
    <n v="1"/>
    <n v="720"/>
    <n v="1"/>
    <s v="Female"/>
    <n v="65"/>
    <n v="3"/>
    <n v="2"/>
    <x v="0"/>
    <n v="3"/>
    <s v="Single"/>
    <n v="4577"/>
    <n v="24785"/>
    <n v="9"/>
    <s v="Y"/>
    <s v="No"/>
    <n v="14"/>
    <n v="3"/>
    <n v="1"/>
    <n v="80"/>
    <n v="0"/>
    <n v="4"/>
    <n v="3"/>
    <n v="3"/>
    <n v="2"/>
    <n v="2"/>
    <x v="3"/>
    <n v="0"/>
    <s v="OK"/>
    <s v="OK"/>
    <s v="OK"/>
    <s v="OK"/>
    <n v="1"/>
    <n v="1"/>
    <n v="1.5"/>
    <n v="0"/>
  </r>
  <r>
    <n v="39"/>
    <s v="No"/>
    <s v="Travel_Rarely"/>
    <n v="408"/>
    <s v="Research &amp; Development"/>
    <n v="2"/>
    <n v="4"/>
    <s v="Technical Degree"/>
    <n v="1"/>
    <n v="721"/>
    <n v="4"/>
    <s v="Female"/>
    <n v="80"/>
    <n v="2"/>
    <n v="2"/>
    <x v="4"/>
    <n v="3"/>
    <s v="Single"/>
    <n v="4553"/>
    <n v="20978"/>
    <n v="1"/>
    <s v="Y"/>
    <s v="No"/>
    <n v="11"/>
    <n v="3"/>
    <n v="1"/>
    <n v="80"/>
    <n v="0"/>
    <n v="20"/>
    <n v="4"/>
    <n v="3"/>
    <n v="20"/>
    <n v="7"/>
    <x v="14"/>
    <n v="10"/>
    <s v="OK"/>
    <s v="OK"/>
    <s v="OK"/>
    <s v="OK"/>
    <n v="0.55000000000000004"/>
    <n v="0.35"/>
    <n v="0.2"/>
    <n v="0.5"/>
  </r>
  <r>
    <n v="32"/>
    <s v="No"/>
    <s v="Travel_Rarely"/>
    <n v="929"/>
    <s v="Sales"/>
    <n v="10"/>
    <n v="3"/>
    <s v="Marketing"/>
    <n v="1"/>
    <n v="722"/>
    <n v="4"/>
    <s v="Male"/>
    <n v="55"/>
    <n v="3"/>
    <n v="2"/>
    <x v="0"/>
    <n v="4"/>
    <s v="Single"/>
    <n v="5396"/>
    <n v="21703"/>
    <n v="1"/>
    <s v="Y"/>
    <s v="No"/>
    <n v="12"/>
    <n v="3"/>
    <n v="4"/>
    <n v="80"/>
    <n v="0"/>
    <n v="10"/>
    <n v="2"/>
    <n v="2"/>
    <n v="10"/>
    <n v="7"/>
    <x v="0"/>
    <n v="8"/>
    <s v="OK"/>
    <s v="OK"/>
    <s v="OK"/>
    <s v="OK"/>
    <n v="0"/>
    <n v="0.7"/>
    <n v="0.2"/>
    <n v="0.8"/>
  </r>
  <r>
    <n v="50"/>
    <s v="Yes"/>
    <s v="Travel_Frequently"/>
    <n v="562"/>
    <s v="Sales"/>
    <n v="8"/>
    <n v="2"/>
    <s v="Technical Degree"/>
    <n v="1"/>
    <n v="723"/>
    <n v="2"/>
    <s v="Male"/>
    <n v="50"/>
    <n v="3"/>
    <n v="2"/>
    <x v="0"/>
    <n v="3"/>
    <s v="Married"/>
    <n v="6796"/>
    <n v="23452"/>
    <n v="3"/>
    <s v="Y"/>
    <s v="Yes"/>
    <n v="14"/>
    <n v="3"/>
    <n v="1"/>
    <n v="80"/>
    <n v="1"/>
    <n v="18"/>
    <n v="4"/>
    <n v="3"/>
    <n v="4"/>
    <n v="3"/>
    <x v="1"/>
    <n v="3"/>
    <s v="OK"/>
    <s v="OK"/>
    <s v="OK"/>
    <s v="OK"/>
    <n v="0.25"/>
    <n v="0.75"/>
    <n v="1"/>
    <n v="0.75"/>
  </r>
  <r>
    <n v="38"/>
    <s v="No"/>
    <s v="Travel_Rarely"/>
    <n v="827"/>
    <s v="Research &amp; Development"/>
    <n v="1"/>
    <n v="4"/>
    <s v="Life Sciences"/>
    <n v="1"/>
    <n v="724"/>
    <n v="2"/>
    <s v="Female"/>
    <n v="33"/>
    <n v="4"/>
    <n v="2"/>
    <x v="4"/>
    <n v="4"/>
    <s v="Single"/>
    <n v="7625"/>
    <n v="19383"/>
    <n v="0"/>
    <s v="Y"/>
    <s v="No"/>
    <n v="13"/>
    <n v="3"/>
    <n v="3"/>
    <n v="80"/>
    <n v="0"/>
    <n v="10"/>
    <n v="4"/>
    <n v="2"/>
    <n v="9"/>
    <n v="7"/>
    <x v="1"/>
    <n v="8"/>
    <s v="OK"/>
    <s v="OK"/>
    <s v="OK"/>
    <s v="OK"/>
    <n v="0.1111111111111111"/>
    <n v="0.77777777777777779"/>
    <n v="0.44444444444444442"/>
    <n v="0.88888888888888884"/>
  </r>
  <r>
    <n v="27"/>
    <s v="No"/>
    <s v="Travel_Rarely"/>
    <n v="608"/>
    <s v="Research &amp; Development"/>
    <n v="1"/>
    <n v="2"/>
    <s v="Life Sciences"/>
    <n v="1"/>
    <n v="725"/>
    <n v="3"/>
    <s v="Female"/>
    <n v="68"/>
    <n v="3"/>
    <n v="3"/>
    <x v="3"/>
    <n v="1"/>
    <s v="Married"/>
    <n v="7412"/>
    <n v="6009"/>
    <n v="1"/>
    <s v="Y"/>
    <s v="No"/>
    <n v="11"/>
    <n v="3"/>
    <n v="4"/>
    <n v="80"/>
    <n v="0"/>
    <n v="9"/>
    <n v="3"/>
    <n v="3"/>
    <n v="9"/>
    <n v="7"/>
    <x v="0"/>
    <n v="7"/>
    <s v="OK"/>
    <s v="OK"/>
    <s v="OK"/>
    <s v="OK"/>
    <n v="0"/>
    <n v="0.77777777777777779"/>
    <n v="0.33333333333333331"/>
    <n v="0.77777777777777779"/>
  </r>
  <r>
    <n v="32"/>
    <s v="No"/>
    <s v="Travel_Rarely"/>
    <n v="1018"/>
    <s v="Research &amp; Development"/>
    <n v="3"/>
    <n v="2"/>
    <s v="Life Sciences"/>
    <n v="1"/>
    <n v="727"/>
    <n v="3"/>
    <s v="Female"/>
    <n v="39"/>
    <n v="3"/>
    <n v="3"/>
    <x v="7"/>
    <n v="4"/>
    <s v="Single"/>
    <n v="11159"/>
    <n v="19373"/>
    <n v="3"/>
    <s v="Y"/>
    <s v="No"/>
    <n v="15"/>
    <n v="3"/>
    <n v="4"/>
    <n v="80"/>
    <n v="0"/>
    <n v="10"/>
    <n v="6"/>
    <n v="3"/>
    <n v="7"/>
    <n v="7"/>
    <x v="4"/>
    <n v="7"/>
    <s v="OK"/>
    <s v="OK"/>
    <s v="OK"/>
    <s v="OK"/>
    <n v="1"/>
    <n v="1"/>
    <n v="0.8571428571428571"/>
    <n v="1"/>
  </r>
  <r>
    <n v="47"/>
    <s v="No"/>
    <s v="Travel_Rarely"/>
    <n v="703"/>
    <s v="Sales"/>
    <n v="14"/>
    <n v="4"/>
    <s v="Marketing"/>
    <n v="1"/>
    <n v="728"/>
    <n v="4"/>
    <s v="Male"/>
    <n v="42"/>
    <n v="3"/>
    <n v="2"/>
    <x v="0"/>
    <n v="1"/>
    <s v="Single"/>
    <n v="4960"/>
    <n v="11825"/>
    <n v="2"/>
    <s v="Y"/>
    <s v="No"/>
    <n v="12"/>
    <n v="3"/>
    <n v="4"/>
    <n v="80"/>
    <n v="0"/>
    <n v="20"/>
    <n v="2"/>
    <n v="3"/>
    <n v="7"/>
    <n v="7"/>
    <x v="1"/>
    <n v="7"/>
    <s v="OK"/>
    <s v="OK"/>
    <s v="OK"/>
    <s v="OK"/>
    <n v="0.14285714285714285"/>
    <n v="1"/>
    <n v="0.2857142857142857"/>
    <n v="1"/>
  </r>
  <r>
    <n v="40"/>
    <s v="No"/>
    <s v="Travel_Frequently"/>
    <n v="580"/>
    <s v="Sales"/>
    <n v="5"/>
    <n v="4"/>
    <s v="Life Sciences"/>
    <n v="1"/>
    <n v="729"/>
    <n v="4"/>
    <s v="Male"/>
    <n v="48"/>
    <n v="2"/>
    <n v="3"/>
    <x v="0"/>
    <n v="1"/>
    <s v="Married"/>
    <n v="10475"/>
    <n v="23772"/>
    <n v="5"/>
    <s v="Y"/>
    <s v="Yes"/>
    <n v="21"/>
    <n v="4"/>
    <n v="3"/>
    <n v="80"/>
    <n v="1"/>
    <n v="20"/>
    <n v="2"/>
    <n v="3"/>
    <n v="18"/>
    <n v="13"/>
    <x v="1"/>
    <n v="12"/>
    <s v="OK"/>
    <s v="OK"/>
    <s v="OK"/>
    <s v="OK"/>
    <n v="5.5555555555555552E-2"/>
    <n v="0.72222222222222221"/>
    <n v="0.1111111111111111"/>
    <n v="0.66666666666666663"/>
  </r>
  <r>
    <n v="53"/>
    <s v="No"/>
    <s v="Travel_Rarely"/>
    <n v="970"/>
    <s v="Research &amp; Development"/>
    <n v="7"/>
    <n v="3"/>
    <s v="Life Sciences"/>
    <n v="1"/>
    <n v="730"/>
    <n v="3"/>
    <s v="Male"/>
    <n v="59"/>
    <n v="4"/>
    <n v="4"/>
    <x v="7"/>
    <n v="3"/>
    <s v="Married"/>
    <n v="14814"/>
    <n v="13514"/>
    <n v="3"/>
    <s v="Y"/>
    <s v="No"/>
    <n v="19"/>
    <n v="3"/>
    <n v="3"/>
    <n v="80"/>
    <n v="0"/>
    <n v="32"/>
    <n v="3"/>
    <n v="3"/>
    <n v="5"/>
    <n v="1"/>
    <x v="1"/>
    <n v="3"/>
    <s v="OK"/>
    <s v="OK"/>
    <s v="OK"/>
    <s v="OK"/>
    <n v="0.2"/>
    <n v="0.2"/>
    <n v="0.6"/>
    <n v="0.6"/>
  </r>
  <r>
    <n v="41"/>
    <s v="No"/>
    <s v="Travel_Rarely"/>
    <n v="427"/>
    <s v="Human Resources"/>
    <n v="10"/>
    <n v="4"/>
    <s v="Human Resources"/>
    <n v="1"/>
    <n v="731"/>
    <n v="2"/>
    <s v="Male"/>
    <n v="73"/>
    <n v="2"/>
    <n v="5"/>
    <x v="5"/>
    <n v="4"/>
    <s v="Divorced"/>
    <n v="19141"/>
    <n v="8861"/>
    <n v="3"/>
    <s v="Y"/>
    <s v="No"/>
    <n v="15"/>
    <n v="3"/>
    <n v="2"/>
    <n v="80"/>
    <n v="3"/>
    <n v="23"/>
    <n v="2"/>
    <n v="2"/>
    <n v="21"/>
    <n v="6"/>
    <x v="12"/>
    <n v="6"/>
    <s v="OK"/>
    <s v="OK"/>
    <s v="OK"/>
    <s v="OK"/>
    <n v="0.5714285714285714"/>
    <n v="0.2857142857142857"/>
    <n v="9.5238095238095233E-2"/>
    <n v="0.2857142857142857"/>
  </r>
  <r>
    <n v="60"/>
    <s v="No"/>
    <s v="Travel_Rarely"/>
    <n v="1179"/>
    <s v="Sales"/>
    <n v="16"/>
    <n v="4"/>
    <s v="Marketing"/>
    <n v="1"/>
    <n v="732"/>
    <n v="1"/>
    <s v="Male"/>
    <n v="84"/>
    <n v="3"/>
    <n v="2"/>
    <x v="0"/>
    <n v="1"/>
    <s v="Single"/>
    <n v="5405"/>
    <n v="11924"/>
    <n v="8"/>
    <s v="Y"/>
    <s v="No"/>
    <n v="14"/>
    <n v="3"/>
    <n v="4"/>
    <n v="80"/>
    <n v="0"/>
    <n v="10"/>
    <n v="1"/>
    <n v="3"/>
    <n v="2"/>
    <n v="2"/>
    <x v="3"/>
    <n v="2"/>
    <s v="OK"/>
    <s v="OK"/>
    <s v="OK"/>
    <s v="OK"/>
    <n v="1"/>
    <n v="1"/>
    <n v="0.5"/>
    <n v="1"/>
  </r>
  <r>
    <n v="27"/>
    <s v="No"/>
    <s v="Travel_Frequently"/>
    <n v="294"/>
    <s v="Research &amp; Development"/>
    <n v="10"/>
    <n v="2"/>
    <s v="Life Sciences"/>
    <n v="1"/>
    <n v="733"/>
    <n v="4"/>
    <s v="Male"/>
    <n v="32"/>
    <n v="3"/>
    <n v="3"/>
    <x v="3"/>
    <n v="1"/>
    <s v="Divorced"/>
    <n v="8793"/>
    <n v="4809"/>
    <n v="1"/>
    <s v="Y"/>
    <s v="No"/>
    <n v="21"/>
    <n v="4"/>
    <n v="3"/>
    <n v="80"/>
    <n v="2"/>
    <n v="9"/>
    <n v="4"/>
    <n v="2"/>
    <n v="9"/>
    <n v="7"/>
    <x v="1"/>
    <n v="7"/>
    <s v="OK"/>
    <s v="OK"/>
    <s v="OK"/>
    <s v="OK"/>
    <n v="0.1111111111111111"/>
    <n v="0.77777777777777779"/>
    <n v="0.44444444444444442"/>
    <n v="0.77777777777777779"/>
  </r>
  <r>
    <n v="41"/>
    <s v="No"/>
    <s v="Travel_Rarely"/>
    <n v="314"/>
    <s v="Human Resources"/>
    <n v="1"/>
    <n v="3"/>
    <s v="Human Resources"/>
    <n v="1"/>
    <n v="734"/>
    <n v="4"/>
    <s v="Male"/>
    <n v="59"/>
    <n v="2"/>
    <n v="5"/>
    <x v="5"/>
    <n v="3"/>
    <s v="Married"/>
    <n v="19189"/>
    <n v="19562"/>
    <n v="1"/>
    <s v="Y"/>
    <s v="No"/>
    <n v="12"/>
    <n v="3"/>
    <n v="2"/>
    <n v="80"/>
    <n v="1"/>
    <n v="22"/>
    <n v="3"/>
    <n v="3"/>
    <n v="22"/>
    <n v="7"/>
    <x v="3"/>
    <n v="10"/>
    <s v="OK"/>
    <s v="OK"/>
    <s v="OK"/>
    <s v="OK"/>
    <n v="9.0909090909090912E-2"/>
    <n v="0.31818181818181818"/>
    <n v="0.13636363636363635"/>
    <n v="0.45454545454545453"/>
  </r>
  <r>
    <n v="50"/>
    <s v="No"/>
    <s v="Travel_Rarely"/>
    <n v="316"/>
    <s v="Sales"/>
    <n v="8"/>
    <n v="4"/>
    <s v="Marketing"/>
    <n v="1"/>
    <n v="738"/>
    <n v="4"/>
    <s v="Male"/>
    <n v="54"/>
    <n v="3"/>
    <n v="1"/>
    <x v="6"/>
    <n v="2"/>
    <s v="Married"/>
    <n v="3875"/>
    <n v="9983"/>
    <n v="7"/>
    <s v="Y"/>
    <s v="No"/>
    <n v="15"/>
    <n v="3"/>
    <n v="4"/>
    <n v="80"/>
    <n v="1"/>
    <n v="4"/>
    <n v="2"/>
    <n v="3"/>
    <n v="2"/>
    <n v="2"/>
    <x v="3"/>
    <n v="2"/>
    <s v="OK"/>
    <s v="OK"/>
    <s v="OK"/>
    <s v="OK"/>
    <n v="1"/>
    <n v="1"/>
    <n v="1"/>
    <n v="1"/>
  </r>
  <r>
    <n v="28"/>
    <s v="Yes"/>
    <s v="Travel_Rarely"/>
    <n v="654"/>
    <s v="Research &amp; Development"/>
    <n v="1"/>
    <n v="2"/>
    <s v="Life Sciences"/>
    <n v="1"/>
    <n v="741"/>
    <n v="1"/>
    <s v="Female"/>
    <n v="67"/>
    <n v="1"/>
    <n v="1"/>
    <x v="1"/>
    <n v="2"/>
    <s v="Single"/>
    <n v="2216"/>
    <n v="3872"/>
    <n v="7"/>
    <s v="Y"/>
    <s v="Yes"/>
    <n v="13"/>
    <n v="3"/>
    <n v="4"/>
    <n v="80"/>
    <n v="0"/>
    <n v="10"/>
    <n v="4"/>
    <n v="3"/>
    <n v="7"/>
    <n v="7"/>
    <x v="2"/>
    <n v="7"/>
    <s v="OK"/>
    <s v="OK"/>
    <s v="OK"/>
    <s v="OK"/>
    <n v="0.42857142857142855"/>
    <n v="1"/>
    <n v="0.5714285714285714"/>
    <n v="1"/>
  </r>
  <r>
    <n v="36"/>
    <s v="No"/>
    <s v="Non-Travel"/>
    <n v="427"/>
    <s v="Research &amp; Development"/>
    <n v="8"/>
    <n v="3"/>
    <s v="Life Sciences"/>
    <n v="1"/>
    <n v="742"/>
    <n v="1"/>
    <s v="Female"/>
    <n v="63"/>
    <n v="4"/>
    <n v="3"/>
    <x v="7"/>
    <n v="1"/>
    <s v="Married"/>
    <n v="11713"/>
    <n v="20335"/>
    <n v="9"/>
    <s v="Y"/>
    <s v="No"/>
    <n v="14"/>
    <n v="3"/>
    <n v="1"/>
    <n v="80"/>
    <n v="1"/>
    <n v="10"/>
    <n v="2"/>
    <n v="3"/>
    <n v="8"/>
    <n v="7"/>
    <x v="0"/>
    <n v="5"/>
    <s v="OK"/>
    <s v="OK"/>
    <s v="OK"/>
    <s v="OK"/>
    <n v="0"/>
    <n v="0.875"/>
    <n v="0.25"/>
    <n v="0.625"/>
  </r>
  <r>
    <n v="38"/>
    <s v="No"/>
    <s v="Travel_Rarely"/>
    <n v="168"/>
    <s v="Research &amp; Development"/>
    <n v="1"/>
    <n v="3"/>
    <s v="Life Sciences"/>
    <n v="1"/>
    <n v="743"/>
    <n v="3"/>
    <s v="Female"/>
    <n v="81"/>
    <n v="3"/>
    <n v="3"/>
    <x v="3"/>
    <n v="3"/>
    <s v="Single"/>
    <n v="7861"/>
    <n v="15397"/>
    <n v="4"/>
    <s v="Y"/>
    <s v="Yes"/>
    <n v="14"/>
    <n v="3"/>
    <n v="4"/>
    <n v="80"/>
    <n v="0"/>
    <n v="10"/>
    <n v="4"/>
    <n v="4"/>
    <n v="1"/>
    <n v="0"/>
    <x v="0"/>
    <n v="0"/>
    <s v="OK"/>
    <s v="OK"/>
    <s v="OK"/>
    <s v="OK"/>
    <n v="0"/>
    <n v="0"/>
    <n v="4"/>
    <n v="0"/>
  </r>
  <r>
    <n v="44"/>
    <s v="No"/>
    <s v="Non-Travel"/>
    <n v="381"/>
    <s v="Research &amp; Development"/>
    <n v="24"/>
    <n v="3"/>
    <s v="Medical"/>
    <n v="1"/>
    <n v="744"/>
    <n v="1"/>
    <s v="Male"/>
    <n v="49"/>
    <n v="1"/>
    <n v="1"/>
    <x v="2"/>
    <n v="3"/>
    <s v="Single"/>
    <n v="3708"/>
    <n v="2104"/>
    <n v="2"/>
    <s v="Y"/>
    <s v="No"/>
    <n v="14"/>
    <n v="3"/>
    <n v="3"/>
    <n v="80"/>
    <n v="0"/>
    <n v="9"/>
    <n v="5"/>
    <n v="3"/>
    <n v="5"/>
    <n v="2"/>
    <x v="1"/>
    <n v="4"/>
    <s v="OK"/>
    <s v="OK"/>
    <s v="OK"/>
    <s v="OK"/>
    <n v="0.2"/>
    <n v="0.4"/>
    <n v="1"/>
    <n v="0.8"/>
  </r>
  <r>
    <n v="47"/>
    <s v="No"/>
    <s v="Travel_Frequently"/>
    <n v="217"/>
    <s v="Sales"/>
    <n v="3"/>
    <n v="3"/>
    <s v="Medical"/>
    <n v="1"/>
    <n v="746"/>
    <n v="4"/>
    <s v="Female"/>
    <n v="49"/>
    <n v="3"/>
    <n v="4"/>
    <x v="0"/>
    <n v="3"/>
    <s v="Divorced"/>
    <n v="13770"/>
    <n v="10225"/>
    <n v="9"/>
    <s v="Y"/>
    <s v="Yes"/>
    <n v="12"/>
    <n v="3"/>
    <n v="4"/>
    <n v="80"/>
    <n v="2"/>
    <n v="28"/>
    <n v="2"/>
    <n v="2"/>
    <n v="22"/>
    <n v="2"/>
    <x v="14"/>
    <n v="13"/>
    <s v="OK"/>
    <s v="OK"/>
    <s v="OK"/>
    <s v="OK"/>
    <n v="0.5"/>
    <n v="9.0909090909090912E-2"/>
    <n v="9.0909090909090912E-2"/>
    <n v="0.59090909090909094"/>
  </r>
  <r>
    <n v="30"/>
    <s v="No"/>
    <s v="Travel_Rarely"/>
    <n v="501"/>
    <s v="Sales"/>
    <n v="27"/>
    <n v="5"/>
    <s v="Marketing"/>
    <n v="1"/>
    <n v="747"/>
    <n v="3"/>
    <s v="Male"/>
    <n v="99"/>
    <n v="3"/>
    <n v="2"/>
    <x v="0"/>
    <n v="4"/>
    <s v="Divorced"/>
    <n v="5304"/>
    <n v="25275"/>
    <n v="7"/>
    <s v="Y"/>
    <s v="No"/>
    <n v="23"/>
    <n v="4"/>
    <n v="4"/>
    <n v="80"/>
    <n v="1"/>
    <n v="10"/>
    <n v="2"/>
    <n v="2"/>
    <n v="8"/>
    <n v="7"/>
    <x v="4"/>
    <n v="7"/>
    <s v="OK"/>
    <s v="OK"/>
    <s v="OK"/>
    <s v="OK"/>
    <n v="0.875"/>
    <n v="0.875"/>
    <n v="0.25"/>
    <n v="0.875"/>
  </r>
  <r>
    <n v="29"/>
    <s v="No"/>
    <s v="Travel_Rarely"/>
    <n v="1396"/>
    <s v="Sales"/>
    <n v="10"/>
    <n v="3"/>
    <s v="Life Sciences"/>
    <n v="1"/>
    <n v="749"/>
    <n v="3"/>
    <s v="Male"/>
    <n v="99"/>
    <n v="3"/>
    <n v="1"/>
    <x v="6"/>
    <n v="3"/>
    <s v="Single"/>
    <n v="2642"/>
    <n v="2755"/>
    <n v="1"/>
    <s v="Y"/>
    <s v="No"/>
    <n v="11"/>
    <n v="3"/>
    <n v="3"/>
    <n v="80"/>
    <n v="0"/>
    <n v="1"/>
    <n v="6"/>
    <n v="3"/>
    <n v="1"/>
    <n v="0"/>
    <x v="0"/>
    <n v="0"/>
    <s v="OK"/>
    <s v="OK"/>
    <s v="OK"/>
    <s v="OK"/>
    <n v="0"/>
    <n v="0"/>
    <n v="6"/>
    <n v="0"/>
  </r>
  <r>
    <n v="42"/>
    <s v="Yes"/>
    <s v="Travel_Frequently"/>
    <n v="933"/>
    <s v="Research &amp; Development"/>
    <n v="19"/>
    <n v="3"/>
    <s v="Medical"/>
    <n v="1"/>
    <n v="752"/>
    <n v="3"/>
    <s v="Male"/>
    <n v="57"/>
    <n v="4"/>
    <n v="1"/>
    <x v="1"/>
    <n v="3"/>
    <s v="Divorced"/>
    <n v="2759"/>
    <n v="20366"/>
    <n v="6"/>
    <s v="Y"/>
    <s v="Yes"/>
    <n v="12"/>
    <n v="3"/>
    <n v="4"/>
    <n v="80"/>
    <n v="0"/>
    <n v="7"/>
    <n v="2"/>
    <n v="3"/>
    <n v="2"/>
    <n v="2"/>
    <x v="3"/>
    <n v="2"/>
    <s v="OK"/>
    <s v="OK"/>
    <s v="OK"/>
    <s v="OK"/>
    <n v="1"/>
    <n v="1"/>
    <n v="1"/>
    <n v="1"/>
  </r>
  <r>
    <n v="43"/>
    <s v="No"/>
    <s v="Travel_Frequently"/>
    <n v="775"/>
    <s v="Sales"/>
    <n v="15"/>
    <n v="3"/>
    <s v="Life Sciences"/>
    <n v="1"/>
    <n v="754"/>
    <n v="4"/>
    <s v="Male"/>
    <n v="47"/>
    <n v="2"/>
    <n v="2"/>
    <x v="0"/>
    <n v="4"/>
    <s v="Married"/>
    <n v="6804"/>
    <n v="23683"/>
    <n v="3"/>
    <s v="Y"/>
    <s v="No"/>
    <n v="18"/>
    <n v="3"/>
    <n v="3"/>
    <n v="80"/>
    <n v="1"/>
    <n v="7"/>
    <n v="5"/>
    <n v="3"/>
    <n v="2"/>
    <n v="2"/>
    <x v="3"/>
    <n v="2"/>
    <s v="OK"/>
    <s v="OK"/>
    <s v="OK"/>
    <s v="OK"/>
    <n v="1"/>
    <n v="1"/>
    <n v="2.5"/>
    <n v="1"/>
  </r>
  <r>
    <n v="34"/>
    <s v="No"/>
    <s v="Travel_Rarely"/>
    <n v="970"/>
    <s v="Research &amp; Development"/>
    <n v="8"/>
    <n v="2"/>
    <s v="Medical"/>
    <n v="1"/>
    <n v="757"/>
    <n v="2"/>
    <s v="Female"/>
    <n v="96"/>
    <n v="3"/>
    <n v="2"/>
    <x v="4"/>
    <n v="3"/>
    <s v="Single"/>
    <n v="6142"/>
    <n v="7360"/>
    <n v="3"/>
    <s v="Y"/>
    <s v="No"/>
    <n v="11"/>
    <n v="3"/>
    <n v="4"/>
    <n v="80"/>
    <n v="0"/>
    <n v="10"/>
    <n v="2"/>
    <n v="3"/>
    <n v="5"/>
    <n v="1"/>
    <x v="5"/>
    <n v="3"/>
    <s v="OK"/>
    <s v="OK"/>
    <s v="OK"/>
    <s v="OK"/>
    <n v="0.8"/>
    <n v="0.2"/>
    <n v="0.4"/>
    <n v="0.6"/>
  </r>
  <r>
    <n v="23"/>
    <s v="No"/>
    <s v="Travel_Rarely"/>
    <n v="650"/>
    <s v="Research &amp; Development"/>
    <n v="9"/>
    <n v="1"/>
    <s v="Medical"/>
    <n v="1"/>
    <n v="758"/>
    <n v="2"/>
    <s v="Male"/>
    <n v="37"/>
    <n v="3"/>
    <n v="1"/>
    <x v="2"/>
    <n v="1"/>
    <s v="Married"/>
    <n v="2500"/>
    <n v="4344"/>
    <n v="1"/>
    <s v="Y"/>
    <s v="No"/>
    <n v="14"/>
    <n v="3"/>
    <n v="4"/>
    <n v="80"/>
    <n v="1"/>
    <n v="5"/>
    <n v="2"/>
    <n v="4"/>
    <n v="4"/>
    <n v="3"/>
    <x v="0"/>
    <n v="2"/>
    <s v="OK"/>
    <s v="OK"/>
    <s v="OK"/>
    <s v="OK"/>
    <n v="0"/>
    <n v="0.75"/>
    <n v="0.5"/>
    <n v="0.5"/>
  </r>
  <r>
    <n v="39"/>
    <s v="No"/>
    <s v="Travel_Rarely"/>
    <n v="141"/>
    <s v="Human Resources"/>
    <n v="3"/>
    <n v="3"/>
    <s v="Human Resources"/>
    <n v="1"/>
    <n v="760"/>
    <n v="3"/>
    <s v="Female"/>
    <n v="44"/>
    <n v="4"/>
    <n v="2"/>
    <x v="8"/>
    <n v="2"/>
    <s v="Married"/>
    <n v="6389"/>
    <n v="18767"/>
    <n v="9"/>
    <s v="Y"/>
    <s v="No"/>
    <n v="15"/>
    <n v="3"/>
    <n v="3"/>
    <n v="80"/>
    <n v="1"/>
    <n v="12"/>
    <n v="3"/>
    <n v="1"/>
    <n v="8"/>
    <n v="3"/>
    <x v="2"/>
    <n v="6"/>
    <s v="OK"/>
    <s v="OK"/>
    <s v="OK"/>
    <s v="OK"/>
    <n v="0.375"/>
    <n v="0.375"/>
    <n v="0.375"/>
    <n v="0.75"/>
  </r>
  <r>
    <n v="56"/>
    <s v="No"/>
    <s v="Travel_Rarely"/>
    <n v="832"/>
    <s v="Research &amp; Development"/>
    <n v="9"/>
    <n v="3"/>
    <s v="Medical"/>
    <n v="1"/>
    <n v="762"/>
    <n v="3"/>
    <s v="Male"/>
    <n v="81"/>
    <n v="3"/>
    <n v="4"/>
    <x v="4"/>
    <n v="4"/>
    <s v="Married"/>
    <n v="11103"/>
    <n v="20420"/>
    <n v="7"/>
    <s v="Y"/>
    <s v="No"/>
    <n v="11"/>
    <n v="3"/>
    <n v="3"/>
    <n v="80"/>
    <n v="0"/>
    <n v="30"/>
    <n v="1"/>
    <n v="2"/>
    <n v="10"/>
    <n v="7"/>
    <x v="1"/>
    <n v="1"/>
    <s v="OK"/>
    <s v="OK"/>
    <s v="OK"/>
    <s v="OK"/>
    <n v="0.1"/>
    <n v="0.7"/>
    <n v="0.1"/>
    <n v="0.1"/>
  </r>
  <r>
    <n v="40"/>
    <s v="No"/>
    <s v="Travel_Rarely"/>
    <n v="804"/>
    <s v="Research &amp; Development"/>
    <n v="2"/>
    <n v="1"/>
    <s v="Medical"/>
    <n v="1"/>
    <n v="763"/>
    <n v="4"/>
    <s v="Female"/>
    <n v="86"/>
    <n v="2"/>
    <n v="1"/>
    <x v="1"/>
    <n v="4"/>
    <s v="Single"/>
    <n v="2342"/>
    <n v="22929"/>
    <n v="0"/>
    <s v="Y"/>
    <s v="Yes"/>
    <n v="20"/>
    <n v="4"/>
    <n v="4"/>
    <n v="80"/>
    <n v="0"/>
    <n v="5"/>
    <n v="2"/>
    <n v="2"/>
    <n v="4"/>
    <n v="2"/>
    <x v="3"/>
    <n v="3"/>
    <s v="OK"/>
    <s v="OK"/>
    <s v="OK"/>
    <s v="OK"/>
    <n v="0.5"/>
    <n v="0.5"/>
    <n v="0.5"/>
    <n v="0.75"/>
  </r>
  <r>
    <n v="27"/>
    <s v="No"/>
    <s v="Travel_Rarely"/>
    <n v="975"/>
    <s v="Research &amp; Development"/>
    <n v="7"/>
    <n v="3"/>
    <s v="Medical"/>
    <n v="1"/>
    <n v="764"/>
    <n v="4"/>
    <s v="Female"/>
    <n v="55"/>
    <n v="2"/>
    <n v="2"/>
    <x v="4"/>
    <n v="1"/>
    <s v="Single"/>
    <n v="6811"/>
    <n v="23398"/>
    <n v="8"/>
    <s v="Y"/>
    <s v="No"/>
    <n v="19"/>
    <n v="3"/>
    <n v="1"/>
    <n v="80"/>
    <n v="0"/>
    <n v="9"/>
    <n v="2"/>
    <n v="1"/>
    <n v="7"/>
    <n v="6"/>
    <x v="0"/>
    <n v="7"/>
    <s v="OK"/>
    <s v="OK"/>
    <s v="OK"/>
    <s v="OK"/>
    <n v="0"/>
    <n v="0.8571428571428571"/>
    <n v="0.2857142857142857"/>
    <n v="1"/>
  </r>
  <r>
    <n v="29"/>
    <s v="No"/>
    <s v="Travel_Rarely"/>
    <n v="1090"/>
    <s v="Sales"/>
    <n v="10"/>
    <n v="3"/>
    <s v="Marketing"/>
    <n v="1"/>
    <n v="766"/>
    <n v="4"/>
    <s v="Male"/>
    <n v="83"/>
    <n v="3"/>
    <n v="1"/>
    <x v="6"/>
    <n v="2"/>
    <s v="Divorced"/>
    <n v="2297"/>
    <n v="17967"/>
    <n v="1"/>
    <s v="Y"/>
    <s v="No"/>
    <n v="14"/>
    <n v="3"/>
    <n v="4"/>
    <n v="80"/>
    <n v="2"/>
    <n v="2"/>
    <n v="2"/>
    <n v="3"/>
    <n v="2"/>
    <n v="2"/>
    <x v="3"/>
    <n v="2"/>
    <s v="OK"/>
    <s v="OK"/>
    <s v="OK"/>
    <s v="OK"/>
    <n v="1"/>
    <n v="1"/>
    <n v="1"/>
    <n v="1"/>
  </r>
  <r>
    <n v="53"/>
    <s v="No"/>
    <s v="Travel_Rarely"/>
    <n v="346"/>
    <s v="Research &amp; Development"/>
    <n v="6"/>
    <n v="3"/>
    <s v="Life Sciences"/>
    <n v="1"/>
    <n v="769"/>
    <n v="4"/>
    <s v="Male"/>
    <n v="86"/>
    <n v="3"/>
    <n v="2"/>
    <x v="2"/>
    <n v="4"/>
    <s v="Single"/>
    <n v="2450"/>
    <n v="10919"/>
    <n v="2"/>
    <s v="Y"/>
    <s v="No"/>
    <n v="17"/>
    <n v="3"/>
    <n v="4"/>
    <n v="80"/>
    <n v="0"/>
    <n v="19"/>
    <n v="4"/>
    <n v="3"/>
    <n v="2"/>
    <n v="2"/>
    <x v="3"/>
    <n v="2"/>
    <s v="OK"/>
    <s v="OK"/>
    <s v="OK"/>
    <s v="OK"/>
    <n v="1"/>
    <n v="1"/>
    <n v="2"/>
    <n v="1"/>
  </r>
  <r>
    <n v="35"/>
    <s v="No"/>
    <s v="Non-Travel"/>
    <n v="1225"/>
    <s v="Research &amp; Development"/>
    <n v="2"/>
    <n v="4"/>
    <s v="Life Sciences"/>
    <n v="1"/>
    <n v="771"/>
    <n v="4"/>
    <s v="Female"/>
    <n v="61"/>
    <n v="3"/>
    <n v="2"/>
    <x v="4"/>
    <n v="1"/>
    <s v="Divorced"/>
    <n v="5093"/>
    <n v="4761"/>
    <n v="2"/>
    <s v="Y"/>
    <s v="No"/>
    <n v="11"/>
    <n v="3"/>
    <n v="1"/>
    <n v="80"/>
    <n v="1"/>
    <n v="16"/>
    <n v="2"/>
    <n v="4"/>
    <n v="1"/>
    <n v="0"/>
    <x v="0"/>
    <n v="0"/>
    <s v="OK"/>
    <s v="OK"/>
    <s v="OK"/>
    <s v="OK"/>
    <n v="0"/>
    <n v="0"/>
    <n v="2"/>
    <n v="0"/>
  </r>
  <r>
    <n v="32"/>
    <s v="No"/>
    <s v="Travel_Frequently"/>
    <n v="430"/>
    <s v="Research &amp; Development"/>
    <n v="24"/>
    <n v="4"/>
    <s v="Life Sciences"/>
    <n v="1"/>
    <n v="772"/>
    <n v="1"/>
    <s v="Male"/>
    <n v="80"/>
    <n v="3"/>
    <n v="2"/>
    <x v="2"/>
    <n v="4"/>
    <s v="Married"/>
    <n v="5309"/>
    <n v="21146"/>
    <n v="1"/>
    <s v="Y"/>
    <s v="No"/>
    <n v="15"/>
    <n v="3"/>
    <n v="4"/>
    <n v="80"/>
    <n v="2"/>
    <n v="10"/>
    <n v="2"/>
    <n v="3"/>
    <n v="10"/>
    <n v="8"/>
    <x v="5"/>
    <n v="7"/>
    <s v="OK"/>
    <s v="OK"/>
    <s v="OK"/>
    <s v="OK"/>
    <n v="0.4"/>
    <n v="0.8"/>
    <n v="0.2"/>
    <n v="0.7"/>
  </r>
  <r>
    <n v="38"/>
    <s v="No"/>
    <s v="Travel_Rarely"/>
    <n v="268"/>
    <s v="Research &amp; Development"/>
    <n v="2"/>
    <n v="5"/>
    <s v="Medical"/>
    <n v="1"/>
    <n v="773"/>
    <n v="4"/>
    <s v="Male"/>
    <n v="92"/>
    <n v="3"/>
    <n v="1"/>
    <x v="1"/>
    <n v="3"/>
    <s v="Married"/>
    <n v="3057"/>
    <n v="20471"/>
    <n v="6"/>
    <s v="Y"/>
    <s v="Yes"/>
    <n v="13"/>
    <n v="3"/>
    <n v="2"/>
    <n v="80"/>
    <n v="1"/>
    <n v="6"/>
    <n v="0"/>
    <n v="1"/>
    <n v="1"/>
    <n v="0"/>
    <x v="0"/>
    <n v="1"/>
    <s v="OK"/>
    <s v="OK"/>
    <s v="OK"/>
    <s v="OK"/>
    <n v="0"/>
    <n v="0"/>
    <n v="0"/>
    <n v="1"/>
  </r>
  <r>
    <n v="34"/>
    <s v="No"/>
    <s v="Travel_Rarely"/>
    <n v="167"/>
    <s v="Research &amp; Development"/>
    <n v="8"/>
    <n v="5"/>
    <s v="Life Sciences"/>
    <n v="1"/>
    <n v="775"/>
    <n v="2"/>
    <s v="Female"/>
    <n v="32"/>
    <n v="3"/>
    <n v="2"/>
    <x v="3"/>
    <n v="1"/>
    <s v="Divorced"/>
    <n v="5121"/>
    <n v="4187"/>
    <n v="3"/>
    <s v="Y"/>
    <s v="No"/>
    <n v="14"/>
    <n v="3"/>
    <n v="3"/>
    <n v="80"/>
    <n v="1"/>
    <n v="7"/>
    <n v="3"/>
    <n v="3"/>
    <n v="0"/>
    <n v="0"/>
    <x v="0"/>
    <n v="0"/>
    <s v="OK"/>
    <s v="OK"/>
    <s v="OK"/>
    <s v="OK"/>
    <n v="0"/>
    <n v="0"/>
    <n v="0"/>
    <n v="0"/>
  </r>
  <r>
    <n v="52"/>
    <s v="No"/>
    <s v="Travel_Rarely"/>
    <n v="621"/>
    <s v="Sales"/>
    <n v="3"/>
    <n v="4"/>
    <s v="Marketing"/>
    <n v="1"/>
    <n v="776"/>
    <n v="3"/>
    <s v="Male"/>
    <n v="31"/>
    <n v="2"/>
    <n v="4"/>
    <x v="5"/>
    <n v="1"/>
    <s v="Married"/>
    <n v="16856"/>
    <n v="10084"/>
    <n v="1"/>
    <s v="Y"/>
    <s v="No"/>
    <n v="11"/>
    <n v="3"/>
    <n v="1"/>
    <n v="80"/>
    <n v="0"/>
    <n v="34"/>
    <n v="3"/>
    <n v="4"/>
    <n v="34"/>
    <n v="6"/>
    <x v="1"/>
    <n v="16"/>
    <s v="OK"/>
    <s v="OK"/>
    <s v="OK"/>
    <s v="OK"/>
    <n v="2.9411764705882353E-2"/>
    <n v="0.17647058823529413"/>
    <n v="8.8235294117647065E-2"/>
    <n v="0.47058823529411764"/>
  </r>
  <r>
    <n v="33"/>
    <s v="Yes"/>
    <s v="Travel_Rarely"/>
    <n v="527"/>
    <s v="Research &amp; Development"/>
    <n v="1"/>
    <n v="4"/>
    <s v="Other"/>
    <n v="1"/>
    <n v="780"/>
    <n v="4"/>
    <s v="Male"/>
    <n v="63"/>
    <n v="3"/>
    <n v="1"/>
    <x v="1"/>
    <n v="4"/>
    <s v="Single"/>
    <n v="2686"/>
    <n v="5207"/>
    <n v="1"/>
    <s v="Y"/>
    <s v="Yes"/>
    <n v="13"/>
    <n v="3"/>
    <n v="3"/>
    <n v="80"/>
    <n v="0"/>
    <n v="10"/>
    <n v="2"/>
    <n v="2"/>
    <n v="10"/>
    <n v="9"/>
    <x v="4"/>
    <n v="8"/>
    <s v="OK"/>
    <s v="OK"/>
    <s v="OK"/>
    <s v="OK"/>
    <n v="0.7"/>
    <n v="0.9"/>
    <n v="0.2"/>
    <n v="0.8"/>
  </r>
  <r>
    <n v="25"/>
    <s v="No"/>
    <s v="Travel_Rarely"/>
    <n v="883"/>
    <s v="Sales"/>
    <n v="26"/>
    <n v="1"/>
    <s v="Medical"/>
    <n v="1"/>
    <n v="781"/>
    <n v="3"/>
    <s v="Female"/>
    <n v="32"/>
    <n v="3"/>
    <n v="2"/>
    <x v="0"/>
    <n v="4"/>
    <s v="Single"/>
    <n v="6180"/>
    <n v="22807"/>
    <n v="1"/>
    <s v="Y"/>
    <s v="No"/>
    <n v="23"/>
    <n v="4"/>
    <n v="2"/>
    <n v="80"/>
    <n v="0"/>
    <n v="6"/>
    <n v="5"/>
    <n v="2"/>
    <n v="6"/>
    <n v="5"/>
    <x v="1"/>
    <n v="4"/>
    <s v="OK"/>
    <s v="OK"/>
    <s v="OK"/>
    <s v="OK"/>
    <n v="0.16666666666666666"/>
    <n v="0.83333333333333337"/>
    <n v="0.83333333333333337"/>
    <n v="0.66666666666666663"/>
  </r>
  <r>
    <n v="45"/>
    <s v="No"/>
    <s v="Travel_Rarely"/>
    <n v="954"/>
    <s v="Sales"/>
    <n v="2"/>
    <n v="2"/>
    <s v="Technical Degree"/>
    <n v="1"/>
    <n v="783"/>
    <n v="2"/>
    <s v="Male"/>
    <n v="46"/>
    <n v="1"/>
    <n v="2"/>
    <x v="6"/>
    <n v="3"/>
    <s v="Single"/>
    <n v="6632"/>
    <n v="12388"/>
    <n v="0"/>
    <s v="Y"/>
    <s v="No"/>
    <n v="13"/>
    <n v="3"/>
    <n v="1"/>
    <n v="80"/>
    <n v="0"/>
    <n v="9"/>
    <n v="3"/>
    <n v="3"/>
    <n v="8"/>
    <n v="7"/>
    <x v="2"/>
    <n v="1"/>
    <s v="OK"/>
    <s v="OK"/>
    <s v="OK"/>
    <s v="OK"/>
    <n v="0.375"/>
    <n v="0.875"/>
    <n v="0.375"/>
    <n v="0.125"/>
  </r>
  <r>
    <n v="23"/>
    <s v="No"/>
    <s v="Travel_Rarely"/>
    <n v="310"/>
    <s v="Research &amp; Development"/>
    <n v="10"/>
    <n v="1"/>
    <s v="Medical"/>
    <n v="1"/>
    <n v="784"/>
    <n v="1"/>
    <s v="Male"/>
    <n v="79"/>
    <n v="4"/>
    <n v="1"/>
    <x v="1"/>
    <n v="3"/>
    <s v="Single"/>
    <n v="3505"/>
    <n v="19630"/>
    <n v="1"/>
    <s v="Y"/>
    <s v="No"/>
    <n v="18"/>
    <n v="3"/>
    <n v="4"/>
    <n v="80"/>
    <n v="0"/>
    <n v="2"/>
    <n v="3"/>
    <n v="3"/>
    <n v="2"/>
    <n v="2"/>
    <x v="0"/>
    <n v="2"/>
    <s v="OK"/>
    <s v="OK"/>
    <s v="OK"/>
    <s v="OK"/>
    <n v="0"/>
    <n v="1"/>
    <n v="1.5"/>
    <n v="1"/>
  </r>
  <r>
    <n v="47"/>
    <s v="Yes"/>
    <s v="Travel_Frequently"/>
    <n v="719"/>
    <s v="Sales"/>
    <n v="27"/>
    <n v="2"/>
    <s v="Life Sciences"/>
    <n v="1"/>
    <n v="785"/>
    <n v="2"/>
    <s v="Female"/>
    <n v="77"/>
    <n v="4"/>
    <n v="2"/>
    <x v="0"/>
    <n v="3"/>
    <s v="Single"/>
    <n v="6397"/>
    <n v="10339"/>
    <n v="4"/>
    <s v="Y"/>
    <s v="Yes"/>
    <n v="12"/>
    <n v="3"/>
    <n v="4"/>
    <n v="80"/>
    <n v="0"/>
    <n v="8"/>
    <n v="2"/>
    <n v="3"/>
    <n v="5"/>
    <n v="4"/>
    <x v="1"/>
    <n v="3"/>
    <s v="OK"/>
    <s v="OK"/>
    <s v="OK"/>
    <s v="OK"/>
    <n v="0.2"/>
    <n v="0.8"/>
    <n v="0.4"/>
    <n v="0.6"/>
  </r>
  <r>
    <n v="34"/>
    <s v="No"/>
    <s v="Travel_Rarely"/>
    <n v="304"/>
    <s v="Sales"/>
    <n v="2"/>
    <n v="3"/>
    <s v="Other"/>
    <n v="1"/>
    <n v="786"/>
    <n v="4"/>
    <s v="Male"/>
    <n v="60"/>
    <n v="3"/>
    <n v="2"/>
    <x v="0"/>
    <n v="4"/>
    <s v="Single"/>
    <n v="6274"/>
    <n v="18686"/>
    <n v="1"/>
    <s v="Y"/>
    <s v="No"/>
    <n v="22"/>
    <n v="4"/>
    <n v="3"/>
    <n v="80"/>
    <n v="0"/>
    <n v="6"/>
    <n v="5"/>
    <n v="3"/>
    <n v="6"/>
    <n v="5"/>
    <x v="1"/>
    <n v="4"/>
    <s v="OK"/>
    <s v="OK"/>
    <s v="OK"/>
    <s v="OK"/>
    <n v="0.16666666666666666"/>
    <n v="0.83333333333333337"/>
    <n v="0.83333333333333337"/>
    <n v="0.66666666666666663"/>
  </r>
  <r>
    <n v="55"/>
    <s v="Yes"/>
    <s v="Travel_Rarely"/>
    <n v="725"/>
    <s v="Research &amp; Development"/>
    <n v="2"/>
    <n v="3"/>
    <s v="Medical"/>
    <n v="1"/>
    <n v="787"/>
    <n v="4"/>
    <s v="Male"/>
    <n v="78"/>
    <n v="3"/>
    <n v="5"/>
    <x v="5"/>
    <n v="1"/>
    <s v="Married"/>
    <n v="19859"/>
    <n v="21199"/>
    <n v="5"/>
    <s v="Y"/>
    <s v="Yes"/>
    <n v="13"/>
    <n v="3"/>
    <n v="4"/>
    <n v="80"/>
    <n v="1"/>
    <n v="24"/>
    <n v="2"/>
    <n v="3"/>
    <n v="5"/>
    <n v="2"/>
    <x v="1"/>
    <n v="4"/>
    <s v="OK"/>
    <s v="OK"/>
    <s v="OK"/>
    <s v="OK"/>
    <n v="0.2"/>
    <n v="0.4"/>
    <n v="0.4"/>
    <n v="0.8"/>
  </r>
  <r>
    <n v="36"/>
    <s v="No"/>
    <s v="Non-Travel"/>
    <n v="1434"/>
    <s v="Sales"/>
    <n v="8"/>
    <n v="4"/>
    <s v="Life Sciences"/>
    <n v="1"/>
    <n v="789"/>
    <n v="1"/>
    <s v="Male"/>
    <n v="76"/>
    <n v="2"/>
    <n v="3"/>
    <x v="0"/>
    <n v="1"/>
    <s v="Single"/>
    <n v="7587"/>
    <n v="14229"/>
    <n v="1"/>
    <s v="Y"/>
    <s v="No"/>
    <n v="15"/>
    <n v="3"/>
    <n v="2"/>
    <n v="80"/>
    <n v="0"/>
    <n v="10"/>
    <n v="1"/>
    <n v="3"/>
    <n v="10"/>
    <n v="7"/>
    <x v="0"/>
    <n v="9"/>
    <s v="OK"/>
    <s v="OK"/>
    <s v="OK"/>
    <s v="OK"/>
    <n v="0"/>
    <n v="0.7"/>
    <n v="0.1"/>
    <n v="0.9"/>
  </r>
  <r>
    <n v="52"/>
    <s v="No"/>
    <s v="Non-Travel"/>
    <n v="715"/>
    <s v="Research &amp; Development"/>
    <n v="19"/>
    <n v="4"/>
    <s v="Medical"/>
    <n v="1"/>
    <n v="791"/>
    <n v="4"/>
    <s v="Male"/>
    <n v="41"/>
    <n v="3"/>
    <n v="1"/>
    <x v="1"/>
    <n v="4"/>
    <s v="Married"/>
    <n v="4258"/>
    <n v="26589"/>
    <n v="0"/>
    <s v="Y"/>
    <s v="No"/>
    <n v="18"/>
    <n v="3"/>
    <n v="1"/>
    <n v="80"/>
    <n v="1"/>
    <n v="5"/>
    <n v="3"/>
    <n v="3"/>
    <n v="4"/>
    <n v="3"/>
    <x v="1"/>
    <n v="2"/>
    <s v="OK"/>
    <s v="OK"/>
    <s v="OK"/>
    <s v="OK"/>
    <n v="0.25"/>
    <n v="0.75"/>
    <n v="0.75"/>
    <n v="0.5"/>
  </r>
  <r>
    <n v="26"/>
    <s v="No"/>
    <s v="Travel_Frequently"/>
    <n v="575"/>
    <s v="Research &amp; Development"/>
    <n v="1"/>
    <n v="2"/>
    <s v="Life Sciences"/>
    <n v="1"/>
    <n v="792"/>
    <n v="1"/>
    <s v="Female"/>
    <n v="71"/>
    <n v="1"/>
    <n v="1"/>
    <x v="2"/>
    <n v="4"/>
    <s v="Divorced"/>
    <n v="4364"/>
    <n v="5288"/>
    <n v="3"/>
    <s v="Y"/>
    <s v="No"/>
    <n v="14"/>
    <n v="3"/>
    <n v="1"/>
    <n v="80"/>
    <n v="1"/>
    <n v="5"/>
    <n v="2"/>
    <n v="3"/>
    <n v="2"/>
    <n v="2"/>
    <x v="3"/>
    <n v="0"/>
    <s v="OK"/>
    <s v="OK"/>
    <s v="OK"/>
    <s v="OK"/>
    <n v="1"/>
    <n v="1"/>
    <n v="1"/>
    <n v="0"/>
  </r>
  <r>
    <n v="29"/>
    <s v="No"/>
    <s v="Travel_Rarely"/>
    <n v="657"/>
    <s v="Research &amp; Development"/>
    <n v="27"/>
    <n v="3"/>
    <s v="Medical"/>
    <n v="1"/>
    <n v="793"/>
    <n v="2"/>
    <s v="Female"/>
    <n v="66"/>
    <n v="3"/>
    <n v="2"/>
    <x v="4"/>
    <n v="3"/>
    <s v="Married"/>
    <n v="4335"/>
    <n v="25549"/>
    <n v="4"/>
    <s v="Y"/>
    <s v="No"/>
    <n v="12"/>
    <n v="3"/>
    <n v="1"/>
    <n v="80"/>
    <n v="1"/>
    <n v="11"/>
    <n v="3"/>
    <n v="2"/>
    <n v="8"/>
    <n v="7"/>
    <x v="1"/>
    <n v="1"/>
    <s v="OK"/>
    <s v="OK"/>
    <s v="OK"/>
    <s v="OK"/>
    <n v="0.125"/>
    <n v="0.875"/>
    <n v="0.375"/>
    <n v="0.125"/>
  </r>
  <r>
    <n v="26"/>
    <s v="Yes"/>
    <s v="Travel_Rarely"/>
    <n v="1146"/>
    <s v="Sales"/>
    <n v="8"/>
    <n v="3"/>
    <s v="Technical Degree"/>
    <n v="1"/>
    <n v="796"/>
    <n v="4"/>
    <s v="Male"/>
    <n v="38"/>
    <n v="2"/>
    <n v="2"/>
    <x v="0"/>
    <n v="1"/>
    <s v="Single"/>
    <n v="5326"/>
    <n v="3064"/>
    <n v="6"/>
    <s v="Y"/>
    <s v="No"/>
    <n v="17"/>
    <n v="3"/>
    <n v="3"/>
    <n v="80"/>
    <n v="0"/>
    <n v="6"/>
    <n v="2"/>
    <n v="2"/>
    <n v="4"/>
    <n v="3"/>
    <x v="1"/>
    <n v="2"/>
    <s v="OK"/>
    <s v="OK"/>
    <s v="OK"/>
    <s v="OK"/>
    <n v="0.25"/>
    <n v="0.75"/>
    <n v="0.5"/>
    <n v="0.5"/>
  </r>
  <r>
    <n v="34"/>
    <s v="No"/>
    <s v="Travel_Rarely"/>
    <n v="182"/>
    <s v="Research &amp; Development"/>
    <n v="1"/>
    <n v="4"/>
    <s v="Life Sciences"/>
    <n v="1"/>
    <n v="797"/>
    <n v="2"/>
    <s v="Female"/>
    <n v="72"/>
    <n v="4"/>
    <n v="1"/>
    <x v="1"/>
    <n v="4"/>
    <s v="Single"/>
    <n v="3280"/>
    <n v="13551"/>
    <n v="2"/>
    <s v="Y"/>
    <s v="No"/>
    <n v="16"/>
    <n v="3"/>
    <n v="3"/>
    <n v="80"/>
    <n v="0"/>
    <n v="10"/>
    <n v="2"/>
    <n v="3"/>
    <n v="4"/>
    <n v="2"/>
    <x v="1"/>
    <n v="3"/>
    <s v="OK"/>
    <s v="OK"/>
    <s v="OK"/>
    <s v="OK"/>
    <n v="0.25"/>
    <n v="0.5"/>
    <n v="0.5"/>
    <n v="0.75"/>
  </r>
  <r>
    <n v="54"/>
    <s v="No"/>
    <s v="Travel_Rarely"/>
    <n v="376"/>
    <s v="Research &amp; Development"/>
    <n v="19"/>
    <n v="4"/>
    <s v="Medical"/>
    <n v="1"/>
    <n v="799"/>
    <n v="4"/>
    <s v="Female"/>
    <n v="95"/>
    <n v="3"/>
    <n v="2"/>
    <x v="3"/>
    <n v="1"/>
    <s v="Divorced"/>
    <n v="5485"/>
    <n v="22670"/>
    <n v="9"/>
    <s v="Y"/>
    <s v="Yes"/>
    <n v="11"/>
    <n v="3"/>
    <n v="2"/>
    <n v="80"/>
    <n v="2"/>
    <n v="9"/>
    <n v="4"/>
    <n v="3"/>
    <n v="5"/>
    <n v="3"/>
    <x v="1"/>
    <n v="4"/>
    <s v="OK"/>
    <s v="OK"/>
    <s v="OK"/>
    <s v="OK"/>
    <n v="0.2"/>
    <n v="0.6"/>
    <n v="0.8"/>
    <n v="0.8"/>
  </r>
  <r>
    <n v="27"/>
    <s v="No"/>
    <s v="Travel_Frequently"/>
    <n v="829"/>
    <s v="Sales"/>
    <n v="8"/>
    <n v="1"/>
    <s v="Marketing"/>
    <n v="1"/>
    <n v="800"/>
    <n v="3"/>
    <s v="Male"/>
    <n v="84"/>
    <n v="3"/>
    <n v="2"/>
    <x v="0"/>
    <n v="4"/>
    <s v="Married"/>
    <n v="4342"/>
    <n v="24008"/>
    <n v="0"/>
    <s v="Y"/>
    <s v="No"/>
    <n v="19"/>
    <n v="3"/>
    <n v="2"/>
    <n v="80"/>
    <n v="1"/>
    <n v="5"/>
    <n v="3"/>
    <n v="3"/>
    <n v="4"/>
    <n v="2"/>
    <x v="1"/>
    <n v="1"/>
    <s v="OK"/>
    <s v="OK"/>
    <s v="OK"/>
    <s v="OK"/>
    <n v="0.25"/>
    <n v="0.5"/>
    <n v="0.75"/>
    <n v="0.25"/>
  </r>
  <r>
    <n v="37"/>
    <s v="No"/>
    <s v="Travel_Rarely"/>
    <n v="571"/>
    <s v="Research &amp; Development"/>
    <n v="10"/>
    <n v="1"/>
    <s v="Life Sciences"/>
    <n v="1"/>
    <n v="802"/>
    <n v="4"/>
    <s v="Female"/>
    <n v="82"/>
    <n v="3"/>
    <n v="1"/>
    <x v="1"/>
    <n v="1"/>
    <s v="Divorced"/>
    <n v="2782"/>
    <n v="19905"/>
    <n v="0"/>
    <s v="Y"/>
    <s v="Yes"/>
    <n v="13"/>
    <n v="3"/>
    <n v="2"/>
    <n v="80"/>
    <n v="2"/>
    <n v="6"/>
    <n v="3"/>
    <n v="2"/>
    <n v="5"/>
    <n v="3"/>
    <x v="5"/>
    <n v="3"/>
    <s v="OK"/>
    <s v="OK"/>
    <s v="OK"/>
    <s v="OK"/>
    <n v="0.8"/>
    <n v="0.6"/>
    <n v="0.6"/>
    <n v="0.6"/>
  </r>
  <r>
    <n v="38"/>
    <s v="No"/>
    <s v="Travel_Frequently"/>
    <n v="240"/>
    <s v="Research &amp; Development"/>
    <n v="2"/>
    <n v="4"/>
    <s v="Life Sciences"/>
    <n v="1"/>
    <n v="803"/>
    <n v="1"/>
    <s v="Female"/>
    <n v="75"/>
    <n v="4"/>
    <n v="2"/>
    <x v="3"/>
    <n v="1"/>
    <s v="Single"/>
    <n v="5980"/>
    <n v="26085"/>
    <n v="6"/>
    <s v="Y"/>
    <s v="Yes"/>
    <n v="12"/>
    <n v="3"/>
    <n v="4"/>
    <n v="80"/>
    <n v="0"/>
    <n v="17"/>
    <n v="2"/>
    <n v="3"/>
    <n v="15"/>
    <n v="7"/>
    <x v="5"/>
    <n v="12"/>
    <s v="OK"/>
    <s v="OK"/>
    <s v="OK"/>
    <s v="OK"/>
    <n v="0.26666666666666666"/>
    <n v="0.46666666666666667"/>
    <n v="0.13333333333333333"/>
    <n v="0.8"/>
  </r>
  <r>
    <n v="34"/>
    <s v="No"/>
    <s v="Travel_Rarely"/>
    <n v="121"/>
    <s v="Research &amp; Development"/>
    <n v="2"/>
    <n v="4"/>
    <s v="Medical"/>
    <n v="1"/>
    <n v="804"/>
    <n v="3"/>
    <s v="Female"/>
    <n v="86"/>
    <n v="2"/>
    <n v="1"/>
    <x v="1"/>
    <n v="1"/>
    <s v="Single"/>
    <n v="4381"/>
    <n v="7530"/>
    <n v="1"/>
    <s v="Y"/>
    <s v="No"/>
    <n v="11"/>
    <n v="3"/>
    <n v="3"/>
    <n v="80"/>
    <n v="0"/>
    <n v="6"/>
    <n v="3"/>
    <n v="3"/>
    <n v="6"/>
    <n v="5"/>
    <x v="1"/>
    <n v="3"/>
    <s v="OK"/>
    <s v="OK"/>
    <s v="OK"/>
    <s v="OK"/>
    <n v="0.16666666666666666"/>
    <n v="0.83333333333333337"/>
    <n v="0.5"/>
    <n v="0.5"/>
  </r>
  <r>
    <n v="35"/>
    <s v="No"/>
    <s v="Travel_Rarely"/>
    <n v="384"/>
    <s v="Sales"/>
    <n v="8"/>
    <n v="4"/>
    <s v="Life Sciences"/>
    <n v="1"/>
    <n v="805"/>
    <n v="1"/>
    <s v="Female"/>
    <n v="72"/>
    <n v="3"/>
    <n v="1"/>
    <x v="6"/>
    <n v="4"/>
    <s v="Married"/>
    <n v="2572"/>
    <n v="20317"/>
    <n v="1"/>
    <s v="Y"/>
    <s v="No"/>
    <n v="16"/>
    <n v="3"/>
    <n v="2"/>
    <n v="80"/>
    <n v="1"/>
    <n v="3"/>
    <n v="1"/>
    <n v="2"/>
    <n v="3"/>
    <n v="2"/>
    <x v="0"/>
    <n v="2"/>
    <s v="OK"/>
    <s v="OK"/>
    <s v="OK"/>
    <s v="OK"/>
    <n v="0"/>
    <n v="0.66666666666666663"/>
    <n v="0.33333333333333331"/>
    <n v="0.66666666666666663"/>
  </r>
  <r>
    <n v="30"/>
    <s v="No"/>
    <s v="Travel_Rarely"/>
    <n v="921"/>
    <s v="Research &amp; Development"/>
    <n v="1"/>
    <n v="3"/>
    <s v="Life Sciences"/>
    <n v="1"/>
    <n v="806"/>
    <n v="4"/>
    <s v="Male"/>
    <n v="38"/>
    <n v="1"/>
    <n v="1"/>
    <x v="2"/>
    <n v="3"/>
    <s v="Married"/>
    <n v="3833"/>
    <n v="24375"/>
    <n v="3"/>
    <s v="Y"/>
    <s v="No"/>
    <n v="21"/>
    <n v="4"/>
    <n v="3"/>
    <n v="80"/>
    <n v="2"/>
    <n v="7"/>
    <n v="2"/>
    <n v="3"/>
    <n v="2"/>
    <n v="2"/>
    <x v="0"/>
    <n v="2"/>
    <s v="OK"/>
    <s v="OK"/>
    <s v="OK"/>
    <s v="OK"/>
    <n v="0"/>
    <n v="1"/>
    <n v="1"/>
    <n v="1"/>
  </r>
  <r>
    <n v="40"/>
    <s v="No"/>
    <s v="Travel_Frequently"/>
    <n v="791"/>
    <s v="Research &amp; Development"/>
    <n v="2"/>
    <n v="2"/>
    <s v="Medical"/>
    <n v="1"/>
    <n v="807"/>
    <n v="3"/>
    <s v="Female"/>
    <n v="38"/>
    <n v="4"/>
    <n v="2"/>
    <x v="4"/>
    <n v="2"/>
    <s v="Married"/>
    <n v="4244"/>
    <n v="9931"/>
    <n v="1"/>
    <s v="Y"/>
    <s v="No"/>
    <n v="24"/>
    <n v="4"/>
    <n v="4"/>
    <n v="80"/>
    <n v="1"/>
    <n v="8"/>
    <n v="2"/>
    <n v="3"/>
    <n v="8"/>
    <n v="7"/>
    <x v="2"/>
    <n v="7"/>
    <s v="OK"/>
    <s v="OK"/>
    <s v="OK"/>
    <s v="OK"/>
    <n v="0.375"/>
    <n v="0.875"/>
    <n v="0.25"/>
    <n v="0.875"/>
  </r>
  <r>
    <n v="34"/>
    <s v="No"/>
    <s v="Travel_Rarely"/>
    <n v="1111"/>
    <s v="Sales"/>
    <n v="8"/>
    <n v="2"/>
    <s v="Life Sciences"/>
    <n v="1"/>
    <n v="808"/>
    <n v="3"/>
    <s v="Female"/>
    <n v="93"/>
    <n v="3"/>
    <n v="2"/>
    <x v="0"/>
    <n v="1"/>
    <s v="Married"/>
    <n v="6500"/>
    <n v="13305"/>
    <n v="5"/>
    <s v="Y"/>
    <s v="No"/>
    <n v="17"/>
    <n v="3"/>
    <n v="2"/>
    <n v="80"/>
    <n v="1"/>
    <n v="6"/>
    <n v="1"/>
    <n v="3"/>
    <n v="3"/>
    <n v="2"/>
    <x v="1"/>
    <n v="2"/>
    <s v="OK"/>
    <s v="OK"/>
    <s v="OK"/>
    <s v="OK"/>
    <n v="0.33333333333333331"/>
    <n v="0.66666666666666663"/>
    <n v="0.33333333333333331"/>
    <n v="0.66666666666666663"/>
  </r>
  <r>
    <n v="42"/>
    <s v="No"/>
    <s v="Travel_Frequently"/>
    <n v="570"/>
    <s v="Research &amp; Development"/>
    <n v="8"/>
    <n v="3"/>
    <s v="Life Sciences"/>
    <n v="1"/>
    <n v="809"/>
    <n v="2"/>
    <s v="Male"/>
    <n v="66"/>
    <n v="3"/>
    <n v="5"/>
    <x v="5"/>
    <n v="4"/>
    <s v="Divorced"/>
    <n v="18430"/>
    <n v="16225"/>
    <n v="1"/>
    <s v="Y"/>
    <s v="No"/>
    <n v="13"/>
    <n v="3"/>
    <n v="2"/>
    <n v="80"/>
    <n v="1"/>
    <n v="24"/>
    <n v="4"/>
    <n v="2"/>
    <n v="24"/>
    <n v="7"/>
    <x v="15"/>
    <n v="9"/>
    <s v="OK"/>
    <s v="OK"/>
    <s v="OK"/>
    <s v="OK"/>
    <n v="0.58333333333333337"/>
    <n v="0.29166666666666669"/>
    <n v="0.16666666666666666"/>
    <n v="0.375"/>
  </r>
  <r>
    <n v="23"/>
    <s v="Yes"/>
    <s v="Travel_Rarely"/>
    <n v="1243"/>
    <s v="Research &amp; Development"/>
    <n v="6"/>
    <n v="3"/>
    <s v="Life Sciences"/>
    <n v="1"/>
    <n v="811"/>
    <n v="3"/>
    <s v="Male"/>
    <n v="63"/>
    <n v="4"/>
    <n v="1"/>
    <x v="2"/>
    <n v="1"/>
    <s v="Married"/>
    <n v="1601"/>
    <n v="3445"/>
    <n v="1"/>
    <s v="Y"/>
    <s v="Yes"/>
    <n v="21"/>
    <n v="4"/>
    <n v="3"/>
    <n v="80"/>
    <n v="2"/>
    <n v="1"/>
    <n v="2"/>
    <n v="3"/>
    <n v="0"/>
    <n v="0"/>
    <x v="0"/>
    <n v="0"/>
    <s v="OK"/>
    <s v="OK"/>
    <s v="OK"/>
    <s v="OK"/>
    <n v="0"/>
    <n v="0"/>
    <n v="0"/>
    <n v="0"/>
  </r>
  <r>
    <n v="24"/>
    <s v="No"/>
    <s v="Non-Travel"/>
    <n v="1092"/>
    <s v="Research &amp; Development"/>
    <n v="9"/>
    <n v="3"/>
    <s v="Life Sciences"/>
    <n v="1"/>
    <n v="812"/>
    <n v="3"/>
    <s v="Male"/>
    <n v="60"/>
    <n v="2"/>
    <n v="1"/>
    <x v="2"/>
    <n v="2"/>
    <s v="Divorced"/>
    <n v="2694"/>
    <n v="26551"/>
    <n v="1"/>
    <s v="Y"/>
    <s v="No"/>
    <n v="11"/>
    <n v="3"/>
    <n v="3"/>
    <n v="80"/>
    <n v="3"/>
    <n v="1"/>
    <n v="4"/>
    <n v="3"/>
    <n v="1"/>
    <n v="0"/>
    <x v="0"/>
    <n v="0"/>
    <s v="OK"/>
    <s v="OK"/>
    <s v="OK"/>
    <s v="OK"/>
    <n v="0"/>
    <n v="0"/>
    <n v="4"/>
    <n v="0"/>
  </r>
  <r>
    <n v="52"/>
    <s v="No"/>
    <s v="Travel_Rarely"/>
    <n v="1325"/>
    <s v="Research &amp; Development"/>
    <n v="11"/>
    <n v="4"/>
    <s v="Life Sciences"/>
    <n v="1"/>
    <n v="813"/>
    <n v="4"/>
    <s v="Female"/>
    <n v="82"/>
    <n v="3"/>
    <n v="2"/>
    <x v="2"/>
    <n v="3"/>
    <s v="Married"/>
    <n v="3149"/>
    <n v="21821"/>
    <n v="8"/>
    <s v="Y"/>
    <s v="No"/>
    <n v="20"/>
    <n v="4"/>
    <n v="2"/>
    <n v="80"/>
    <n v="1"/>
    <n v="9"/>
    <n v="3"/>
    <n v="3"/>
    <n v="5"/>
    <n v="2"/>
    <x v="1"/>
    <n v="4"/>
    <s v="OK"/>
    <s v="OK"/>
    <s v="OK"/>
    <s v="OK"/>
    <n v="0.2"/>
    <n v="0.4"/>
    <n v="0.6"/>
    <n v="0.8"/>
  </r>
  <r>
    <n v="50"/>
    <s v="No"/>
    <s v="Travel_Rarely"/>
    <n v="691"/>
    <s v="Research &amp; Development"/>
    <n v="2"/>
    <n v="3"/>
    <s v="Medical"/>
    <n v="1"/>
    <n v="815"/>
    <n v="3"/>
    <s v="Male"/>
    <n v="64"/>
    <n v="3"/>
    <n v="4"/>
    <x v="7"/>
    <n v="3"/>
    <s v="Married"/>
    <n v="17639"/>
    <n v="6881"/>
    <n v="5"/>
    <s v="Y"/>
    <s v="No"/>
    <n v="16"/>
    <n v="3"/>
    <n v="4"/>
    <n v="80"/>
    <n v="0"/>
    <n v="30"/>
    <n v="3"/>
    <n v="3"/>
    <n v="4"/>
    <n v="3"/>
    <x v="0"/>
    <n v="3"/>
    <s v="OK"/>
    <s v="OK"/>
    <s v="OK"/>
    <s v="OK"/>
    <n v="0"/>
    <n v="0.75"/>
    <n v="0.75"/>
    <n v="0.75"/>
  </r>
  <r>
    <n v="29"/>
    <s v="Yes"/>
    <s v="Travel_Rarely"/>
    <n v="805"/>
    <s v="Research &amp; Development"/>
    <n v="1"/>
    <n v="2"/>
    <s v="Life Sciences"/>
    <n v="1"/>
    <n v="816"/>
    <n v="2"/>
    <s v="Female"/>
    <n v="36"/>
    <n v="2"/>
    <n v="1"/>
    <x v="2"/>
    <n v="1"/>
    <s v="Married"/>
    <n v="2319"/>
    <n v="6689"/>
    <n v="1"/>
    <s v="Y"/>
    <s v="Yes"/>
    <n v="11"/>
    <n v="3"/>
    <n v="4"/>
    <n v="80"/>
    <n v="1"/>
    <n v="1"/>
    <n v="1"/>
    <n v="3"/>
    <n v="1"/>
    <n v="0"/>
    <x v="0"/>
    <n v="0"/>
    <s v="OK"/>
    <s v="OK"/>
    <s v="OK"/>
    <s v="OK"/>
    <n v="0"/>
    <n v="0"/>
    <n v="1"/>
    <n v="0"/>
  </r>
  <r>
    <n v="33"/>
    <s v="No"/>
    <s v="Travel_Rarely"/>
    <n v="213"/>
    <s v="Research &amp; Development"/>
    <n v="7"/>
    <n v="3"/>
    <s v="Medical"/>
    <n v="1"/>
    <n v="817"/>
    <n v="3"/>
    <s v="Male"/>
    <n v="49"/>
    <n v="3"/>
    <n v="3"/>
    <x v="7"/>
    <n v="3"/>
    <s v="Married"/>
    <n v="11691"/>
    <n v="25995"/>
    <n v="0"/>
    <s v="Y"/>
    <s v="No"/>
    <n v="11"/>
    <n v="3"/>
    <n v="4"/>
    <n v="80"/>
    <n v="0"/>
    <n v="14"/>
    <n v="3"/>
    <n v="4"/>
    <n v="13"/>
    <n v="9"/>
    <x v="2"/>
    <n v="7"/>
    <s v="OK"/>
    <s v="OK"/>
    <s v="OK"/>
    <s v="OK"/>
    <n v="0.23076923076923078"/>
    <n v="0.69230769230769229"/>
    <n v="0.23076923076923078"/>
    <n v="0.53846153846153844"/>
  </r>
  <r>
    <n v="33"/>
    <s v="Yes"/>
    <s v="Travel_Rarely"/>
    <n v="118"/>
    <s v="Sales"/>
    <n v="16"/>
    <n v="3"/>
    <s v="Marketing"/>
    <n v="1"/>
    <n v="819"/>
    <n v="1"/>
    <s v="Female"/>
    <n v="69"/>
    <n v="3"/>
    <n v="2"/>
    <x v="0"/>
    <n v="1"/>
    <s v="Single"/>
    <n v="5324"/>
    <n v="26507"/>
    <n v="5"/>
    <s v="Y"/>
    <s v="No"/>
    <n v="15"/>
    <n v="3"/>
    <n v="3"/>
    <n v="80"/>
    <n v="0"/>
    <n v="6"/>
    <n v="3"/>
    <n v="3"/>
    <n v="3"/>
    <n v="2"/>
    <x v="0"/>
    <n v="2"/>
    <s v="OK"/>
    <s v="OK"/>
    <s v="OK"/>
    <s v="OK"/>
    <n v="0"/>
    <n v="0.66666666666666663"/>
    <n v="1"/>
    <n v="0.66666666666666663"/>
  </r>
  <r>
    <n v="47"/>
    <s v="No"/>
    <s v="Travel_Rarely"/>
    <n v="202"/>
    <s v="Research &amp; Development"/>
    <n v="2"/>
    <n v="2"/>
    <s v="Other"/>
    <n v="1"/>
    <n v="820"/>
    <n v="3"/>
    <s v="Female"/>
    <n v="33"/>
    <n v="3"/>
    <n v="4"/>
    <x v="5"/>
    <n v="4"/>
    <s v="Married"/>
    <n v="16752"/>
    <n v="12982"/>
    <n v="1"/>
    <s v="Y"/>
    <s v="Yes"/>
    <n v="11"/>
    <n v="3"/>
    <n v="3"/>
    <n v="80"/>
    <n v="1"/>
    <n v="26"/>
    <n v="3"/>
    <n v="2"/>
    <n v="26"/>
    <n v="14"/>
    <x v="2"/>
    <n v="0"/>
    <s v="OK"/>
    <s v="OK"/>
    <s v="OK"/>
    <s v="OK"/>
    <n v="0.11538461538461539"/>
    <n v="0.53846153846153844"/>
    <n v="0.11538461538461539"/>
    <n v="0"/>
  </r>
  <r>
    <n v="36"/>
    <s v="No"/>
    <s v="Travel_Rarely"/>
    <n v="676"/>
    <s v="Research &amp; Development"/>
    <n v="1"/>
    <n v="3"/>
    <s v="Other"/>
    <n v="1"/>
    <n v="823"/>
    <n v="3"/>
    <s v="Female"/>
    <n v="35"/>
    <n v="3"/>
    <n v="2"/>
    <x v="3"/>
    <n v="2"/>
    <s v="Married"/>
    <n v="5228"/>
    <n v="23361"/>
    <n v="0"/>
    <s v="Y"/>
    <s v="No"/>
    <n v="15"/>
    <n v="3"/>
    <n v="1"/>
    <n v="80"/>
    <n v="1"/>
    <n v="10"/>
    <n v="2"/>
    <n v="3"/>
    <n v="9"/>
    <n v="7"/>
    <x v="0"/>
    <n v="5"/>
    <s v="OK"/>
    <s v="OK"/>
    <s v="OK"/>
    <s v="OK"/>
    <n v="0"/>
    <n v="0.77777777777777779"/>
    <n v="0.22222222222222221"/>
    <n v="0.55555555555555558"/>
  </r>
  <r>
    <n v="29"/>
    <s v="No"/>
    <s v="Travel_Rarely"/>
    <n v="1252"/>
    <s v="Research &amp; Development"/>
    <n v="23"/>
    <n v="2"/>
    <s v="Life Sciences"/>
    <n v="1"/>
    <n v="824"/>
    <n v="3"/>
    <s v="Male"/>
    <n v="81"/>
    <n v="4"/>
    <n v="1"/>
    <x v="1"/>
    <n v="3"/>
    <s v="Married"/>
    <n v="2700"/>
    <n v="23779"/>
    <n v="1"/>
    <s v="Y"/>
    <s v="No"/>
    <n v="24"/>
    <n v="4"/>
    <n v="3"/>
    <n v="80"/>
    <n v="1"/>
    <n v="10"/>
    <n v="3"/>
    <n v="3"/>
    <n v="10"/>
    <n v="7"/>
    <x v="0"/>
    <n v="7"/>
    <s v="OK"/>
    <s v="OK"/>
    <s v="OK"/>
    <s v="OK"/>
    <n v="0"/>
    <n v="0.7"/>
    <n v="0.3"/>
    <n v="0.7"/>
  </r>
  <r>
    <n v="58"/>
    <s v="Yes"/>
    <s v="Travel_Rarely"/>
    <n v="286"/>
    <s v="Research &amp; Development"/>
    <n v="2"/>
    <n v="4"/>
    <s v="Life Sciences"/>
    <n v="1"/>
    <n v="825"/>
    <n v="4"/>
    <s v="Male"/>
    <n v="31"/>
    <n v="3"/>
    <n v="5"/>
    <x v="7"/>
    <n v="2"/>
    <s v="Single"/>
    <n v="19246"/>
    <n v="25761"/>
    <n v="7"/>
    <s v="Y"/>
    <s v="Yes"/>
    <n v="12"/>
    <n v="3"/>
    <n v="4"/>
    <n v="80"/>
    <n v="0"/>
    <n v="40"/>
    <n v="2"/>
    <n v="3"/>
    <n v="31"/>
    <n v="15"/>
    <x v="11"/>
    <n v="8"/>
    <s v="OK"/>
    <s v="OK"/>
    <s v="OK"/>
    <s v="OK"/>
    <n v="0.41935483870967744"/>
    <n v="0.4838709677419355"/>
    <n v="6.4516129032258063E-2"/>
    <n v="0.25806451612903225"/>
  </r>
  <r>
    <n v="35"/>
    <s v="No"/>
    <s v="Travel_Rarely"/>
    <n v="1258"/>
    <s v="Research &amp; Development"/>
    <n v="1"/>
    <n v="4"/>
    <s v="Life Sciences"/>
    <n v="1"/>
    <n v="826"/>
    <n v="4"/>
    <s v="Female"/>
    <n v="40"/>
    <n v="4"/>
    <n v="1"/>
    <x v="1"/>
    <n v="3"/>
    <s v="Single"/>
    <n v="2506"/>
    <n v="13301"/>
    <n v="3"/>
    <s v="Y"/>
    <s v="No"/>
    <n v="13"/>
    <n v="3"/>
    <n v="3"/>
    <n v="80"/>
    <n v="0"/>
    <n v="7"/>
    <n v="0"/>
    <n v="3"/>
    <n v="2"/>
    <n v="2"/>
    <x v="3"/>
    <n v="2"/>
    <s v="OK"/>
    <s v="OK"/>
    <s v="OK"/>
    <s v="OK"/>
    <n v="1"/>
    <n v="1"/>
    <n v="0"/>
    <n v="1"/>
  </r>
  <r>
    <n v="42"/>
    <s v="No"/>
    <s v="Travel_Rarely"/>
    <n v="932"/>
    <s v="Research &amp; Development"/>
    <n v="1"/>
    <n v="2"/>
    <s v="Life Sciences"/>
    <n v="1"/>
    <n v="827"/>
    <n v="4"/>
    <s v="Female"/>
    <n v="43"/>
    <n v="2"/>
    <n v="2"/>
    <x v="3"/>
    <n v="4"/>
    <s v="Married"/>
    <n v="6062"/>
    <n v="4051"/>
    <n v="9"/>
    <s v="Y"/>
    <s v="Yes"/>
    <n v="13"/>
    <n v="3"/>
    <n v="4"/>
    <n v="80"/>
    <n v="1"/>
    <n v="8"/>
    <n v="4"/>
    <n v="3"/>
    <n v="4"/>
    <n v="3"/>
    <x v="0"/>
    <n v="2"/>
    <s v="OK"/>
    <s v="OK"/>
    <s v="OK"/>
    <s v="OK"/>
    <n v="0"/>
    <n v="0.75"/>
    <n v="1"/>
    <n v="0.5"/>
  </r>
  <r>
    <n v="28"/>
    <s v="Yes"/>
    <s v="Travel_Rarely"/>
    <n v="890"/>
    <s v="Research &amp; Development"/>
    <n v="2"/>
    <n v="4"/>
    <s v="Medical"/>
    <n v="1"/>
    <n v="828"/>
    <n v="3"/>
    <s v="Male"/>
    <n v="46"/>
    <n v="3"/>
    <n v="1"/>
    <x v="1"/>
    <n v="3"/>
    <s v="Single"/>
    <n v="4382"/>
    <n v="16374"/>
    <n v="6"/>
    <s v="Y"/>
    <s v="No"/>
    <n v="17"/>
    <n v="3"/>
    <n v="4"/>
    <n v="80"/>
    <n v="0"/>
    <n v="5"/>
    <n v="3"/>
    <n v="2"/>
    <n v="2"/>
    <n v="2"/>
    <x v="3"/>
    <n v="1"/>
    <s v="OK"/>
    <s v="OK"/>
    <s v="OK"/>
    <s v="OK"/>
    <n v="1"/>
    <n v="1"/>
    <n v="1.5"/>
    <n v="0.5"/>
  </r>
  <r>
    <n v="36"/>
    <s v="No"/>
    <s v="Travel_Rarely"/>
    <n v="1041"/>
    <s v="Human Resources"/>
    <n v="13"/>
    <n v="3"/>
    <s v="Human Resources"/>
    <n v="1"/>
    <n v="829"/>
    <n v="3"/>
    <s v="Male"/>
    <n v="36"/>
    <n v="3"/>
    <n v="1"/>
    <x v="8"/>
    <n v="2"/>
    <s v="Married"/>
    <n v="2143"/>
    <n v="25527"/>
    <n v="4"/>
    <s v="Y"/>
    <s v="No"/>
    <n v="13"/>
    <n v="3"/>
    <n v="2"/>
    <n v="80"/>
    <n v="1"/>
    <n v="8"/>
    <n v="2"/>
    <n v="3"/>
    <n v="5"/>
    <n v="2"/>
    <x v="0"/>
    <n v="4"/>
    <s v="OK"/>
    <s v="OK"/>
    <s v="OK"/>
    <s v="OK"/>
    <n v="0"/>
    <n v="0.4"/>
    <n v="0.4"/>
    <n v="0.8"/>
  </r>
  <r>
    <n v="32"/>
    <s v="No"/>
    <s v="Travel_Rarely"/>
    <n v="859"/>
    <s v="Research &amp; Development"/>
    <n v="4"/>
    <n v="3"/>
    <s v="Life Sciences"/>
    <n v="1"/>
    <n v="830"/>
    <n v="3"/>
    <s v="Female"/>
    <n v="98"/>
    <n v="2"/>
    <n v="2"/>
    <x v="3"/>
    <n v="3"/>
    <s v="Married"/>
    <n v="6162"/>
    <n v="19124"/>
    <n v="1"/>
    <s v="Y"/>
    <s v="No"/>
    <n v="12"/>
    <n v="3"/>
    <n v="3"/>
    <n v="80"/>
    <n v="1"/>
    <n v="14"/>
    <n v="3"/>
    <n v="3"/>
    <n v="14"/>
    <n v="13"/>
    <x v="7"/>
    <n v="8"/>
    <s v="OK"/>
    <s v="OK"/>
    <s v="OK"/>
    <s v="OK"/>
    <n v="0.42857142857142855"/>
    <n v="0.9285714285714286"/>
    <n v="0.21428571428571427"/>
    <n v="0.5714285714285714"/>
  </r>
  <r>
    <n v="40"/>
    <s v="No"/>
    <s v="Travel_Frequently"/>
    <n v="720"/>
    <s v="Research &amp; Development"/>
    <n v="16"/>
    <n v="4"/>
    <s v="Medical"/>
    <n v="1"/>
    <n v="832"/>
    <n v="1"/>
    <s v="Male"/>
    <n v="51"/>
    <n v="2"/>
    <n v="2"/>
    <x v="2"/>
    <n v="3"/>
    <s v="Single"/>
    <n v="5094"/>
    <n v="11983"/>
    <n v="6"/>
    <s v="Y"/>
    <s v="No"/>
    <n v="14"/>
    <n v="3"/>
    <n v="4"/>
    <n v="80"/>
    <n v="0"/>
    <n v="10"/>
    <n v="6"/>
    <n v="3"/>
    <n v="1"/>
    <n v="0"/>
    <x v="0"/>
    <n v="0"/>
    <s v="OK"/>
    <s v="OK"/>
    <s v="OK"/>
    <s v="OK"/>
    <n v="0"/>
    <n v="0"/>
    <n v="6"/>
    <n v="0"/>
  </r>
  <r>
    <n v="30"/>
    <s v="No"/>
    <s v="Travel_Rarely"/>
    <n v="946"/>
    <s v="Research &amp; Development"/>
    <n v="2"/>
    <n v="3"/>
    <s v="Medical"/>
    <n v="1"/>
    <n v="833"/>
    <n v="3"/>
    <s v="Female"/>
    <n v="52"/>
    <n v="2"/>
    <n v="2"/>
    <x v="3"/>
    <n v="4"/>
    <s v="Single"/>
    <n v="6877"/>
    <n v="20234"/>
    <n v="5"/>
    <s v="Y"/>
    <s v="Yes"/>
    <n v="24"/>
    <n v="4"/>
    <n v="2"/>
    <n v="80"/>
    <n v="0"/>
    <n v="12"/>
    <n v="4"/>
    <n v="2"/>
    <n v="0"/>
    <n v="0"/>
    <x v="0"/>
    <n v="0"/>
    <s v="OK"/>
    <s v="OK"/>
    <s v="OK"/>
    <s v="OK"/>
    <n v="0"/>
    <n v="0"/>
    <n v="0"/>
    <n v="0"/>
  </r>
  <r>
    <n v="45"/>
    <s v="No"/>
    <s v="Travel_Rarely"/>
    <n v="252"/>
    <s v="Research &amp; Development"/>
    <n v="2"/>
    <n v="3"/>
    <s v="Life Sciences"/>
    <n v="1"/>
    <n v="834"/>
    <n v="2"/>
    <s v="Female"/>
    <n v="95"/>
    <n v="2"/>
    <n v="1"/>
    <x v="1"/>
    <n v="3"/>
    <s v="Single"/>
    <n v="2274"/>
    <n v="6153"/>
    <n v="1"/>
    <s v="Y"/>
    <s v="No"/>
    <n v="14"/>
    <n v="3"/>
    <n v="4"/>
    <n v="80"/>
    <n v="0"/>
    <n v="1"/>
    <n v="3"/>
    <n v="3"/>
    <n v="1"/>
    <n v="0"/>
    <x v="0"/>
    <n v="0"/>
    <s v="OK"/>
    <s v="OK"/>
    <s v="OK"/>
    <s v="OK"/>
    <n v="0"/>
    <n v="0"/>
    <n v="3"/>
    <n v="0"/>
  </r>
  <r>
    <n v="42"/>
    <s v="No"/>
    <s v="Travel_Rarely"/>
    <n v="933"/>
    <s v="Research &amp; Development"/>
    <n v="29"/>
    <n v="3"/>
    <s v="Life Sciences"/>
    <n v="1"/>
    <n v="836"/>
    <n v="2"/>
    <s v="Male"/>
    <n v="98"/>
    <n v="3"/>
    <n v="2"/>
    <x v="3"/>
    <n v="2"/>
    <s v="Married"/>
    <n v="4434"/>
    <n v="11806"/>
    <n v="1"/>
    <s v="Y"/>
    <s v="No"/>
    <n v="13"/>
    <n v="3"/>
    <n v="4"/>
    <n v="80"/>
    <n v="1"/>
    <n v="10"/>
    <n v="3"/>
    <n v="2"/>
    <n v="9"/>
    <n v="8"/>
    <x v="4"/>
    <n v="8"/>
    <s v="OK"/>
    <s v="OK"/>
    <s v="OK"/>
    <s v="OK"/>
    <n v="0.77777777777777779"/>
    <n v="0.88888888888888884"/>
    <n v="0.33333333333333331"/>
    <n v="0.88888888888888884"/>
  </r>
  <r>
    <n v="38"/>
    <s v="No"/>
    <s v="Travel_Frequently"/>
    <n v="471"/>
    <s v="Research &amp; Development"/>
    <n v="12"/>
    <n v="3"/>
    <s v="Life Sciences"/>
    <n v="1"/>
    <n v="837"/>
    <n v="1"/>
    <s v="Male"/>
    <n v="45"/>
    <n v="2"/>
    <n v="2"/>
    <x v="4"/>
    <n v="1"/>
    <s v="Divorced"/>
    <n v="6288"/>
    <n v="4284"/>
    <n v="2"/>
    <s v="Y"/>
    <s v="No"/>
    <n v="15"/>
    <n v="3"/>
    <n v="3"/>
    <n v="80"/>
    <n v="1"/>
    <n v="13"/>
    <n v="3"/>
    <n v="2"/>
    <n v="4"/>
    <n v="3"/>
    <x v="1"/>
    <n v="2"/>
    <s v="OK"/>
    <s v="OK"/>
    <s v="OK"/>
    <s v="OK"/>
    <n v="0.25"/>
    <n v="0.75"/>
    <n v="0.75"/>
    <n v="0.5"/>
  </r>
  <r>
    <n v="34"/>
    <s v="No"/>
    <s v="Travel_Frequently"/>
    <n v="702"/>
    <s v="Research &amp; Development"/>
    <n v="16"/>
    <n v="4"/>
    <s v="Life Sciences"/>
    <n v="1"/>
    <n v="838"/>
    <n v="3"/>
    <s v="Female"/>
    <n v="100"/>
    <n v="2"/>
    <n v="1"/>
    <x v="1"/>
    <n v="4"/>
    <s v="Single"/>
    <n v="2553"/>
    <n v="8306"/>
    <n v="1"/>
    <s v="Y"/>
    <s v="No"/>
    <n v="16"/>
    <n v="3"/>
    <n v="3"/>
    <n v="80"/>
    <n v="0"/>
    <n v="6"/>
    <n v="3"/>
    <n v="3"/>
    <n v="5"/>
    <n v="2"/>
    <x v="1"/>
    <n v="3"/>
    <s v="OK"/>
    <s v="OK"/>
    <s v="OK"/>
    <s v="OK"/>
    <n v="0.2"/>
    <n v="0.4"/>
    <n v="0.6"/>
    <n v="0.6"/>
  </r>
  <r>
    <n v="49"/>
    <s v="Yes"/>
    <s v="Travel_Rarely"/>
    <n v="1184"/>
    <s v="Sales"/>
    <n v="11"/>
    <n v="3"/>
    <s v="Marketing"/>
    <n v="1"/>
    <n v="840"/>
    <n v="3"/>
    <s v="Female"/>
    <n v="43"/>
    <n v="3"/>
    <n v="3"/>
    <x v="0"/>
    <n v="4"/>
    <s v="Married"/>
    <n v="7654"/>
    <n v="5860"/>
    <n v="1"/>
    <s v="Y"/>
    <s v="No"/>
    <n v="18"/>
    <n v="3"/>
    <n v="1"/>
    <n v="80"/>
    <n v="2"/>
    <n v="9"/>
    <n v="3"/>
    <n v="4"/>
    <n v="9"/>
    <n v="8"/>
    <x v="4"/>
    <n v="7"/>
    <s v="OK"/>
    <s v="OK"/>
    <s v="OK"/>
    <s v="OK"/>
    <n v="0.77777777777777779"/>
    <n v="0.88888888888888884"/>
    <n v="0.33333333333333331"/>
    <n v="0.77777777777777779"/>
  </r>
  <r>
    <n v="55"/>
    <s v="Yes"/>
    <s v="Travel_Rarely"/>
    <n v="436"/>
    <s v="Sales"/>
    <n v="2"/>
    <n v="1"/>
    <s v="Medical"/>
    <n v="1"/>
    <n v="842"/>
    <n v="3"/>
    <s v="Male"/>
    <n v="37"/>
    <n v="3"/>
    <n v="2"/>
    <x v="0"/>
    <n v="4"/>
    <s v="Single"/>
    <n v="5160"/>
    <n v="21519"/>
    <n v="4"/>
    <s v="Y"/>
    <s v="No"/>
    <n v="16"/>
    <n v="3"/>
    <n v="3"/>
    <n v="80"/>
    <n v="0"/>
    <n v="12"/>
    <n v="3"/>
    <n v="2"/>
    <n v="9"/>
    <n v="7"/>
    <x v="4"/>
    <n v="3"/>
    <s v="OK"/>
    <s v="OK"/>
    <s v="OK"/>
    <s v="OK"/>
    <n v="0.77777777777777779"/>
    <n v="0.77777777777777779"/>
    <n v="0.33333333333333331"/>
    <n v="0.33333333333333331"/>
  </r>
  <r>
    <n v="43"/>
    <s v="No"/>
    <s v="Travel_Rarely"/>
    <n v="589"/>
    <s v="Research &amp; Development"/>
    <n v="14"/>
    <n v="2"/>
    <s v="Life Sciences"/>
    <n v="1"/>
    <n v="843"/>
    <n v="2"/>
    <s v="Male"/>
    <n v="94"/>
    <n v="3"/>
    <n v="4"/>
    <x v="7"/>
    <n v="1"/>
    <s v="Married"/>
    <n v="17159"/>
    <n v="5200"/>
    <n v="6"/>
    <s v="Y"/>
    <s v="No"/>
    <n v="24"/>
    <n v="4"/>
    <n v="3"/>
    <n v="80"/>
    <n v="1"/>
    <n v="22"/>
    <n v="3"/>
    <n v="3"/>
    <n v="4"/>
    <n v="1"/>
    <x v="1"/>
    <n v="0"/>
    <s v="OK"/>
    <s v="OK"/>
    <s v="OK"/>
    <s v="OK"/>
    <n v="0.25"/>
    <n v="0.25"/>
    <n v="0.75"/>
    <n v="0"/>
  </r>
  <r>
    <n v="27"/>
    <s v="No"/>
    <s v="Travel_Rarely"/>
    <n v="269"/>
    <s v="Research &amp; Development"/>
    <n v="5"/>
    <n v="1"/>
    <s v="Technical Degree"/>
    <n v="1"/>
    <n v="844"/>
    <n v="3"/>
    <s v="Male"/>
    <n v="42"/>
    <n v="2"/>
    <n v="3"/>
    <x v="7"/>
    <n v="4"/>
    <s v="Divorced"/>
    <n v="12808"/>
    <n v="8842"/>
    <n v="1"/>
    <s v="Y"/>
    <s v="Yes"/>
    <n v="16"/>
    <n v="3"/>
    <n v="2"/>
    <n v="80"/>
    <n v="1"/>
    <n v="9"/>
    <n v="3"/>
    <n v="3"/>
    <n v="9"/>
    <n v="8"/>
    <x v="0"/>
    <n v="8"/>
    <s v="OK"/>
    <s v="OK"/>
    <s v="OK"/>
    <s v="OK"/>
    <n v="0"/>
    <n v="0.88888888888888884"/>
    <n v="0.33333333333333331"/>
    <n v="0.88888888888888884"/>
  </r>
  <r>
    <n v="35"/>
    <s v="No"/>
    <s v="Travel_Rarely"/>
    <n v="950"/>
    <s v="Research &amp; Development"/>
    <n v="7"/>
    <n v="3"/>
    <s v="Other"/>
    <n v="1"/>
    <n v="845"/>
    <n v="3"/>
    <s v="Male"/>
    <n v="59"/>
    <n v="3"/>
    <n v="3"/>
    <x v="3"/>
    <n v="3"/>
    <s v="Single"/>
    <n v="10221"/>
    <n v="18869"/>
    <n v="3"/>
    <s v="Y"/>
    <s v="No"/>
    <n v="21"/>
    <n v="4"/>
    <n v="2"/>
    <n v="80"/>
    <n v="0"/>
    <n v="17"/>
    <n v="3"/>
    <n v="4"/>
    <n v="8"/>
    <n v="5"/>
    <x v="1"/>
    <n v="6"/>
    <s v="OK"/>
    <s v="OK"/>
    <s v="OK"/>
    <s v="OK"/>
    <n v="0.125"/>
    <n v="0.625"/>
    <n v="0.375"/>
    <n v="0.75"/>
  </r>
  <r>
    <n v="28"/>
    <s v="No"/>
    <s v="Travel_Rarely"/>
    <n v="760"/>
    <s v="Sales"/>
    <n v="2"/>
    <n v="4"/>
    <s v="Marketing"/>
    <n v="1"/>
    <n v="846"/>
    <n v="2"/>
    <s v="Female"/>
    <n v="81"/>
    <n v="3"/>
    <n v="2"/>
    <x v="0"/>
    <n v="2"/>
    <s v="Married"/>
    <n v="4779"/>
    <n v="3698"/>
    <n v="1"/>
    <s v="Y"/>
    <s v="Yes"/>
    <n v="20"/>
    <n v="4"/>
    <n v="1"/>
    <n v="80"/>
    <n v="0"/>
    <n v="8"/>
    <n v="2"/>
    <n v="3"/>
    <n v="8"/>
    <n v="7"/>
    <x v="4"/>
    <n v="5"/>
    <s v="OK"/>
    <s v="OK"/>
    <s v="OK"/>
    <s v="OK"/>
    <n v="0.875"/>
    <n v="0.875"/>
    <n v="0.25"/>
    <n v="0.625"/>
  </r>
  <r>
    <n v="34"/>
    <s v="No"/>
    <s v="Travel_Rarely"/>
    <n v="829"/>
    <s v="Human Resources"/>
    <n v="3"/>
    <n v="2"/>
    <s v="Human Resources"/>
    <n v="1"/>
    <n v="847"/>
    <n v="3"/>
    <s v="Male"/>
    <n v="88"/>
    <n v="3"/>
    <n v="1"/>
    <x v="8"/>
    <n v="4"/>
    <s v="Married"/>
    <n v="3737"/>
    <n v="2243"/>
    <n v="0"/>
    <s v="Y"/>
    <s v="No"/>
    <n v="19"/>
    <n v="3"/>
    <n v="3"/>
    <n v="80"/>
    <n v="1"/>
    <n v="4"/>
    <n v="1"/>
    <n v="1"/>
    <n v="3"/>
    <n v="2"/>
    <x v="0"/>
    <n v="2"/>
    <s v="OK"/>
    <s v="OK"/>
    <s v="OK"/>
    <s v="OK"/>
    <n v="0"/>
    <n v="0.66666666666666663"/>
    <n v="0.33333333333333331"/>
    <n v="0.66666666666666663"/>
  </r>
  <r>
    <n v="26"/>
    <s v="Yes"/>
    <s v="Travel_Frequently"/>
    <n v="887"/>
    <s v="Research &amp; Development"/>
    <n v="5"/>
    <n v="2"/>
    <s v="Medical"/>
    <n v="1"/>
    <n v="848"/>
    <n v="3"/>
    <s v="Female"/>
    <n v="88"/>
    <n v="2"/>
    <n v="1"/>
    <x v="1"/>
    <n v="3"/>
    <s v="Married"/>
    <n v="2366"/>
    <n v="20898"/>
    <n v="1"/>
    <s v="Y"/>
    <s v="Yes"/>
    <n v="14"/>
    <n v="3"/>
    <n v="1"/>
    <n v="80"/>
    <n v="1"/>
    <n v="8"/>
    <n v="2"/>
    <n v="3"/>
    <n v="8"/>
    <n v="7"/>
    <x v="1"/>
    <n v="7"/>
    <s v="OK"/>
    <s v="OK"/>
    <s v="OK"/>
    <s v="OK"/>
    <n v="0.125"/>
    <n v="0.875"/>
    <n v="0.25"/>
    <n v="0.875"/>
  </r>
  <r>
    <n v="27"/>
    <s v="No"/>
    <s v="Non-Travel"/>
    <n v="443"/>
    <s v="Research &amp; Development"/>
    <n v="3"/>
    <n v="3"/>
    <s v="Medical"/>
    <n v="1"/>
    <n v="850"/>
    <n v="4"/>
    <s v="Male"/>
    <n v="50"/>
    <n v="3"/>
    <n v="1"/>
    <x v="1"/>
    <n v="4"/>
    <s v="Married"/>
    <n v="1706"/>
    <n v="16571"/>
    <n v="1"/>
    <s v="Y"/>
    <s v="No"/>
    <n v="11"/>
    <n v="3"/>
    <n v="3"/>
    <n v="80"/>
    <n v="3"/>
    <n v="0"/>
    <n v="6"/>
    <n v="2"/>
    <n v="0"/>
    <n v="0"/>
    <x v="0"/>
    <n v="0"/>
    <s v="OK"/>
    <s v="OK"/>
    <s v="OK"/>
    <s v="OK"/>
    <n v="0"/>
    <n v="0"/>
    <n v="0"/>
    <n v="0"/>
  </r>
  <r>
    <n v="51"/>
    <s v="No"/>
    <s v="Travel_Rarely"/>
    <n v="1318"/>
    <s v="Sales"/>
    <n v="26"/>
    <n v="4"/>
    <s v="Marketing"/>
    <n v="1"/>
    <n v="851"/>
    <n v="1"/>
    <s v="Female"/>
    <n v="66"/>
    <n v="3"/>
    <n v="4"/>
    <x v="5"/>
    <n v="3"/>
    <s v="Married"/>
    <n v="16307"/>
    <n v="5594"/>
    <n v="2"/>
    <s v="Y"/>
    <s v="No"/>
    <n v="14"/>
    <n v="3"/>
    <n v="3"/>
    <n v="80"/>
    <n v="1"/>
    <n v="29"/>
    <n v="2"/>
    <n v="2"/>
    <n v="20"/>
    <n v="6"/>
    <x v="5"/>
    <n v="17"/>
    <s v="OK"/>
    <s v="OK"/>
    <s v="OK"/>
    <s v="OK"/>
    <n v="0.2"/>
    <n v="0.3"/>
    <n v="0.1"/>
    <n v="0.85"/>
  </r>
  <r>
    <n v="44"/>
    <s v="No"/>
    <s v="Travel_Rarely"/>
    <n v="625"/>
    <s v="Research &amp; Development"/>
    <n v="4"/>
    <n v="3"/>
    <s v="Medical"/>
    <n v="1"/>
    <n v="852"/>
    <n v="4"/>
    <s v="Male"/>
    <n v="50"/>
    <n v="3"/>
    <n v="2"/>
    <x v="4"/>
    <n v="2"/>
    <s v="Single"/>
    <n v="5933"/>
    <n v="5197"/>
    <n v="9"/>
    <s v="Y"/>
    <s v="No"/>
    <n v="12"/>
    <n v="3"/>
    <n v="4"/>
    <n v="80"/>
    <n v="0"/>
    <n v="10"/>
    <n v="2"/>
    <n v="2"/>
    <n v="5"/>
    <n v="2"/>
    <x v="3"/>
    <n v="3"/>
    <s v="OK"/>
    <s v="OK"/>
    <s v="OK"/>
    <s v="OK"/>
    <n v="0.4"/>
    <n v="0.4"/>
    <n v="0.4"/>
    <n v="0.6"/>
  </r>
  <r>
    <n v="25"/>
    <s v="No"/>
    <s v="Travel_Rarely"/>
    <n v="180"/>
    <s v="Research &amp; Development"/>
    <n v="2"/>
    <n v="1"/>
    <s v="Medical"/>
    <n v="1"/>
    <n v="854"/>
    <n v="1"/>
    <s v="Male"/>
    <n v="65"/>
    <n v="4"/>
    <n v="1"/>
    <x v="1"/>
    <n v="1"/>
    <s v="Single"/>
    <n v="3424"/>
    <n v="21632"/>
    <n v="7"/>
    <s v="Y"/>
    <s v="No"/>
    <n v="13"/>
    <n v="3"/>
    <n v="3"/>
    <n v="80"/>
    <n v="0"/>
    <n v="6"/>
    <n v="3"/>
    <n v="2"/>
    <n v="4"/>
    <n v="3"/>
    <x v="0"/>
    <n v="1"/>
    <s v="OK"/>
    <s v="OK"/>
    <s v="OK"/>
    <s v="OK"/>
    <n v="0"/>
    <n v="0.75"/>
    <n v="0.75"/>
    <n v="0.25"/>
  </r>
  <r>
    <n v="33"/>
    <s v="No"/>
    <s v="Travel_Rarely"/>
    <n v="586"/>
    <s v="Sales"/>
    <n v="1"/>
    <n v="3"/>
    <s v="Medical"/>
    <n v="1"/>
    <n v="855"/>
    <n v="1"/>
    <s v="Male"/>
    <n v="48"/>
    <n v="4"/>
    <n v="2"/>
    <x v="0"/>
    <n v="1"/>
    <s v="Divorced"/>
    <n v="4037"/>
    <n v="21816"/>
    <n v="1"/>
    <s v="Y"/>
    <s v="No"/>
    <n v="22"/>
    <n v="4"/>
    <n v="1"/>
    <n v="80"/>
    <n v="1"/>
    <n v="9"/>
    <n v="5"/>
    <n v="3"/>
    <n v="9"/>
    <n v="8"/>
    <x v="0"/>
    <n v="8"/>
    <s v="OK"/>
    <s v="OK"/>
    <s v="OK"/>
    <s v="OK"/>
    <n v="0"/>
    <n v="0.88888888888888884"/>
    <n v="0.55555555555555558"/>
    <n v="0.88888888888888884"/>
  </r>
  <r>
    <n v="35"/>
    <s v="No"/>
    <s v="Travel_Rarely"/>
    <n v="1343"/>
    <s v="Research &amp; Development"/>
    <n v="27"/>
    <n v="1"/>
    <s v="Medical"/>
    <n v="1"/>
    <n v="856"/>
    <n v="3"/>
    <s v="Female"/>
    <n v="53"/>
    <n v="2"/>
    <n v="1"/>
    <x v="1"/>
    <n v="1"/>
    <s v="Single"/>
    <n v="2559"/>
    <n v="17852"/>
    <n v="1"/>
    <s v="Y"/>
    <s v="No"/>
    <n v="11"/>
    <n v="3"/>
    <n v="4"/>
    <n v="80"/>
    <n v="0"/>
    <n v="6"/>
    <n v="3"/>
    <n v="2"/>
    <n v="6"/>
    <n v="5"/>
    <x v="1"/>
    <n v="1"/>
    <s v="OK"/>
    <s v="OK"/>
    <s v="OK"/>
    <s v="OK"/>
    <n v="0.16666666666666666"/>
    <n v="0.83333333333333337"/>
    <n v="0.5"/>
    <n v="0.16666666666666666"/>
  </r>
  <r>
    <n v="36"/>
    <s v="No"/>
    <s v="Travel_Rarely"/>
    <n v="928"/>
    <s v="Sales"/>
    <n v="1"/>
    <n v="2"/>
    <s v="Life Sciences"/>
    <n v="1"/>
    <n v="857"/>
    <n v="2"/>
    <s v="Male"/>
    <n v="56"/>
    <n v="3"/>
    <n v="2"/>
    <x v="0"/>
    <n v="4"/>
    <s v="Married"/>
    <n v="6201"/>
    <n v="2823"/>
    <n v="1"/>
    <s v="Y"/>
    <s v="Yes"/>
    <n v="14"/>
    <n v="3"/>
    <n v="4"/>
    <n v="80"/>
    <n v="1"/>
    <n v="18"/>
    <n v="1"/>
    <n v="2"/>
    <n v="18"/>
    <n v="14"/>
    <x v="5"/>
    <n v="11"/>
    <s v="OK"/>
    <s v="OK"/>
    <s v="OK"/>
    <s v="OK"/>
    <n v="0.22222222222222221"/>
    <n v="0.77777777777777779"/>
    <n v="5.5555555555555552E-2"/>
    <n v="0.61111111111111116"/>
  </r>
  <r>
    <n v="32"/>
    <s v="No"/>
    <s v="Travel_Rarely"/>
    <n v="117"/>
    <s v="Sales"/>
    <n v="13"/>
    <n v="4"/>
    <s v="Life Sciences"/>
    <n v="1"/>
    <n v="859"/>
    <n v="2"/>
    <s v="Male"/>
    <n v="73"/>
    <n v="3"/>
    <n v="2"/>
    <x v="0"/>
    <n v="4"/>
    <s v="Divorced"/>
    <n v="4403"/>
    <n v="9250"/>
    <n v="2"/>
    <s v="Y"/>
    <s v="No"/>
    <n v="11"/>
    <n v="3"/>
    <n v="3"/>
    <n v="80"/>
    <n v="1"/>
    <n v="8"/>
    <n v="3"/>
    <n v="2"/>
    <n v="5"/>
    <n v="2"/>
    <x v="0"/>
    <n v="3"/>
    <s v="OK"/>
    <s v="OK"/>
    <s v="OK"/>
    <s v="OK"/>
    <n v="0"/>
    <n v="0.4"/>
    <n v="0.6"/>
    <n v="0.6"/>
  </r>
  <r>
    <n v="30"/>
    <s v="No"/>
    <s v="Travel_Frequently"/>
    <n v="1012"/>
    <s v="Research &amp; Development"/>
    <n v="5"/>
    <n v="4"/>
    <s v="Life Sciences"/>
    <n v="1"/>
    <n v="861"/>
    <n v="2"/>
    <s v="Male"/>
    <n v="75"/>
    <n v="2"/>
    <n v="1"/>
    <x v="1"/>
    <n v="4"/>
    <s v="Divorced"/>
    <n v="3761"/>
    <n v="2373"/>
    <n v="9"/>
    <s v="Y"/>
    <s v="No"/>
    <n v="12"/>
    <n v="3"/>
    <n v="2"/>
    <n v="80"/>
    <n v="1"/>
    <n v="10"/>
    <n v="3"/>
    <n v="2"/>
    <n v="5"/>
    <n v="4"/>
    <x v="0"/>
    <n v="3"/>
    <s v="OK"/>
    <s v="OK"/>
    <s v="OK"/>
    <s v="OK"/>
    <n v="0"/>
    <n v="0.8"/>
    <n v="0.6"/>
    <n v="0.6"/>
  </r>
  <r>
    <n v="53"/>
    <s v="No"/>
    <s v="Travel_Rarely"/>
    <n v="661"/>
    <s v="Sales"/>
    <n v="7"/>
    <n v="2"/>
    <s v="Marketing"/>
    <n v="1"/>
    <n v="862"/>
    <n v="1"/>
    <s v="Female"/>
    <n v="78"/>
    <n v="2"/>
    <n v="3"/>
    <x v="0"/>
    <n v="4"/>
    <s v="Married"/>
    <n v="10934"/>
    <n v="20715"/>
    <n v="7"/>
    <s v="Y"/>
    <s v="Yes"/>
    <n v="18"/>
    <n v="3"/>
    <n v="4"/>
    <n v="80"/>
    <n v="1"/>
    <n v="35"/>
    <n v="3"/>
    <n v="3"/>
    <n v="5"/>
    <n v="2"/>
    <x v="0"/>
    <n v="4"/>
    <s v="OK"/>
    <s v="OK"/>
    <s v="OK"/>
    <s v="OK"/>
    <n v="0"/>
    <n v="0.4"/>
    <n v="0.6"/>
    <n v="0.8"/>
  </r>
  <r>
    <n v="45"/>
    <s v="No"/>
    <s v="Travel_Rarely"/>
    <n v="930"/>
    <s v="Sales"/>
    <n v="9"/>
    <n v="3"/>
    <s v="Marketing"/>
    <n v="1"/>
    <n v="864"/>
    <n v="4"/>
    <s v="Male"/>
    <n v="74"/>
    <n v="3"/>
    <n v="3"/>
    <x v="0"/>
    <n v="1"/>
    <s v="Divorced"/>
    <n v="10761"/>
    <n v="19239"/>
    <n v="4"/>
    <s v="Y"/>
    <s v="Yes"/>
    <n v="12"/>
    <n v="3"/>
    <n v="3"/>
    <n v="80"/>
    <n v="1"/>
    <n v="18"/>
    <n v="2"/>
    <n v="3"/>
    <n v="5"/>
    <n v="4"/>
    <x v="0"/>
    <n v="2"/>
    <s v="OK"/>
    <s v="OK"/>
    <s v="OK"/>
    <s v="OK"/>
    <n v="0"/>
    <n v="0.8"/>
    <n v="0.4"/>
    <n v="0.4"/>
  </r>
  <r>
    <n v="32"/>
    <s v="No"/>
    <s v="Travel_Rarely"/>
    <n v="638"/>
    <s v="Research &amp; Development"/>
    <n v="8"/>
    <n v="2"/>
    <s v="Medical"/>
    <n v="1"/>
    <n v="865"/>
    <n v="3"/>
    <s v="Female"/>
    <n v="91"/>
    <n v="4"/>
    <n v="2"/>
    <x v="1"/>
    <n v="3"/>
    <s v="Married"/>
    <n v="5175"/>
    <n v="22162"/>
    <n v="5"/>
    <s v="Y"/>
    <s v="No"/>
    <n v="12"/>
    <n v="3"/>
    <n v="3"/>
    <n v="80"/>
    <n v="1"/>
    <n v="9"/>
    <n v="3"/>
    <n v="2"/>
    <n v="5"/>
    <n v="3"/>
    <x v="1"/>
    <n v="3"/>
    <s v="OK"/>
    <s v="OK"/>
    <s v="OK"/>
    <s v="OK"/>
    <n v="0.2"/>
    <n v="0.6"/>
    <n v="0.6"/>
    <n v="0.6"/>
  </r>
  <r>
    <n v="52"/>
    <s v="No"/>
    <s v="Travel_Frequently"/>
    <n v="890"/>
    <s v="Research &amp; Development"/>
    <n v="25"/>
    <n v="4"/>
    <s v="Medical"/>
    <n v="1"/>
    <n v="867"/>
    <n v="3"/>
    <s v="Female"/>
    <n v="81"/>
    <n v="2"/>
    <n v="4"/>
    <x v="3"/>
    <n v="4"/>
    <s v="Married"/>
    <n v="13826"/>
    <n v="19028"/>
    <n v="3"/>
    <s v="Y"/>
    <s v="No"/>
    <n v="22"/>
    <n v="4"/>
    <n v="3"/>
    <n v="80"/>
    <n v="0"/>
    <n v="31"/>
    <n v="3"/>
    <n v="3"/>
    <n v="9"/>
    <n v="8"/>
    <x v="0"/>
    <n v="0"/>
    <s v="OK"/>
    <s v="OK"/>
    <s v="OK"/>
    <s v="OK"/>
    <n v="0"/>
    <n v="0.88888888888888884"/>
    <n v="0.33333333333333331"/>
    <n v="0"/>
  </r>
  <r>
    <n v="37"/>
    <s v="No"/>
    <s v="Travel_Rarely"/>
    <n v="342"/>
    <s v="Sales"/>
    <n v="16"/>
    <n v="4"/>
    <s v="Marketing"/>
    <n v="1"/>
    <n v="868"/>
    <n v="4"/>
    <s v="Male"/>
    <n v="66"/>
    <n v="2"/>
    <n v="2"/>
    <x v="0"/>
    <n v="3"/>
    <s v="Divorced"/>
    <n v="6334"/>
    <n v="24558"/>
    <n v="4"/>
    <s v="Y"/>
    <s v="No"/>
    <n v="19"/>
    <n v="3"/>
    <n v="4"/>
    <n v="80"/>
    <n v="2"/>
    <n v="9"/>
    <n v="2"/>
    <n v="3"/>
    <n v="1"/>
    <n v="0"/>
    <x v="0"/>
    <n v="0"/>
    <s v="OK"/>
    <s v="OK"/>
    <s v="OK"/>
    <s v="OK"/>
    <n v="0"/>
    <n v="0"/>
    <n v="2"/>
    <n v="0"/>
  </r>
  <r>
    <n v="28"/>
    <s v="No"/>
    <s v="Travel_Rarely"/>
    <n v="1169"/>
    <s v="Human Resources"/>
    <n v="8"/>
    <n v="2"/>
    <s v="Medical"/>
    <n v="1"/>
    <n v="869"/>
    <n v="2"/>
    <s v="Male"/>
    <n v="63"/>
    <n v="2"/>
    <n v="1"/>
    <x v="8"/>
    <n v="4"/>
    <s v="Divorced"/>
    <n v="4936"/>
    <n v="23965"/>
    <n v="1"/>
    <s v="Y"/>
    <s v="No"/>
    <n v="13"/>
    <n v="3"/>
    <n v="4"/>
    <n v="80"/>
    <n v="1"/>
    <n v="6"/>
    <n v="6"/>
    <n v="3"/>
    <n v="5"/>
    <n v="1"/>
    <x v="0"/>
    <n v="4"/>
    <s v="OK"/>
    <s v="OK"/>
    <s v="OK"/>
    <s v="OK"/>
    <n v="0"/>
    <n v="0.2"/>
    <n v="1.2"/>
    <n v="0.8"/>
  </r>
  <r>
    <n v="22"/>
    <s v="No"/>
    <s v="Travel_Rarely"/>
    <n v="1230"/>
    <s v="Research &amp; Development"/>
    <n v="1"/>
    <n v="2"/>
    <s v="Life Sciences"/>
    <n v="1"/>
    <n v="872"/>
    <n v="4"/>
    <s v="Male"/>
    <n v="33"/>
    <n v="2"/>
    <n v="2"/>
    <x v="3"/>
    <n v="4"/>
    <s v="Married"/>
    <n v="4775"/>
    <n v="19146"/>
    <n v="6"/>
    <s v="Y"/>
    <s v="No"/>
    <n v="22"/>
    <n v="4"/>
    <n v="1"/>
    <n v="80"/>
    <n v="2"/>
    <n v="4"/>
    <n v="2"/>
    <n v="1"/>
    <n v="2"/>
    <n v="2"/>
    <x v="3"/>
    <n v="2"/>
    <s v="OK"/>
    <s v="OK"/>
    <s v="OK"/>
    <s v="OK"/>
    <n v="1"/>
    <n v="1"/>
    <n v="1"/>
    <n v="1"/>
  </r>
  <r>
    <n v="44"/>
    <s v="No"/>
    <s v="Travel_Rarely"/>
    <n v="986"/>
    <s v="Research &amp; Development"/>
    <n v="8"/>
    <n v="4"/>
    <s v="Life Sciences"/>
    <n v="1"/>
    <n v="874"/>
    <n v="1"/>
    <s v="Male"/>
    <n v="62"/>
    <n v="4"/>
    <n v="1"/>
    <x v="2"/>
    <n v="4"/>
    <s v="Married"/>
    <n v="2818"/>
    <n v="5044"/>
    <n v="2"/>
    <s v="Y"/>
    <s v="Yes"/>
    <n v="24"/>
    <n v="4"/>
    <n v="3"/>
    <n v="80"/>
    <n v="1"/>
    <n v="10"/>
    <n v="2"/>
    <n v="2"/>
    <n v="3"/>
    <n v="2"/>
    <x v="0"/>
    <n v="2"/>
    <s v="OK"/>
    <s v="OK"/>
    <s v="OK"/>
    <s v="OK"/>
    <n v="0"/>
    <n v="0.66666666666666663"/>
    <n v="0.66666666666666663"/>
    <n v="0.66666666666666663"/>
  </r>
  <r>
    <n v="42"/>
    <s v="No"/>
    <s v="Travel_Frequently"/>
    <n v="1271"/>
    <s v="Research &amp; Development"/>
    <n v="2"/>
    <n v="1"/>
    <s v="Medical"/>
    <n v="1"/>
    <n v="875"/>
    <n v="2"/>
    <s v="Male"/>
    <n v="35"/>
    <n v="3"/>
    <n v="1"/>
    <x v="1"/>
    <n v="4"/>
    <s v="Single"/>
    <n v="2515"/>
    <n v="9068"/>
    <n v="5"/>
    <s v="Y"/>
    <s v="Yes"/>
    <n v="14"/>
    <n v="3"/>
    <n v="4"/>
    <n v="80"/>
    <n v="0"/>
    <n v="8"/>
    <n v="2"/>
    <n v="3"/>
    <n v="2"/>
    <n v="1"/>
    <x v="3"/>
    <n v="2"/>
    <s v="OK"/>
    <s v="OK"/>
    <s v="OK"/>
    <s v="OK"/>
    <n v="1"/>
    <n v="0.5"/>
    <n v="1"/>
    <n v="1"/>
  </r>
  <r>
    <n v="36"/>
    <s v="No"/>
    <s v="Travel_Rarely"/>
    <n v="1278"/>
    <s v="Human Resources"/>
    <n v="8"/>
    <n v="3"/>
    <s v="Life Sciences"/>
    <n v="1"/>
    <n v="878"/>
    <n v="1"/>
    <s v="Male"/>
    <n v="77"/>
    <n v="2"/>
    <n v="1"/>
    <x v="8"/>
    <n v="1"/>
    <s v="Married"/>
    <n v="2342"/>
    <n v="8635"/>
    <n v="0"/>
    <s v="Y"/>
    <s v="No"/>
    <n v="21"/>
    <n v="4"/>
    <n v="3"/>
    <n v="80"/>
    <n v="0"/>
    <n v="6"/>
    <n v="3"/>
    <n v="3"/>
    <n v="5"/>
    <n v="4"/>
    <x v="0"/>
    <n v="3"/>
    <s v="OK"/>
    <s v="OK"/>
    <s v="OK"/>
    <s v="OK"/>
    <n v="0"/>
    <n v="0.8"/>
    <n v="0.6"/>
    <n v="0.6"/>
  </r>
  <r>
    <n v="25"/>
    <s v="No"/>
    <s v="Travel_Rarely"/>
    <n v="141"/>
    <s v="Sales"/>
    <n v="3"/>
    <n v="1"/>
    <s v="Other"/>
    <n v="1"/>
    <n v="879"/>
    <n v="3"/>
    <s v="Male"/>
    <n v="98"/>
    <n v="3"/>
    <n v="2"/>
    <x v="0"/>
    <n v="1"/>
    <s v="Married"/>
    <n v="4194"/>
    <n v="14363"/>
    <n v="1"/>
    <s v="Y"/>
    <s v="Yes"/>
    <n v="18"/>
    <n v="3"/>
    <n v="4"/>
    <n v="80"/>
    <n v="0"/>
    <n v="5"/>
    <n v="3"/>
    <n v="3"/>
    <n v="5"/>
    <n v="3"/>
    <x v="0"/>
    <n v="3"/>
    <s v="OK"/>
    <s v="OK"/>
    <s v="OK"/>
    <s v="OK"/>
    <n v="0"/>
    <n v="0.6"/>
    <n v="0.6"/>
    <n v="0.6"/>
  </r>
  <r>
    <n v="35"/>
    <s v="No"/>
    <s v="Travel_Rarely"/>
    <n v="607"/>
    <s v="Research &amp; Development"/>
    <n v="9"/>
    <n v="3"/>
    <s v="Life Sciences"/>
    <n v="1"/>
    <n v="880"/>
    <n v="4"/>
    <s v="Female"/>
    <n v="66"/>
    <n v="2"/>
    <n v="3"/>
    <x v="3"/>
    <n v="3"/>
    <s v="Married"/>
    <n v="10685"/>
    <n v="23457"/>
    <n v="1"/>
    <s v="Y"/>
    <s v="Yes"/>
    <n v="20"/>
    <n v="4"/>
    <n v="2"/>
    <n v="80"/>
    <n v="1"/>
    <n v="17"/>
    <n v="2"/>
    <n v="3"/>
    <n v="17"/>
    <n v="14"/>
    <x v="8"/>
    <n v="15"/>
    <s v="OK"/>
    <s v="OK"/>
    <s v="OK"/>
    <s v="OK"/>
    <n v="0.29411764705882354"/>
    <n v="0.82352941176470584"/>
    <n v="0.11764705882352941"/>
    <n v="0.88235294117647056"/>
  </r>
  <r>
    <n v="35"/>
    <s v="Yes"/>
    <s v="Travel_Frequently"/>
    <n v="130"/>
    <s v="Research &amp; Development"/>
    <n v="25"/>
    <n v="4"/>
    <s v="Life Sciences"/>
    <n v="1"/>
    <n v="881"/>
    <n v="4"/>
    <s v="Female"/>
    <n v="96"/>
    <n v="3"/>
    <n v="1"/>
    <x v="1"/>
    <n v="2"/>
    <s v="Divorced"/>
    <n v="2022"/>
    <n v="16612"/>
    <n v="1"/>
    <s v="Y"/>
    <s v="Yes"/>
    <n v="19"/>
    <n v="3"/>
    <n v="1"/>
    <n v="80"/>
    <n v="1"/>
    <n v="10"/>
    <n v="3"/>
    <n v="2"/>
    <n v="10"/>
    <n v="2"/>
    <x v="4"/>
    <n v="8"/>
    <s v="OK"/>
    <s v="OK"/>
    <s v="OK"/>
    <s v="OK"/>
    <n v="0.7"/>
    <n v="0.2"/>
    <n v="0.3"/>
    <n v="0.8"/>
  </r>
  <r>
    <n v="32"/>
    <s v="No"/>
    <s v="Non-Travel"/>
    <n v="300"/>
    <s v="Research &amp; Development"/>
    <n v="1"/>
    <n v="3"/>
    <s v="Life Sciences"/>
    <n v="1"/>
    <n v="882"/>
    <n v="4"/>
    <s v="Male"/>
    <n v="61"/>
    <n v="3"/>
    <n v="1"/>
    <x v="2"/>
    <n v="4"/>
    <s v="Divorced"/>
    <n v="2314"/>
    <n v="9148"/>
    <n v="0"/>
    <s v="Y"/>
    <s v="No"/>
    <n v="12"/>
    <n v="3"/>
    <n v="2"/>
    <n v="80"/>
    <n v="1"/>
    <n v="4"/>
    <n v="2"/>
    <n v="3"/>
    <n v="3"/>
    <n v="0"/>
    <x v="0"/>
    <n v="2"/>
    <s v="OK"/>
    <s v="OK"/>
    <s v="OK"/>
    <s v="OK"/>
    <n v="0"/>
    <n v="0"/>
    <n v="0.66666666666666663"/>
    <n v="0.66666666666666663"/>
  </r>
  <r>
    <n v="25"/>
    <s v="No"/>
    <s v="Travel_Rarely"/>
    <n v="583"/>
    <s v="Sales"/>
    <n v="4"/>
    <n v="1"/>
    <s v="Marketing"/>
    <n v="1"/>
    <n v="885"/>
    <n v="3"/>
    <s v="Male"/>
    <n v="87"/>
    <n v="2"/>
    <n v="2"/>
    <x v="0"/>
    <n v="1"/>
    <s v="Married"/>
    <n v="4256"/>
    <n v="18154"/>
    <n v="1"/>
    <s v="Y"/>
    <s v="No"/>
    <n v="12"/>
    <n v="3"/>
    <n v="1"/>
    <n v="80"/>
    <n v="0"/>
    <n v="5"/>
    <n v="1"/>
    <n v="4"/>
    <n v="5"/>
    <n v="2"/>
    <x v="0"/>
    <n v="3"/>
    <s v="OK"/>
    <s v="OK"/>
    <s v="OK"/>
    <s v="OK"/>
    <n v="0"/>
    <n v="0.4"/>
    <n v="0.2"/>
    <n v="0.6"/>
  </r>
  <r>
    <n v="49"/>
    <s v="No"/>
    <s v="Travel_Rarely"/>
    <n v="1418"/>
    <s v="Research &amp; Development"/>
    <n v="1"/>
    <n v="3"/>
    <s v="Technical Degree"/>
    <n v="1"/>
    <n v="887"/>
    <n v="3"/>
    <s v="Female"/>
    <n v="36"/>
    <n v="3"/>
    <n v="1"/>
    <x v="1"/>
    <n v="1"/>
    <s v="Married"/>
    <n v="3580"/>
    <n v="10554"/>
    <n v="2"/>
    <s v="Y"/>
    <s v="No"/>
    <n v="16"/>
    <n v="3"/>
    <n v="2"/>
    <n v="80"/>
    <n v="1"/>
    <n v="7"/>
    <n v="2"/>
    <n v="3"/>
    <n v="4"/>
    <n v="2"/>
    <x v="0"/>
    <n v="2"/>
    <s v="OK"/>
    <s v="OK"/>
    <s v="OK"/>
    <s v="OK"/>
    <n v="0"/>
    <n v="0.5"/>
    <n v="0.5"/>
    <n v="0.5"/>
  </r>
  <r>
    <n v="24"/>
    <s v="No"/>
    <s v="Non-Travel"/>
    <n v="1269"/>
    <s v="Research &amp; Development"/>
    <n v="4"/>
    <n v="1"/>
    <s v="Life Sciences"/>
    <n v="1"/>
    <n v="888"/>
    <n v="1"/>
    <s v="Male"/>
    <n v="46"/>
    <n v="2"/>
    <n v="1"/>
    <x v="2"/>
    <n v="4"/>
    <s v="Married"/>
    <n v="3162"/>
    <n v="10778"/>
    <n v="0"/>
    <s v="Y"/>
    <s v="No"/>
    <n v="17"/>
    <n v="3"/>
    <n v="4"/>
    <n v="80"/>
    <n v="0"/>
    <n v="6"/>
    <n v="2"/>
    <n v="2"/>
    <n v="5"/>
    <n v="2"/>
    <x v="2"/>
    <n v="4"/>
    <s v="OK"/>
    <s v="OK"/>
    <s v="OK"/>
    <s v="OK"/>
    <n v="0.6"/>
    <n v="0.4"/>
    <n v="0.4"/>
    <n v="0.8"/>
  </r>
  <r>
    <n v="32"/>
    <s v="No"/>
    <s v="Travel_Frequently"/>
    <n v="379"/>
    <s v="Sales"/>
    <n v="5"/>
    <n v="2"/>
    <s v="Life Sciences"/>
    <n v="1"/>
    <n v="889"/>
    <n v="2"/>
    <s v="Male"/>
    <n v="48"/>
    <n v="3"/>
    <n v="2"/>
    <x v="0"/>
    <n v="2"/>
    <s v="Married"/>
    <n v="6524"/>
    <n v="8891"/>
    <n v="1"/>
    <s v="Y"/>
    <s v="No"/>
    <n v="14"/>
    <n v="3"/>
    <n v="4"/>
    <n v="80"/>
    <n v="1"/>
    <n v="10"/>
    <n v="3"/>
    <n v="3"/>
    <n v="10"/>
    <n v="8"/>
    <x v="8"/>
    <n v="3"/>
    <s v="OK"/>
    <s v="OK"/>
    <s v="OK"/>
    <s v="OK"/>
    <n v="0.5"/>
    <n v="0.8"/>
    <n v="0.3"/>
    <n v="0.3"/>
  </r>
  <r>
    <n v="38"/>
    <s v="No"/>
    <s v="Travel_Rarely"/>
    <n v="395"/>
    <s v="Sales"/>
    <n v="9"/>
    <n v="3"/>
    <s v="Marketing"/>
    <n v="1"/>
    <n v="893"/>
    <n v="2"/>
    <s v="Male"/>
    <n v="98"/>
    <n v="2"/>
    <n v="1"/>
    <x v="6"/>
    <n v="2"/>
    <s v="Married"/>
    <n v="2899"/>
    <n v="12102"/>
    <n v="0"/>
    <s v="Y"/>
    <s v="No"/>
    <n v="19"/>
    <n v="3"/>
    <n v="4"/>
    <n v="80"/>
    <n v="1"/>
    <n v="3"/>
    <n v="3"/>
    <n v="3"/>
    <n v="2"/>
    <n v="2"/>
    <x v="1"/>
    <n v="2"/>
    <s v="OK"/>
    <s v="OK"/>
    <s v="OK"/>
    <s v="OK"/>
    <n v="0.5"/>
    <n v="1"/>
    <n v="1.5"/>
    <n v="1"/>
  </r>
  <r>
    <n v="42"/>
    <s v="No"/>
    <s v="Travel_Rarely"/>
    <n v="1265"/>
    <s v="Research &amp; Development"/>
    <n v="3"/>
    <n v="3"/>
    <s v="Life Sciences"/>
    <n v="1"/>
    <n v="894"/>
    <n v="3"/>
    <s v="Female"/>
    <n v="95"/>
    <n v="4"/>
    <n v="2"/>
    <x v="2"/>
    <n v="4"/>
    <s v="Married"/>
    <n v="5231"/>
    <n v="23726"/>
    <n v="2"/>
    <s v="Y"/>
    <s v="Yes"/>
    <n v="13"/>
    <n v="3"/>
    <n v="2"/>
    <n v="80"/>
    <n v="1"/>
    <n v="17"/>
    <n v="1"/>
    <n v="2"/>
    <n v="5"/>
    <n v="3"/>
    <x v="1"/>
    <n v="3"/>
    <s v="OK"/>
    <s v="OK"/>
    <s v="OK"/>
    <s v="OK"/>
    <n v="0.2"/>
    <n v="0.6"/>
    <n v="0.2"/>
    <n v="0.6"/>
  </r>
  <r>
    <n v="31"/>
    <s v="No"/>
    <s v="Travel_Rarely"/>
    <n v="1222"/>
    <s v="Research &amp; Development"/>
    <n v="11"/>
    <n v="4"/>
    <s v="Life Sciences"/>
    <n v="1"/>
    <n v="895"/>
    <n v="4"/>
    <s v="Male"/>
    <n v="48"/>
    <n v="3"/>
    <n v="1"/>
    <x v="1"/>
    <n v="4"/>
    <s v="Married"/>
    <n v="2356"/>
    <n v="14871"/>
    <n v="3"/>
    <s v="Y"/>
    <s v="Yes"/>
    <n v="19"/>
    <n v="3"/>
    <n v="2"/>
    <n v="80"/>
    <n v="1"/>
    <n v="8"/>
    <n v="2"/>
    <n v="3"/>
    <n v="6"/>
    <n v="4"/>
    <x v="0"/>
    <n v="2"/>
    <s v="OK"/>
    <s v="OK"/>
    <s v="OK"/>
    <s v="OK"/>
    <n v="0"/>
    <n v="0.66666666666666663"/>
    <n v="0.33333333333333331"/>
    <n v="0.33333333333333331"/>
  </r>
  <r>
    <n v="29"/>
    <s v="Yes"/>
    <s v="Travel_Rarely"/>
    <n v="341"/>
    <s v="Sales"/>
    <n v="1"/>
    <n v="3"/>
    <s v="Medical"/>
    <n v="1"/>
    <n v="896"/>
    <n v="2"/>
    <s v="Female"/>
    <n v="48"/>
    <n v="2"/>
    <n v="1"/>
    <x v="6"/>
    <n v="3"/>
    <s v="Divorced"/>
    <n v="2800"/>
    <n v="23522"/>
    <n v="6"/>
    <s v="Y"/>
    <s v="Yes"/>
    <n v="19"/>
    <n v="3"/>
    <n v="3"/>
    <n v="80"/>
    <n v="3"/>
    <n v="5"/>
    <n v="3"/>
    <n v="3"/>
    <n v="3"/>
    <n v="2"/>
    <x v="0"/>
    <n v="2"/>
    <s v="OK"/>
    <s v="OK"/>
    <s v="OK"/>
    <s v="OK"/>
    <n v="0"/>
    <n v="0.66666666666666663"/>
    <n v="1"/>
    <n v="0.66666666666666663"/>
  </r>
  <r>
    <n v="53"/>
    <s v="No"/>
    <s v="Travel_Rarely"/>
    <n v="868"/>
    <s v="Sales"/>
    <n v="8"/>
    <n v="3"/>
    <s v="Marketing"/>
    <n v="1"/>
    <n v="897"/>
    <n v="1"/>
    <s v="Male"/>
    <n v="73"/>
    <n v="3"/>
    <n v="4"/>
    <x v="0"/>
    <n v="4"/>
    <s v="Married"/>
    <n v="11836"/>
    <n v="22789"/>
    <n v="5"/>
    <s v="Y"/>
    <s v="No"/>
    <n v="14"/>
    <n v="3"/>
    <n v="3"/>
    <n v="80"/>
    <n v="1"/>
    <n v="28"/>
    <n v="3"/>
    <n v="3"/>
    <n v="2"/>
    <n v="0"/>
    <x v="3"/>
    <n v="2"/>
    <s v="OK"/>
    <s v="OK"/>
    <s v="OK"/>
    <s v="OK"/>
    <n v="1"/>
    <n v="0"/>
    <n v="1.5"/>
    <n v="1"/>
  </r>
  <r>
    <n v="35"/>
    <s v="No"/>
    <s v="Travel_Rarely"/>
    <n v="672"/>
    <s v="Research &amp; Development"/>
    <n v="25"/>
    <n v="3"/>
    <s v="Technical Degree"/>
    <n v="1"/>
    <n v="899"/>
    <n v="4"/>
    <s v="Male"/>
    <n v="78"/>
    <n v="2"/>
    <n v="3"/>
    <x v="3"/>
    <n v="2"/>
    <s v="Married"/>
    <n v="10903"/>
    <n v="9129"/>
    <n v="3"/>
    <s v="Y"/>
    <s v="No"/>
    <n v="16"/>
    <n v="3"/>
    <n v="1"/>
    <n v="80"/>
    <n v="0"/>
    <n v="16"/>
    <n v="2"/>
    <n v="3"/>
    <n v="13"/>
    <n v="10"/>
    <x v="5"/>
    <n v="8"/>
    <s v="OK"/>
    <s v="OK"/>
    <s v="OK"/>
    <s v="OK"/>
    <n v="0.30769230769230771"/>
    <n v="0.76923076923076927"/>
    <n v="0.15384615384615385"/>
    <n v="0.61538461538461542"/>
  </r>
  <r>
    <n v="37"/>
    <s v="No"/>
    <s v="Travel_Frequently"/>
    <n v="1231"/>
    <s v="Sales"/>
    <n v="21"/>
    <n v="2"/>
    <s v="Medical"/>
    <n v="1"/>
    <n v="900"/>
    <n v="3"/>
    <s v="Female"/>
    <n v="54"/>
    <n v="3"/>
    <n v="1"/>
    <x v="6"/>
    <n v="4"/>
    <s v="Married"/>
    <n v="2973"/>
    <n v="21222"/>
    <n v="5"/>
    <s v="Y"/>
    <s v="No"/>
    <n v="15"/>
    <n v="3"/>
    <n v="2"/>
    <n v="80"/>
    <n v="1"/>
    <n v="10"/>
    <n v="3"/>
    <n v="3"/>
    <n v="5"/>
    <n v="4"/>
    <x v="0"/>
    <n v="0"/>
    <s v="OK"/>
    <s v="OK"/>
    <s v="OK"/>
    <s v="OK"/>
    <n v="0"/>
    <n v="0.8"/>
    <n v="0.6"/>
    <n v="0"/>
  </r>
  <r>
    <n v="53"/>
    <s v="No"/>
    <s v="Travel_Rarely"/>
    <n v="102"/>
    <s v="Research &amp; Development"/>
    <n v="23"/>
    <n v="4"/>
    <s v="Life Sciences"/>
    <n v="1"/>
    <n v="901"/>
    <n v="4"/>
    <s v="Female"/>
    <n v="72"/>
    <n v="3"/>
    <n v="4"/>
    <x v="7"/>
    <n v="4"/>
    <s v="Single"/>
    <n v="14275"/>
    <n v="20206"/>
    <n v="6"/>
    <s v="Y"/>
    <s v="No"/>
    <n v="18"/>
    <n v="3"/>
    <n v="3"/>
    <n v="80"/>
    <n v="0"/>
    <n v="33"/>
    <n v="0"/>
    <n v="3"/>
    <n v="12"/>
    <n v="9"/>
    <x v="2"/>
    <n v="8"/>
    <s v="OK"/>
    <s v="OK"/>
    <s v="OK"/>
    <s v="OK"/>
    <n v="0.25"/>
    <n v="0.75"/>
    <n v="0"/>
    <n v="0.66666666666666663"/>
  </r>
  <r>
    <n v="43"/>
    <s v="No"/>
    <s v="Travel_Frequently"/>
    <n v="422"/>
    <s v="Research &amp; Development"/>
    <n v="1"/>
    <n v="3"/>
    <s v="Life Sciences"/>
    <n v="1"/>
    <n v="902"/>
    <n v="4"/>
    <s v="Female"/>
    <n v="33"/>
    <n v="3"/>
    <n v="2"/>
    <x v="4"/>
    <n v="4"/>
    <s v="Married"/>
    <n v="5562"/>
    <n v="21782"/>
    <n v="4"/>
    <s v="Y"/>
    <s v="No"/>
    <n v="13"/>
    <n v="3"/>
    <n v="2"/>
    <n v="80"/>
    <n v="1"/>
    <n v="12"/>
    <n v="2"/>
    <n v="2"/>
    <n v="5"/>
    <n v="2"/>
    <x v="3"/>
    <n v="2"/>
    <s v="OK"/>
    <s v="OK"/>
    <s v="OK"/>
    <s v="OK"/>
    <n v="0.4"/>
    <n v="0.4"/>
    <n v="0.4"/>
    <n v="0.4"/>
  </r>
  <r>
    <n v="47"/>
    <s v="No"/>
    <s v="Travel_Rarely"/>
    <n v="249"/>
    <s v="Sales"/>
    <n v="2"/>
    <n v="2"/>
    <s v="Marketing"/>
    <n v="1"/>
    <n v="903"/>
    <n v="3"/>
    <s v="Female"/>
    <n v="35"/>
    <n v="3"/>
    <n v="2"/>
    <x v="0"/>
    <n v="4"/>
    <s v="Married"/>
    <n v="4537"/>
    <n v="17783"/>
    <n v="0"/>
    <s v="Y"/>
    <s v="Yes"/>
    <n v="22"/>
    <n v="4"/>
    <n v="1"/>
    <n v="80"/>
    <n v="1"/>
    <n v="8"/>
    <n v="2"/>
    <n v="3"/>
    <n v="7"/>
    <n v="6"/>
    <x v="4"/>
    <n v="7"/>
    <s v="OK"/>
    <s v="OK"/>
    <s v="OK"/>
    <s v="OK"/>
    <n v="1"/>
    <n v="0.8571428571428571"/>
    <n v="0.2857142857142857"/>
    <n v="1"/>
  </r>
  <r>
    <n v="37"/>
    <s v="No"/>
    <s v="Non-Travel"/>
    <n v="1252"/>
    <s v="Sales"/>
    <n v="19"/>
    <n v="2"/>
    <s v="Medical"/>
    <n v="1"/>
    <n v="904"/>
    <n v="1"/>
    <s v="Male"/>
    <n v="32"/>
    <n v="3"/>
    <n v="3"/>
    <x v="0"/>
    <n v="2"/>
    <s v="Single"/>
    <n v="7642"/>
    <n v="4814"/>
    <n v="1"/>
    <s v="Y"/>
    <s v="Yes"/>
    <n v="13"/>
    <n v="3"/>
    <n v="4"/>
    <n v="80"/>
    <n v="0"/>
    <n v="10"/>
    <n v="2"/>
    <n v="3"/>
    <n v="10"/>
    <n v="0"/>
    <x v="0"/>
    <n v="9"/>
    <s v="OK"/>
    <s v="OK"/>
    <s v="OK"/>
    <s v="OK"/>
    <n v="0"/>
    <n v="0"/>
    <n v="0.2"/>
    <n v="0.9"/>
  </r>
  <r>
    <n v="50"/>
    <s v="No"/>
    <s v="Non-Travel"/>
    <n v="881"/>
    <s v="Research &amp; Development"/>
    <n v="2"/>
    <n v="4"/>
    <s v="Life Sciences"/>
    <n v="1"/>
    <n v="905"/>
    <n v="1"/>
    <s v="Male"/>
    <n v="98"/>
    <n v="3"/>
    <n v="4"/>
    <x v="5"/>
    <n v="1"/>
    <s v="Divorced"/>
    <n v="17924"/>
    <n v="4544"/>
    <n v="1"/>
    <s v="Y"/>
    <s v="No"/>
    <n v="11"/>
    <n v="3"/>
    <n v="4"/>
    <n v="80"/>
    <n v="1"/>
    <n v="31"/>
    <n v="3"/>
    <n v="3"/>
    <n v="31"/>
    <n v="6"/>
    <x v="15"/>
    <n v="7"/>
    <s v="OK"/>
    <s v="OK"/>
    <s v="OK"/>
    <s v="OK"/>
    <n v="0.45161290322580644"/>
    <n v="0.19354838709677419"/>
    <n v="9.6774193548387094E-2"/>
    <n v="0.22580645161290322"/>
  </r>
  <r>
    <n v="39"/>
    <s v="No"/>
    <s v="Travel_Rarely"/>
    <n v="1383"/>
    <s v="Human Resources"/>
    <n v="2"/>
    <n v="3"/>
    <s v="Life Sciences"/>
    <n v="1"/>
    <n v="909"/>
    <n v="4"/>
    <s v="Female"/>
    <n v="42"/>
    <n v="2"/>
    <n v="2"/>
    <x v="8"/>
    <n v="4"/>
    <s v="Married"/>
    <n v="5204"/>
    <n v="7790"/>
    <n v="8"/>
    <s v="Y"/>
    <s v="No"/>
    <n v="11"/>
    <n v="3"/>
    <n v="3"/>
    <n v="80"/>
    <n v="2"/>
    <n v="13"/>
    <n v="2"/>
    <n v="3"/>
    <n v="5"/>
    <n v="4"/>
    <x v="0"/>
    <n v="4"/>
    <s v="OK"/>
    <s v="OK"/>
    <s v="OK"/>
    <s v="OK"/>
    <n v="0"/>
    <n v="0.8"/>
    <n v="0.4"/>
    <n v="0.8"/>
  </r>
  <r>
    <n v="33"/>
    <s v="No"/>
    <s v="Travel_Rarely"/>
    <n v="1075"/>
    <s v="Human Resources"/>
    <n v="3"/>
    <n v="2"/>
    <s v="Human Resources"/>
    <n v="1"/>
    <n v="910"/>
    <n v="4"/>
    <s v="Male"/>
    <n v="57"/>
    <n v="3"/>
    <n v="1"/>
    <x v="8"/>
    <n v="2"/>
    <s v="Divorced"/>
    <n v="2277"/>
    <n v="22650"/>
    <n v="3"/>
    <s v="Y"/>
    <s v="Yes"/>
    <n v="11"/>
    <n v="3"/>
    <n v="3"/>
    <n v="80"/>
    <n v="1"/>
    <n v="7"/>
    <n v="4"/>
    <n v="4"/>
    <n v="4"/>
    <n v="3"/>
    <x v="0"/>
    <n v="3"/>
    <s v="OK"/>
    <s v="OK"/>
    <s v="OK"/>
    <s v="OK"/>
    <n v="0"/>
    <n v="0.75"/>
    <n v="1"/>
    <n v="0.75"/>
  </r>
  <r>
    <n v="32"/>
    <s v="Yes"/>
    <s v="Travel_Rarely"/>
    <n v="374"/>
    <s v="Research &amp; Development"/>
    <n v="25"/>
    <n v="4"/>
    <s v="Life Sciences"/>
    <n v="1"/>
    <n v="911"/>
    <n v="1"/>
    <s v="Male"/>
    <n v="87"/>
    <n v="3"/>
    <n v="1"/>
    <x v="2"/>
    <n v="4"/>
    <s v="Single"/>
    <n v="2795"/>
    <n v="18016"/>
    <n v="1"/>
    <s v="Y"/>
    <s v="Yes"/>
    <n v="24"/>
    <n v="4"/>
    <n v="3"/>
    <n v="80"/>
    <n v="0"/>
    <n v="1"/>
    <n v="2"/>
    <n v="1"/>
    <n v="1"/>
    <n v="0"/>
    <x v="0"/>
    <n v="1"/>
    <s v="OK"/>
    <s v="OK"/>
    <s v="OK"/>
    <s v="OK"/>
    <n v="0"/>
    <n v="0"/>
    <n v="2"/>
    <n v="1"/>
  </r>
  <r>
    <n v="29"/>
    <s v="No"/>
    <s v="Travel_Rarely"/>
    <n v="1086"/>
    <s v="Research &amp; Development"/>
    <n v="7"/>
    <n v="1"/>
    <s v="Medical"/>
    <n v="1"/>
    <n v="912"/>
    <n v="1"/>
    <s v="Female"/>
    <n v="62"/>
    <n v="2"/>
    <n v="1"/>
    <x v="2"/>
    <n v="4"/>
    <s v="Divorced"/>
    <n v="2532"/>
    <n v="6054"/>
    <n v="6"/>
    <s v="Y"/>
    <s v="No"/>
    <n v="14"/>
    <n v="3"/>
    <n v="3"/>
    <n v="80"/>
    <n v="3"/>
    <n v="8"/>
    <n v="5"/>
    <n v="3"/>
    <n v="4"/>
    <n v="3"/>
    <x v="0"/>
    <n v="3"/>
    <s v="OK"/>
    <s v="OK"/>
    <s v="OK"/>
    <s v="OK"/>
    <n v="0"/>
    <n v="0.75"/>
    <n v="1.25"/>
    <n v="0.75"/>
  </r>
  <r>
    <n v="44"/>
    <s v="No"/>
    <s v="Travel_Rarely"/>
    <n v="661"/>
    <s v="Research &amp; Development"/>
    <n v="9"/>
    <n v="2"/>
    <s v="Life Sciences"/>
    <n v="1"/>
    <n v="913"/>
    <n v="2"/>
    <s v="Male"/>
    <n v="61"/>
    <n v="3"/>
    <n v="1"/>
    <x v="1"/>
    <n v="1"/>
    <s v="Married"/>
    <n v="2559"/>
    <n v="7508"/>
    <n v="1"/>
    <s v="Y"/>
    <s v="Yes"/>
    <n v="13"/>
    <n v="3"/>
    <n v="4"/>
    <n v="80"/>
    <n v="0"/>
    <n v="8"/>
    <n v="0"/>
    <n v="3"/>
    <n v="8"/>
    <n v="7"/>
    <x v="4"/>
    <n v="1"/>
    <s v="OK"/>
    <s v="OK"/>
    <s v="OK"/>
    <s v="OK"/>
    <n v="0.875"/>
    <n v="0.875"/>
    <n v="0"/>
    <n v="0.125"/>
  </r>
  <r>
    <n v="28"/>
    <s v="No"/>
    <s v="Travel_Rarely"/>
    <n v="821"/>
    <s v="Sales"/>
    <n v="5"/>
    <n v="4"/>
    <s v="Medical"/>
    <n v="1"/>
    <n v="916"/>
    <n v="1"/>
    <s v="Male"/>
    <n v="98"/>
    <n v="3"/>
    <n v="2"/>
    <x v="0"/>
    <n v="4"/>
    <s v="Single"/>
    <n v="4908"/>
    <n v="24252"/>
    <n v="1"/>
    <s v="Y"/>
    <s v="No"/>
    <n v="14"/>
    <n v="3"/>
    <n v="2"/>
    <n v="80"/>
    <n v="0"/>
    <n v="4"/>
    <n v="3"/>
    <n v="3"/>
    <n v="4"/>
    <n v="2"/>
    <x v="0"/>
    <n v="2"/>
    <s v="OK"/>
    <s v="OK"/>
    <s v="OK"/>
    <s v="OK"/>
    <n v="0"/>
    <n v="0.5"/>
    <n v="0.75"/>
    <n v="0.5"/>
  </r>
  <r>
    <n v="58"/>
    <s v="Yes"/>
    <s v="Travel_Frequently"/>
    <n v="781"/>
    <s v="Research &amp; Development"/>
    <n v="2"/>
    <n v="1"/>
    <s v="Life Sciences"/>
    <n v="1"/>
    <n v="918"/>
    <n v="4"/>
    <s v="Male"/>
    <n v="57"/>
    <n v="2"/>
    <n v="1"/>
    <x v="2"/>
    <n v="4"/>
    <s v="Divorced"/>
    <n v="2380"/>
    <n v="13384"/>
    <n v="9"/>
    <s v="Y"/>
    <s v="Yes"/>
    <n v="14"/>
    <n v="3"/>
    <n v="4"/>
    <n v="80"/>
    <n v="1"/>
    <n v="3"/>
    <n v="3"/>
    <n v="2"/>
    <n v="1"/>
    <n v="0"/>
    <x v="0"/>
    <n v="0"/>
    <s v="OK"/>
    <s v="OK"/>
    <s v="OK"/>
    <s v="OK"/>
    <n v="0"/>
    <n v="0"/>
    <n v="3"/>
    <n v="0"/>
  </r>
  <r>
    <n v="43"/>
    <s v="No"/>
    <s v="Travel_Rarely"/>
    <n v="177"/>
    <s v="Research &amp; Development"/>
    <n v="8"/>
    <n v="3"/>
    <s v="Life Sciences"/>
    <n v="1"/>
    <n v="920"/>
    <n v="1"/>
    <s v="Female"/>
    <n v="55"/>
    <n v="3"/>
    <n v="2"/>
    <x v="3"/>
    <n v="2"/>
    <s v="Divorced"/>
    <n v="4765"/>
    <n v="23814"/>
    <n v="4"/>
    <s v="Y"/>
    <s v="No"/>
    <n v="21"/>
    <n v="4"/>
    <n v="3"/>
    <n v="80"/>
    <n v="1"/>
    <n v="4"/>
    <n v="2"/>
    <n v="4"/>
    <n v="1"/>
    <n v="0"/>
    <x v="0"/>
    <n v="0"/>
    <s v="OK"/>
    <s v="OK"/>
    <s v="OK"/>
    <s v="OK"/>
    <n v="0"/>
    <n v="0"/>
    <n v="2"/>
    <n v="0"/>
  </r>
  <r>
    <n v="20"/>
    <s v="Yes"/>
    <s v="Travel_Rarely"/>
    <n v="500"/>
    <s v="Sales"/>
    <n v="2"/>
    <n v="3"/>
    <s v="Medical"/>
    <n v="1"/>
    <n v="922"/>
    <n v="3"/>
    <s v="Female"/>
    <n v="49"/>
    <n v="2"/>
    <n v="1"/>
    <x v="6"/>
    <n v="3"/>
    <s v="Single"/>
    <n v="2044"/>
    <n v="22052"/>
    <n v="1"/>
    <s v="Y"/>
    <s v="No"/>
    <n v="13"/>
    <n v="3"/>
    <n v="4"/>
    <n v="80"/>
    <n v="0"/>
    <n v="2"/>
    <n v="3"/>
    <n v="2"/>
    <n v="2"/>
    <n v="2"/>
    <x v="0"/>
    <n v="2"/>
    <s v="OK"/>
    <s v="OK"/>
    <s v="OK"/>
    <s v="OK"/>
    <n v="0"/>
    <n v="1"/>
    <n v="1.5"/>
    <n v="1"/>
  </r>
  <r>
    <n v="21"/>
    <s v="Yes"/>
    <s v="Travel_Rarely"/>
    <n v="1427"/>
    <s v="Research &amp; Development"/>
    <n v="18"/>
    <n v="1"/>
    <s v="Other"/>
    <n v="1"/>
    <n v="923"/>
    <n v="4"/>
    <s v="Female"/>
    <n v="65"/>
    <n v="3"/>
    <n v="1"/>
    <x v="1"/>
    <n v="4"/>
    <s v="Single"/>
    <n v="2693"/>
    <n v="8870"/>
    <n v="1"/>
    <s v="Y"/>
    <s v="No"/>
    <n v="19"/>
    <n v="3"/>
    <n v="1"/>
    <n v="80"/>
    <n v="0"/>
    <n v="1"/>
    <n v="3"/>
    <n v="2"/>
    <n v="1"/>
    <n v="0"/>
    <x v="0"/>
    <n v="0"/>
    <s v="OK"/>
    <s v="OK"/>
    <s v="OK"/>
    <s v="OK"/>
    <n v="0"/>
    <n v="0"/>
    <n v="3"/>
    <n v="0"/>
  </r>
  <r>
    <n v="36"/>
    <s v="No"/>
    <s v="Travel_Rarely"/>
    <n v="1425"/>
    <s v="Research &amp; Development"/>
    <n v="14"/>
    <n v="1"/>
    <s v="Life Sciences"/>
    <n v="1"/>
    <n v="924"/>
    <n v="3"/>
    <s v="Male"/>
    <n v="68"/>
    <n v="3"/>
    <n v="2"/>
    <x v="4"/>
    <n v="4"/>
    <s v="Married"/>
    <n v="6586"/>
    <n v="4821"/>
    <n v="0"/>
    <s v="Y"/>
    <s v="Yes"/>
    <n v="17"/>
    <n v="3"/>
    <n v="1"/>
    <n v="80"/>
    <n v="1"/>
    <n v="17"/>
    <n v="2"/>
    <n v="2"/>
    <n v="16"/>
    <n v="8"/>
    <x v="5"/>
    <n v="11"/>
    <s v="OK"/>
    <s v="OK"/>
    <s v="OK"/>
    <s v="OK"/>
    <n v="0.25"/>
    <n v="0.5"/>
    <n v="0.125"/>
    <n v="0.6875"/>
  </r>
  <r>
    <n v="47"/>
    <s v="No"/>
    <s v="Travel_Rarely"/>
    <n v="1454"/>
    <s v="Sales"/>
    <n v="2"/>
    <n v="4"/>
    <s v="Life Sciences"/>
    <n v="1"/>
    <n v="925"/>
    <n v="4"/>
    <s v="Female"/>
    <n v="65"/>
    <n v="2"/>
    <n v="1"/>
    <x v="6"/>
    <n v="4"/>
    <s v="Single"/>
    <n v="3294"/>
    <n v="13137"/>
    <n v="1"/>
    <s v="Y"/>
    <s v="Yes"/>
    <n v="18"/>
    <n v="3"/>
    <n v="1"/>
    <n v="80"/>
    <n v="0"/>
    <n v="3"/>
    <n v="3"/>
    <n v="2"/>
    <n v="3"/>
    <n v="2"/>
    <x v="1"/>
    <n v="2"/>
    <s v="OK"/>
    <s v="OK"/>
    <s v="OK"/>
    <s v="OK"/>
    <n v="0.33333333333333331"/>
    <n v="0.66666666666666663"/>
    <n v="1"/>
    <n v="0.66666666666666663"/>
  </r>
  <r>
    <n v="22"/>
    <s v="Yes"/>
    <s v="Travel_Rarely"/>
    <n v="617"/>
    <s v="Research &amp; Development"/>
    <n v="3"/>
    <n v="1"/>
    <s v="Life Sciences"/>
    <n v="1"/>
    <n v="926"/>
    <n v="2"/>
    <s v="Female"/>
    <n v="34"/>
    <n v="3"/>
    <n v="2"/>
    <x v="3"/>
    <n v="3"/>
    <s v="Married"/>
    <n v="4171"/>
    <n v="10022"/>
    <n v="0"/>
    <s v="Y"/>
    <s v="Yes"/>
    <n v="19"/>
    <n v="3"/>
    <n v="1"/>
    <n v="80"/>
    <n v="1"/>
    <n v="4"/>
    <n v="3"/>
    <n v="4"/>
    <n v="3"/>
    <n v="2"/>
    <x v="0"/>
    <n v="2"/>
    <s v="OK"/>
    <s v="OK"/>
    <s v="OK"/>
    <s v="OK"/>
    <n v="0"/>
    <n v="0.66666666666666663"/>
    <n v="1"/>
    <n v="0.66666666666666663"/>
  </r>
  <r>
    <n v="41"/>
    <s v="Yes"/>
    <s v="Travel_Rarely"/>
    <n v="1085"/>
    <s v="Research &amp; Development"/>
    <n v="2"/>
    <n v="4"/>
    <s v="Life Sciences"/>
    <n v="1"/>
    <n v="927"/>
    <n v="2"/>
    <s v="Female"/>
    <n v="57"/>
    <n v="1"/>
    <n v="1"/>
    <x v="2"/>
    <n v="4"/>
    <s v="Divorced"/>
    <n v="2778"/>
    <n v="17725"/>
    <n v="4"/>
    <s v="Y"/>
    <s v="Yes"/>
    <n v="13"/>
    <n v="3"/>
    <n v="3"/>
    <n v="80"/>
    <n v="1"/>
    <n v="10"/>
    <n v="1"/>
    <n v="2"/>
    <n v="7"/>
    <n v="7"/>
    <x v="1"/>
    <n v="0"/>
    <s v="OK"/>
    <s v="OK"/>
    <s v="OK"/>
    <s v="OK"/>
    <n v="0.14285714285714285"/>
    <n v="1"/>
    <n v="0.14285714285714285"/>
    <n v="0"/>
  </r>
  <r>
    <n v="28"/>
    <s v="No"/>
    <s v="Travel_Rarely"/>
    <n v="995"/>
    <s v="Research &amp; Development"/>
    <n v="9"/>
    <n v="3"/>
    <s v="Medical"/>
    <n v="1"/>
    <n v="930"/>
    <n v="3"/>
    <s v="Female"/>
    <n v="77"/>
    <n v="3"/>
    <n v="1"/>
    <x v="1"/>
    <n v="3"/>
    <s v="Divorced"/>
    <n v="2377"/>
    <n v="9834"/>
    <n v="5"/>
    <s v="Y"/>
    <s v="No"/>
    <n v="18"/>
    <n v="3"/>
    <n v="2"/>
    <n v="80"/>
    <n v="1"/>
    <n v="6"/>
    <n v="2"/>
    <n v="3"/>
    <n v="2"/>
    <n v="2"/>
    <x v="3"/>
    <n v="2"/>
    <s v="OK"/>
    <s v="OK"/>
    <s v="OK"/>
    <s v="OK"/>
    <n v="1"/>
    <n v="1"/>
    <n v="1"/>
    <n v="1"/>
  </r>
  <r>
    <n v="39"/>
    <s v="Yes"/>
    <s v="Travel_Rarely"/>
    <n v="1122"/>
    <s v="Research &amp; Development"/>
    <n v="6"/>
    <n v="3"/>
    <s v="Medical"/>
    <n v="1"/>
    <n v="932"/>
    <n v="4"/>
    <s v="Male"/>
    <n v="70"/>
    <n v="3"/>
    <n v="1"/>
    <x v="2"/>
    <n v="1"/>
    <s v="Married"/>
    <n v="2404"/>
    <n v="4303"/>
    <n v="7"/>
    <s v="Y"/>
    <s v="Yes"/>
    <n v="21"/>
    <n v="4"/>
    <n v="4"/>
    <n v="80"/>
    <n v="0"/>
    <n v="8"/>
    <n v="2"/>
    <n v="1"/>
    <n v="2"/>
    <n v="2"/>
    <x v="3"/>
    <n v="2"/>
    <s v="OK"/>
    <s v="OK"/>
    <s v="OK"/>
    <s v="OK"/>
    <n v="1"/>
    <n v="1"/>
    <n v="1"/>
    <n v="1"/>
  </r>
  <r>
    <n v="27"/>
    <s v="No"/>
    <s v="Travel_Rarely"/>
    <n v="618"/>
    <s v="Research &amp; Development"/>
    <n v="4"/>
    <n v="3"/>
    <s v="Life Sciences"/>
    <n v="1"/>
    <n v="933"/>
    <n v="2"/>
    <s v="Female"/>
    <n v="76"/>
    <n v="3"/>
    <n v="1"/>
    <x v="1"/>
    <n v="3"/>
    <s v="Single"/>
    <n v="2318"/>
    <n v="17808"/>
    <n v="1"/>
    <s v="Y"/>
    <s v="No"/>
    <n v="19"/>
    <n v="3"/>
    <n v="3"/>
    <n v="80"/>
    <n v="0"/>
    <n v="1"/>
    <n v="2"/>
    <n v="3"/>
    <n v="1"/>
    <n v="1"/>
    <x v="0"/>
    <n v="0"/>
    <s v="OK"/>
    <s v="OK"/>
    <s v="OK"/>
    <s v="OK"/>
    <n v="0"/>
    <n v="1"/>
    <n v="2"/>
    <n v="0"/>
  </r>
  <r>
    <n v="34"/>
    <s v="No"/>
    <s v="Travel_Rarely"/>
    <n v="546"/>
    <s v="Research &amp; Development"/>
    <n v="10"/>
    <n v="3"/>
    <s v="Life Sciences"/>
    <n v="1"/>
    <n v="934"/>
    <n v="2"/>
    <s v="Male"/>
    <n v="83"/>
    <n v="3"/>
    <n v="1"/>
    <x v="2"/>
    <n v="2"/>
    <s v="Divorced"/>
    <n v="2008"/>
    <n v="6896"/>
    <n v="1"/>
    <s v="Y"/>
    <s v="No"/>
    <n v="14"/>
    <n v="3"/>
    <n v="2"/>
    <n v="80"/>
    <n v="2"/>
    <n v="1"/>
    <n v="3"/>
    <n v="3"/>
    <n v="1"/>
    <n v="0"/>
    <x v="1"/>
    <n v="0"/>
    <s v="OK"/>
    <s v="OK"/>
    <s v="OK"/>
    <s v="OK"/>
    <n v="1"/>
    <n v="0"/>
    <n v="3"/>
    <n v="0"/>
  </r>
  <r>
    <n v="42"/>
    <s v="No"/>
    <s v="Travel_Rarely"/>
    <n v="462"/>
    <s v="Sales"/>
    <n v="14"/>
    <n v="2"/>
    <s v="Medical"/>
    <n v="1"/>
    <n v="936"/>
    <n v="3"/>
    <s v="Female"/>
    <n v="68"/>
    <n v="2"/>
    <n v="2"/>
    <x v="0"/>
    <n v="3"/>
    <s v="Single"/>
    <n v="6244"/>
    <n v="7824"/>
    <n v="7"/>
    <s v="Y"/>
    <s v="No"/>
    <n v="17"/>
    <n v="3"/>
    <n v="1"/>
    <n v="80"/>
    <n v="0"/>
    <n v="10"/>
    <n v="6"/>
    <n v="3"/>
    <n v="5"/>
    <n v="4"/>
    <x v="0"/>
    <n v="3"/>
    <s v="OK"/>
    <s v="OK"/>
    <s v="OK"/>
    <s v="OK"/>
    <n v="0"/>
    <n v="0.8"/>
    <n v="1.2"/>
    <n v="0.6"/>
  </r>
  <r>
    <n v="33"/>
    <s v="No"/>
    <s v="Travel_Rarely"/>
    <n v="1198"/>
    <s v="Research &amp; Development"/>
    <n v="1"/>
    <n v="4"/>
    <s v="Other"/>
    <n v="1"/>
    <n v="939"/>
    <n v="3"/>
    <s v="Male"/>
    <n v="100"/>
    <n v="2"/>
    <n v="1"/>
    <x v="1"/>
    <n v="1"/>
    <s v="Single"/>
    <n v="2799"/>
    <n v="3339"/>
    <n v="3"/>
    <s v="Y"/>
    <s v="Yes"/>
    <n v="11"/>
    <n v="3"/>
    <n v="2"/>
    <n v="80"/>
    <n v="0"/>
    <n v="6"/>
    <n v="1"/>
    <n v="3"/>
    <n v="3"/>
    <n v="2"/>
    <x v="0"/>
    <n v="2"/>
    <s v="OK"/>
    <s v="OK"/>
    <s v="OK"/>
    <s v="OK"/>
    <n v="0"/>
    <n v="0.66666666666666663"/>
    <n v="0.33333333333333331"/>
    <n v="0.66666666666666663"/>
  </r>
  <r>
    <n v="58"/>
    <s v="No"/>
    <s v="Travel_Rarely"/>
    <n v="1272"/>
    <s v="Research &amp; Development"/>
    <n v="5"/>
    <n v="3"/>
    <s v="Technical Degree"/>
    <n v="1"/>
    <n v="940"/>
    <n v="3"/>
    <s v="Female"/>
    <n v="37"/>
    <n v="2"/>
    <n v="3"/>
    <x v="4"/>
    <n v="2"/>
    <s v="Divorced"/>
    <n v="10552"/>
    <n v="9255"/>
    <n v="2"/>
    <s v="Y"/>
    <s v="Yes"/>
    <n v="13"/>
    <n v="3"/>
    <n v="4"/>
    <n v="80"/>
    <n v="1"/>
    <n v="24"/>
    <n v="3"/>
    <n v="3"/>
    <n v="6"/>
    <n v="0"/>
    <x v="0"/>
    <n v="4"/>
    <s v="OK"/>
    <s v="OK"/>
    <s v="OK"/>
    <s v="OK"/>
    <n v="0"/>
    <n v="0"/>
    <n v="0.5"/>
    <n v="0.66666666666666663"/>
  </r>
  <r>
    <n v="31"/>
    <s v="No"/>
    <s v="Travel_Rarely"/>
    <n v="154"/>
    <s v="Sales"/>
    <n v="7"/>
    <n v="4"/>
    <s v="Life Sciences"/>
    <n v="1"/>
    <n v="941"/>
    <n v="2"/>
    <s v="Male"/>
    <n v="41"/>
    <n v="2"/>
    <n v="1"/>
    <x v="6"/>
    <n v="3"/>
    <s v="Married"/>
    <n v="2329"/>
    <n v="11737"/>
    <n v="3"/>
    <s v="Y"/>
    <s v="No"/>
    <n v="15"/>
    <n v="3"/>
    <n v="2"/>
    <n v="80"/>
    <n v="0"/>
    <n v="13"/>
    <n v="2"/>
    <n v="4"/>
    <n v="7"/>
    <n v="7"/>
    <x v="8"/>
    <n v="2"/>
    <s v="OK"/>
    <s v="OK"/>
    <s v="OK"/>
    <s v="OK"/>
    <n v="0.7142857142857143"/>
    <n v="1"/>
    <n v="0.2857142857142857"/>
    <n v="0.2857142857142857"/>
  </r>
  <r>
    <n v="35"/>
    <s v="No"/>
    <s v="Travel_Rarely"/>
    <n v="1137"/>
    <s v="Research &amp; Development"/>
    <n v="21"/>
    <n v="1"/>
    <s v="Life Sciences"/>
    <n v="1"/>
    <n v="942"/>
    <n v="4"/>
    <s v="Female"/>
    <n v="51"/>
    <n v="3"/>
    <n v="2"/>
    <x v="4"/>
    <n v="4"/>
    <s v="Married"/>
    <n v="4014"/>
    <n v="19170"/>
    <n v="1"/>
    <s v="Y"/>
    <s v="Yes"/>
    <n v="25"/>
    <n v="4"/>
    <n v="4"/>
    <n v="80"/>
    <n v="1"/>
    <n v="10"/>
    <n v="2"/>
    <n v="1"/>
    <n v="10"/>
    <n v="6"/>
    <x v="0"/>
    <n v="7"/>
    <s v="OK"/>
    <s v="OK"/>
    <s v="OK"/>
    <s v="OK"/>
    <n v="0"/>
    <n v="0.6"/>
    <n v="0.2"/>
    <n v="0.7"/>
  </r>
  <r>
    <n v="49"/>
    <s v="No"/>
    <s v="Travel_Rarely"/>
    <n v="527"/>
    <s v="Research &amp; Development"/>
    <n v="8"/>
    <n v="2"/>
    <s v="Other"/>
    <n v="1"/>
    <n v="944"/>
    <n v="1"/>
    <s v="Female"/>
    <n v="51"/>
    <n v="3"/>
    <n v="3"/>
    <x v="2"/>
    <n v="2"/>
    <s v="Married"/>
    <n v="7403"/>
    <n v="22477"/>
    <n v="4"/>
    <s v="Y"/>
    <s v="No"/>
    <n v="11"/>
    <n v="3"/>
    <n v="3"/>
    <n v="80"/>
    <n v="1"/>
    <n v="29"/>
    <n v="3"/>
    <n v="2"/>
    <n v="26"/>
    <n v="9"/>
    <x v="1"/>
    <n v="7"/>
    <s v="OK"/>
    <s v="OK"/>
    <s v="OK"/>
    <s v="OK"/>
    <n v="3.8461538461538464E-2"/>
    <n v="0.34615384615384615"/>
    <n v="0.11538461538461539"/>
    <n v="0.26923076923076922"/>
  </r>
  <r>
    <n v="48"/>
    <s v="No"/>
    <s v="Travel_Rarely"/>
    <n v="1469"/>
    <s v="Research &amp; Development"/>
    <n v="20"/>
    <n v="4"/>
    <s v="Medical"/>
    <n v="1"/>
    <n v="945"/>
    <n v="4"/>
    <s v="Male"/>
    <n v="51"/>
    <n v="3"/>
    <n v="1"/>
    <x v="1"/>
    <n v="3"/>
    <s v="Married"/>
    <n v="2259"/>
    <n v="5543"/>
    <n v="4"/>
    <s v="Y"/>
    <s v="No"/>
    <n v="17"/>
    <n v="3"/>
    <n v="1"/>
    <n v="80"/>
    <n v="2"/>
    <n v="13"/>
    <n v="2"/>
    <n v="2"/>
    <n v="0"/>
    <n v="0"/>
    <x v="0"/>
    <n v="0"/>
    <s v="OK"/>
    <s v="OK"/>
    <s v="OK"/>
    <s v="OK"/>
    <n v="0"/>
    <n v="0"/>
    <n v="0"/>
    <n v="0"/>
  </r>
  <r>
    <n v="31"/>
    <s v="No"/>
    <s v="Non-Travel"/>
    <n v="1188"/>
    <s v="Sales"/>
    <n v="20"/>
    <n v="2"/>
    <s v="Marketing"/>
    <n v="1"/>
    <n v="947"/>
    <n v="4"/>
    <s v="Female"/>
    <n v="45"/>
    <n v="3"/>
    <n v="2"/>
    <x v="0"/>
    <n v="3"/>
    <s v="Married"/>
    <n v="6932"/>
    <n v="24406"/>
    <n v="1"/>
    <s v="Y"/>
    <s v="No"/>
    <n v="13"/>
    <n v="3"/>
    <n v="4"/>
    <n v="80"/>
    <n v="1"/>
    <n v="9"/>
    <n v="2"/>
    <n v="2"/>
    <n v="9"/>
    <n v="8"/>
    <x v="0"/>
    <n v="0"/>
    <s v="OK"/>
    <s v="OK"/>
    <s v="OK"/>
    <s v="OK"/>
    <n v="0"/>
    <n v="0.88888888888888884"/>
    <n v="0.22222222222222221"/>
    <n v="0"/>
  </r>
  <r>
    <n v="36"/>
    <s v="No"/>
    <s v="Travel_Rarely"/>
    <n v="188"/>
    <s v="Research &amp; Development"/>
    <n v="7"/>
    <n v="4"/>
    <s v="Other"/>
    <n v="1"/>
    <n v="949"/>
    <n v="2"/>
    <s v="Male"/>
    <n v="65"/>
    <n v="3"/>
    <n v="1"/>
    <x v="1"/>
    <n v="4"/>
    <s v="Single"/>
    <n v="4678"/>
    <n v="23293"/>
    <n v="2"/>
    <s v="Y"/>
    <s v="No"/>
    <n v="18"/>
    <n v="3"/>
    <n v="3"/>
    <n v="80"/>
    <n v="0"/>
    <n v="8"/>
    <n v="6"/>
    <n v="3"/>
    <n v="6"/>
    <n v="2"/>
    <x v="0"/>
    <n v="1"/>
    <s v="OK"/>
    <s v="OK"/>
    <s v="OK"/>
    <s v="OK"/>
    <n v="0"/>
    <n v="0.33333333333333331"/>
    <n v="1"/>
    <n v="0.16666666666666666"/>
  </r>
  <r>
    <n v="38"/>
    <s v="No"/>
    <s v="Travel_Rarely"/>
    <n v="1333"/>
    <s v="Research &amp; Development"/>
    <n v="1"/>
    <n v="3"/>
    <s v="Technical Degree"/>
    <n v="1"/>
    <n v="950"/>
    <n v="4"/>
    <s v="Female"/>
    <n v="80"/>
    <n v="3"/>
    <n v="3"/>
    <x v="7"/>
    <n v="1"/>
    <s v="Married"/>
    <n v="13582"/>
    <n v="16292"/>
    <n v="1"/>
    <s v="Y"/>
    <s v="No"/>
    <n v="13"/>
    <n v="3"/>
    <n v="2"/>
    <n v="80"/>
    <n v="1"/>
    <n v="15"/>
    <n v="3"/>
    <n v="3"/>
    <n v="15"/>
    <n v="12"/>
    <x v="8"/>
    <n v="11"/>
    <s v="OK"/>
    <s v="OK"/>
    <s v="OK"/>
    <s v="OK"/>
    <n v="0.33333333333333331"/>
    <n v="0.8"/>
    <n v="0.2"/>
    <n v="0.73333333333333328"/>
  </r>
  <r>
    <n v="32"/>
    <s v="No"/>
    <s v="Non-Travel"/>
    <n v="1184"/>
    <s v="Research &amp; Development"/>
    <n v="1"/>
    <n v="3"/>
    <s v="Life Sciences"/>
    <n v="1"/>
    <n v="951"/>
    <n v="3"/>
    <s v="Female"/>
    <n v="70"/>
    <n v="2"/>
    <n v="1"/>
    <x v="2"/>
    <n v="2"/>
    <s v="Married"/>
    <n v="2332"/>
    <n v="3974"/>
    <n v="6"/>
    <s v="Y"/>
    <s v="No"/>
    <n v="20"/>
    <n v="4"/>
    <n v="3"/>
    <n v="80"/>
    <n v="0"/>
    <n v="5"/>
    <n v="3"/>
    <n v="3"/>
    <n v="3"/>
    <n v="0"/>
    <x v="0"/>
    <n v="2"/>
    <s v="OK"/>
    <s v="OK"/>
    <s v="OK"/>
    <s v="OK"/>
    <n v="0"/>
    <n v="0"/>
    <n v="1"/>
    <n v="0.66666666666666663"/>
  </r>
  <r>
    <n v="25"/>
    <s v="Yes"/>
    <s v="Travel_Rarely"/>
    <n v="867"/>
    <s v="Sales"/>
    <n v="19"/>
    <n v="2"/>
    <s v="Marketing"/>
    <n v="1"/>
    <n v="952"/>
    <n v="3"/>
    <s v="Male"/>
    <n v="36"/>
    <n v="2"/>
    <n v="1"/>
    <x v="6"/>
    <n v="2"/>
    <s v="Married"/>
    <n v="2413"/>
    <n v="18798"/>
    <n v="1"/>
    <s v="Y"/>
    <s v="Yes"/>
    <n v="18"/>
    <n v="3"/>
    <n v="3"/>
    <n v="80"/>
    <n v="3"/>
    <n v="1"/>
    <n v="2"/>
    <n v="3"/>
    <n v="1"/>
    <n v="0"/>
    <x v="0"/>
    <n v="0"/>
    <s v="OK"/>
    <s v="OK"/>
    <s v="OK"/>
    <s v="OK"/>
    <n v="0"/>
    <n v="0"/>
    <n v="2"/>
    <n v="0"/>
  </r>
  <r>
    <n v="40"/>
    <s v="No"/>
    <s v="Travel_Rarely"/>
    <n v="658"/>
    <s v="Sales"/>
    <n v="10"/>
    <n v="4"/>
    <s v="Marketing"/>
    <n v="1"/>
    <n v="954"/>
    <n v="1"/>
    <s v="Male"/>
    <n v="67"/>
    <n v="2"/>
    <n v="3"/>
    <x v="0"/>
    <n v="2"/>
    <s v="Divorced"/>
    <n v="9705"/>
    <n v="20652"/>
    <n v="2"/>
    <s v="Y"/>
    <s v="No"/>
    <n v="12"/>
    <n v="3"/>
    <n v="2"/>
    <n v="80"/>
    <n v="1"/>
    <n v="11"/>
    <n v="2"/>
    <n v="2"/>
    <n v="1"/>
    <n v="0"/>
    <x v="0"/>
    <n v="0"/>
    <s v="OK"/>
    <s v="OK"/>
    <s v="OK"/>
    <s v="OK"/>
    <n v="0"/>
    <n v="0"/>
    <n v="2"/>
    <n v="0"/>
  </r>
  <r>
    <n v="26"/>
    <s v="No"/>
    <s v="Travel_Frequently"/>
    <n v="1283"/>
    <s v="Sales"/>
    <n v="1"/>
    <n v="3"/>
    <s v="Medical"/>
    <n v="1"/>
    <n v="956"/>
    <n v="3"/>
    <s v="Male"/>
    <n v="52"/>
    <n v="2"/>
    <n v="2"/>
    <x v="0"/>
    <n v="1"/>
    <s v="Single"/>
    <n v="4294"/>
    <n v="11148"/>
    <n v="1"/>
    <s v="Y"/>
    <s v="No"/>
    <n v="12"/>
    <n v="3"/>
    <n v="2"/>
    <n v="80"/>
    <n v="0"/>
    <n v="7"/>
    <n v="2"/>
    <n v="3"/>
    <n v="7"/>
    <n v="7"/>
    <x v="0"/>
    <n v="7"/>
    <s v="OK"/>
    <s v="OK"/>
    <s v="OK"/>
    <s v="OK"/>
    <n v="0"/>
    <n v="1"/>
    <n v="0.2857142857142857"/>
    <n v="1"/>
  </r>
  <r>
    <n v="41"/>
    <s v="No"/>
    <s v="Travel_Rarely"/>
    <n v="263"/>
    <s v="Research &amp; Development"/>
    <n v="6"/>
    <n v="3"/>
    <s v="Medical"/>
    <n v="1"/>
    <n v="957"/>
    <n v="4"/>
    <s v="Male"/>
    <n v="59"/>
    <n v="3"/>
    <n v="1"/>
    <x v="2"/>
    <n v="1"/>
    <s v="Single"/>
    <n v="4721"/>
    <n v="3119"/>
    <n v="2"/>
    <s v="Y"/>
    <s v="Yes"/>
    <n v="13"/>
    <n v="3"/>
    <n v="3"/>
    <n v="80"/>
    <n v="0"/>
    <n v="20"/>
    <n v="3"/>
    <n v="3"/>
    <n v="18"/>
    <n v="13"/>
    <x v="3"/>
    <n v="17"/>
    <s v="OK"/>
    <s v="OK"/>
    <s v="OK"/>
    <s v="OK"/>
    <n v="0.1111111111111111"/>
    <n v="0.72222222222222221"/>
    <n v="0.16666666666666666"/>
    <n v="0.94444444444444442"/>
  </r>
  <r>
    <n v="36"/>
    <s v="No"/>
    <s v="Travel_Rarely"/>
    <n v="938"/>
    <s v="Research &amp; Development"/>
    <n v="2"/>
    <n v="4"/>
    <s v="Medical"/>
    <n v="1"/>
    <n v="958"/>
    <n v="3"/>
    <s v="Male"/>
    <n v="79"/>
    <n v="3"/>
    <n v="1"/>
    <x v="2"/>
    <n v="3"/>
    <s v="Single"/>
    <n v="2519"/>
    <n v="12287"/>
    <n v="4"/>
    <s v="Y"/>
    <s v="No"/>
    <n v="21"/>
    <n v="4"/>
    <n v="3"/>
    <n v="80"/>
    <n v="0"/>
    <n v="16"/>
    <n v="6"/>
    <n v="3"/>
    <n v="11"/>
    <n v="8"/>
    <x v="2"/>
    <n v="9"/>
    <s v="OK"/>
    <s v="OK"/>
    <s v="OK"/>
    <s v="OK"/>
    <n v="0.27272727272727271"/>
    <n v="0.72727272727272729"/>
    <n v="0.54545454545454541"/>
    <n v="0.81818181818181823"/>
  </r>
  <r>
    <n v="19"/>
    <s v="Yes"/>
    <s v="Travel_Rarely"/>
    <n v="419"/>
    <s v="Sales"/>
    <n v="21"/>
    <n v="3"/>
    <s v="Other"/>
    <n v="1"/>
    <n v="959"/>
    <n v="4"/>
    <s v="Male"/>
    <n v="37"/>
    <n v="2"/>
    <n v="1"/>
    <x v="6"/>
    <n v="2"/>
    <s v="Single"/>
    <n v="2121"/>
    <n v="9947"/>
    <n v="1"/>
    <s v="Y"/>
    <s v="Yes"/>
    <n v="13"/>
    <n v="3"/>
    <n v="2"/>
    <n v="80"/>
    <n v="0"/>
    <n v="1"/>
    <n v="3"/>
    <n v="4"/>
    <n v="1"/>
    <n v="0"/>
    <x v="0"/>
    <n v="0"/>
    <s v="OK"/>
    <s v="OK"/>
    <s v="OK"/>
    <s v="OK"/>
    <n v="0"/>
    <n v="0"/>
    <n v="3"/>
    <n v="0"/>
  </r>
  <r>
    <n v="20"/>
    <s v="Yes"/>
    <s v="Travel_Rarely"/>
    <n v="129"/>
    <s v="Research &amp; Development"/>
    <n v="4"/>
    <n v="3"/>
    <s v="Technical Degree"/>
    <n v="1"/>
    <n v="960"/>
    <n v="1"/>
    <s v="Male"/>
    <n v="84"/>
    <n v="3"/>
    <n v="1"/>
    <x v="2"/>
    <n v="1"/>
    <s v="Single"/>
    <n v="2973"/>
    <n v="13008"/>
    <n v="1"/>
    <s v="Y"/>
    <s v="No"/>
    <n v="19"/>
    <n v="3"/>
    <n v="2"/>
    <n v="80"/>
    <n v="0"/>
    <n v="1"/>
    <n v="2"/>
    <n v="3"/>
    <n v="1"/>
    <n v="0"/>
    <x v="0"/>
    <n v="0"/>
    <s v="OK"/>
    <s v="OK"/>
    <s v="OK"/>
    <s v="OK"/>
    <n v="0"/>
    <n v="0"/>
    <n v="2"/>
    <n v="0"/>
  </r>
  <r>
    <n v="31"/>
    <s v="No"/>
    <s v="Travel_Rarely"/>
    <n v="616"/>
    <s v="Research &amp; Development"/>
    <n v="12"/>
    <n v="3"/>
    <s v="Medical"/>
    <n v="1"/>
    <n v="961"/>
    <n v="4"/>
    <s v="Female"/>
    <n v="41"/>
    <n v="3"/>
    <n v="2"/>
    <x v="4"/>
    <n v="4"/>
    <s v="Married"/>
    <n v="5855"/>
    <n v="17369"/>
    <n v="0"/>
    <s v="Y"/>
    <s v="Yes"/>
    <n v="11"/>
    <n v="3"/>
    <n v="3"/>
    <n v="80"/>
    <n v="2"/>
    <n v="10"/>
    <n v="2"/>
    <n v="1"/>
    <n v="9"/>
    <n v="7"/>
    <x v="6"/>
    <n v="5"/>
    <s v="OK"/>
    <s v="OK"/>
    <s v="OK"/>
    <s v="OK"/>
    <n v="0.88888888888888884"/>
    <n v="0.77777777777777779"/>
    <n v="0.22222222222222221"/>
    <n v="0.55555555555555558"/>
  </r>
  <r>
    <n v="40"/>
    <s v="No"/>
    <s v="Travel_Frequently"/>
    <n v="1469"/>
    <s v="Research &amp; Development"/>
    <n v="9"/>
    <n v="4"/>
    <s v="Medical"/>
    <n v="1"/>
    <n v="964"/>
    <n v="4"/>
    <s v="Male"/>
    <n v="35"/>
    <n v="3"/>
    <n v="1"/>
    <x v="1"/>
    <n v="2"/>
    <s v="Divorced"/>
    <n v="3617"/>
    <n v="25063"/>
    <n v="8"/>
    <s v="Y"/>
    <s v="Yes"/>
    <n v="14"/>
    <n v="3"/>
    <n v="4"/>
    <n v="80"/>
    <n v="1"/>
    <n v="3"/>
    <n v="2"/>
    <n v="3"/>
    <n v="1"/>
    <n v="1"/>
    <x v="0"/>
    <n v="0"/>
    <s v="OK"/>
    <s v="OK"/>
    <s v="OK"/>
    <s v="OK"/>
    <n v="0"/>
    <n v="1"/>
    <n v="2"/>
    <n v="0"/>
  </r>
  <r>
    <n v="32"/>
    <s v="No"/>
    <s v="Travel_Rarely"/>
    <n v="498"/>
    <s v="Research &amp; Development"/>
    <n v="3"/>
    <n v="4"/>
    <s v="Medical"/>
    <n v="1"/>
    <n v="966"/>
    <n v="3"/>
    <s v="Female"/>
    <n v="93"/>
    <n v="3"/>
    <n v="2"/>
    <x v="3"/>
    <n v="1"/>
    <s v="Married"/>
    <n v="6725"/>
    <n v="13554"/>
    <n v="1"/>
    <s v="Y"/>
    <s v="No"/>
    <n v="12"/>
    <n v="3"/>
    <n v="3"/>
    <n v="80"/>
    <n v="1"/>
    <n v="8"/>
    <n v="2"/>
    <n v="4"/>
    <n v="8"/>
    <n v="7"/>
    <x v="7"/>
    <n v="3"/>
    <s v="OK"/>
    <s v="OK"/>
    <s v="OK"/>
    <s v="OK"/>
    <n v="0.75"/>
    <n v="0.875"/>
    <n v="0.25"/>
    <n v="0.375"/>
  </r>
  <r>
    <n v="36"/>
    <s v="Yes"/>
    <s v="Travel_Rarely"/>
    <n v="530"/>
    <s v="Sales"/>
    <n v="3"/>
    <n v="1"/>
    <s v="Life Sciences"/>
    <n v="1"/>
    <n v="967"/>
    <n v="3"/>
    <s v="Male"/>
    <n v="51"/>
    <n v="2"/>
    <n v="3"/>
    <x v="0"/>
    <n v="4"/>
    <s v="Married"/>
    <n v="10325"/>
    <n v="5518"/>
    <n v="1"/>
    <s v="Y"/>
    <s v="Yes"/>
    <n v="11"/>
    <n v="3"/>
    <n v="1"/>
    <n v="80"/>
    <n v="1"/>
    <n v="16"/>
    <n v="6"/>
    <n v="3"/>
    <n v="16"/>
    <n v="7"/>
    <x v="2"/>
    <n v="7"/>
    <s v="OK"/>
    <s v="OK"/>
    <s v="OK"/>
    <s v="OK"/>
    <n v="0.1875"/>
    <n v="0.4375"/>
    <n v="0.375"/>
    <n v="0.4375"/>
  </r>
  <r>
    <n v="33"/>
    <s v="No"/>
    <s v="Travel_Rarely"/>
    <n v="1069"/>
    <s v="Research &amp; Development"/>
    <n v="1"/>
    <n v="3"/>
    <s v="Life Sciences"/>
    <n v="1"/>
    <n v="969"/>
    <n v="2"/>
    <s v="Female"/>
    <n v="42"/>
    <n v="2"/>
    <n v="2"/>
    <x v="4"/>
    <n v="4"/>
    <s v="Single"/>
    <n v="6949"/>
    <n v="12291"/>
    <n v="0"/>
    <s v="Y"/>
    <s v="No"/>
    <n v="14"/>
    <n v="3"/>
    <n v="1"/>
    <n v="80"/>
    <n v="0"/>
    <n v="6"/>
    <n v="3"/>
    <n v="3"/>
    <n v="5"/>
    <n v="0"/>
    <x v="1"/>
    <n v="4"/>
    <s v="OK"/>
    <s v="OK"/>
    <s v="OK"/>
    <s v="OK"/>
    <n v="0.2"/>
    <n v="0"/>
    <n v="0.6"/>
    <n v="0.8"/>
  </r>
  <r>
    <n v="37"/>
    <s v="Yes"/>
    <s v="Travel_Rarely"/>
    <n v="625"/>
    <s v="Sales"/>
    <n v="1"/>
    <n v="4"/>
    <s v="Life Sciences"/>
    <n v="1"/>
    <n v="970"/>
    <n v="1"/>
    <s v="Male"/>
    <n v="46"/>
    <n v="2"/>
    <n v="3"/>
    <x v="0"/>
    <n v="3"/>
    <s v="Married"/>
    <n v="10609"/>
    <n v="14922"/>
    <n v="5"/>
    <s v="Y"/>
    <s v="No"/>
    <n v="11"/>
    <n v="3"/>
    <n v="3"/>
    <n v="80"/>
    <n v="0"/>
    <n v="17"/>
    <n v="2"/>
    <n v="1"/>
    <n v="14"/>
    <n v="1"/>
    <x v="14"/>
    <n v="7"/>
    <s v="OK"/>
    <s v="OK"/>
    <s v="OK"/>
    <s v="OK"/>
    <n v="0.7857142857142857"/>
    <n v="7.1428571428571425E-2"/>
    <n v="0.14285714285714285"/>
    <n v="0.5"/>
  </r>
  <r>
    <n v="45"/>
    <s v="No"/>
    <s v="Non-Travel"/>
    <n v="805"/>
    <s v="Research &amp; Development"/>
    <n v="4"/>
    <n v="2"/>
    <s v="Life Sciences"/>
    <n v="1"/>
    <n v="972"/>
    <n v="3"/>
    <s v="Male"/>
    <n v="57"/>
    <n v="3"/>
    <n v="2"/>
    <x v="2"/>
    <n v="2"/>
    <s v="Married"/>
    <n v="4447"/>
    <n v="23163"/>
    <n v="1"/>
    <s v="Y"/>
    <s v="No"/>
    <n v="12"/>
    <n v="3"/>
    <n v="2"/>
    <n v="80"/>
    <n v="0"/>
    <n v="9"/>
    <n v="5"/>
    <n v="2"/>
    <n v="9"/>
    <n v="7"/>
    <x v="0"/>
    <n v="8"/>
    <s v="OK"/>
    <s v="OK"/>
    <s v="OK"/>
    <s v="OK"/>
    <n v="0"/>
    <n v="0.77777777777777779"/>
    <n v="0.55555555555555558"/>
    <n v="0.88888888888888884"/>
  </r>
  <r>
    <n v="29"/>
    <s v="No"/>
    <s v="Travel_Frequently"/>
    <n v="1404"/>
    <s v="Sales"/>
    <n v="20"/>
    <n v="3"/>
    <s v="Technical Degree"/>
    <n v="1"/>
    <n v="974"/>
    <n v="3"/>
    <s v="Female"/>
    <n v="84"/>
    <n v="3"/>
    <n v="1"/>
    <x v="6"/>
    <n v="4"/>
    <s v="Married"/>
    <n v="2157"/>
    <n v="18203"/>
    <n v="1"/>
    <s v="Y"/>
    <s v="No"/>
    <n v="15"/>
    <n v="3"/>
    <n v="2"/>
    <n v="80"/>
    <n v="1"/>
    <n v="3"/>
    <n v="5"/>
    <n v="3"/>
    <n v="3"/>
    <n v="1"/>
    <x v="0"/>
    <n v="2"/>
    <s v="OK"/>
    <s v="OK"/>
    <s v="OK"/>
    <s v="OK"/>
    <n v="0"/>
    <n v="0.33333333333333331"/>
    <n v="1.6666666666666667"/>
    <n v="0.66666666666666663"/>
  </r>
  <r>
    <n v="35"/>
    <s v="No"/>
    <s v="Travel_Rarely"/>
    <n v="1219"/>
    <s v="Sales"/>
    <n v="18"/>
    <n v="3"/>
    <s v="Medical"/>
    <n v="1"/>
    <n v="975"/>
    <n v="3"/>
    <s v="Female"/>
    <n v="86"/>
    <n v="3"/>
    <n v="2"/>
    <x v="0"/>
    <n v="3"/>
    <s v="Married"/>
    <n v="4601"/>
    <n v="6179"/>
    <n v="1"/>
    <s v="Y"/>
    <s v="No"/>
    <n v="16"/>
    <n v="3"/>
    <n v="2"/>
    <n v="80"/>
    <n v="0"/>
    <n v="5"/>
    <n v="3"/>
    <n v="3"/>
    <n v="5"/>
    <n v="2"/>
    <x v="1"/>
    <n v="0"/>
    <s v="OK"/>
    <s v="OK"/>
    <s v="OK"/>
    <s v="OK"/>
    <n v="0.2"/>
    <n v="0.4"/>
    <n v="0.6"/>
    <n v="0"/>
  </r>
  <r>
    <n v="52"/>
    <s v="No"/>
    <s v="Travel_Rarely"/>
    <n v="1053"/>
    <s v="Research &amp; Development"/>
    <n v="1"/>
    <n v="2"/>
    <s v="Life Sciences"/>
    <n v="1"/>
    <n v="976"/>
    <n v="4"/>
    <s v="Male"/>
    <n v="70"/>
    <n v="3"/>
    <n v="4"/>
    <x v="5"/>
    <n v="4"/>
    <s v="Married"/>
    <n v="17099"/>
    <n v="13829"/>
    <n v="2"/>
    <s v="Y"/>
    <s v="No"/>
    <n v="15"/>
    <n v="3"/>
    <n v="2"/>
    <n v="80"/>
    <n v="1"/>
    <n v="26"/>
    <n v="2"/>
    <n v="2"/>
    <n v="9"/>
    <n v="8"/>
    <x v="4"/>
    <n v="8"/>
    <s v="OK"/>
    <s v="OK"/>
    <s v="OK"/>
    <s v="OK"/>
    <n v="0.77777777777777779"/>
    <n v="0.88888888888888884"/>
    <n v="0.22222222222222221"/>
    <n v="0.88888888888888884"/>
  </r>
  <r>
    <n v="58"/>
    <s v="Yes"/>
    <s v="Travel_Rarely"/>
    <n v="289"/>
    <s v="Research &amp; Development"/>
    <n v="2"/>
    <n v="3"/>
    <s v="Technical Degree"/>
    <n v="1"/>
    <n v="977"/>
    <n v="4"/>
    <s v="Male"/>
    <n v="51"/>
    <n v="3"/>
    <n v="1"/>
    <x v="1"/>
    <n v="3"/>
    <s v="Single"/>
    <n v="2479"/>
    <n v="26227"/>
    <n v="4"/>
    <s v="Y"/>
    <s v="No"/>
    <n v="24"/>
    <n v="4"/>
    <n v="1"/>
    <n v="80"/>
    <n v="0"/>
    <n v="7"/>
    <n v="4"/>
    <n v="3"/>
    <n v="1"/>
    <n v="0"/>
    <x v="0"/>
    <n v="0"/>
    <s v="OK"/>
    <s v="OK"/>
    <s v="OK"/>
    <s v="OK"/>
    <n v="0"/>
    <n v="0"/>
    <n v="4"/>
    <n v="0"/>
  </r>
  <r>
    <n v="53"/>
    <s v="No"/>
    <s v="Travel_Rarely"/>
    <n v="1376"/>
    <s v="Sales"/>
    <n v="2"/>
    <n v="2"/>
    <s v="Medical"/>
    <n v="1"/>
    <n v="981"/>
    <n v="3"/>
    <s v="Male"/>
    <n v="45"/>
    <n v="3"/>
    <n v="4"/>
    <x v="5"/>
    <n v="3"/>
    <s v="Divorced"/>
    <n v="14852"/>
    <n v="13938"/>
    <n v="6"/>
    <s v="Y"/>
    <s v="No"/>
    <n v="13"/>
    <n v="3"/>
    <n v="3"/>
    <n v="80"/>
    <n v="1"/>
    <n v="22"/>
    <n v="3"/>
    <n v="4"/>
    <n v="17"/>
    <n v="13"/>
    <x v="9"/>
    <n v="2"/>
    <s v="OK"/>
    <s v="OK"/>
    <s v="OK"/>
    <s v="OK"/>
    <n v="0.88235294117647056"/>
    <n v="0.76470588235294112"/>
    <n v="0.17647058823529413"/>
    <n v="0.11764705882352941"/>
  </r>
  <r>
    <n v="30"/>
    <s v="No"/>
    <s v="Travel_Rarely"/>
    <n v="231"/>
    <s v="Sales"/>
    <n v="8"/>
    <n v="2"/>
    <s v="Other"/>
    <n v="1"/>
    <n v="982"/>
    <n v="3"/>
    <s v="Male"/>
    <n v="62"/>
    <n v="3"/>
    <n v="3"/>
    <x v="0"/>
    <n v="3"/>
    <s v="Divorced"/>
    <n v="7264"/>
    <n v="9977"/>
    <n v="5"/>
    <s v="Y"/>
    <s v="No"/>
    <n v="11"/>
    <n v="3"/>
    <n v="1"/>
    <n v="80"/>
    <n v="1"/>
    <n v="10"/>
    <n v="2"/>
    <n v="4"/>
    <n v="8"/>
    <n v="4"/>
    <x v="4"/>
    <n v="7"/>
    <s v="OK"/>
    <s v="OK"/>
    <s v="OK"/>
    <s v="OK"/>
    <n v="0.875"/>
    <n v="0.5"/>
    <n v="0.25"/>
    <n v="0.875"/>
  </r>
  <r>
    <n v="38"/>
    <s v="No"/>
    <s v="Non-Travel"/>
    <n v="152"/>
    <s v="Sales"/>
    <n v="10"/>
    <n v="3"/>
    <s v="Technical Degree"/>
    <n v="1"/>
    <n v="983"/>
    <n v="3"/>
    <s v="Female"/>
    <n v="85"/>
    <n v="3"/>
    <n v="2"/>
    <x v="0"/>
    <n v="4"/>
    <s v="Single"/>
    <n v="5666"/>
    <n v="19899"/>
    <n v="1"/>
    <s v="Y"/>
    <s v="Yes"/>
    <n v="13"/>
    <n v="3"/>
    <n v="2"/>
    <n v="80"/>
    <n v="0"/>
    <n v="6"/>
    <n v="1"/>
    <n v="3"/>
    <n v="5"/>
    <n v="3"/>
    <x v="1"/>
    <n v="3"/>
    <s v="OK"/>
    <s v="OK"/>
    <s v="OK"/>
    <s v="OK"/>
    <n v="0.2"/>
    <n v="0.6"/>
    <n v="0.2"/>
    <n v="0.6"/>
  </r>
  <r>
    <n v="35"/>
    <s v="No"/>
    <s v="Travel_Rarely"/>
    <n v="882"/>
    <s v="Sales"/>
    <n v="3"/>
    <n v="4"/>
    <s v="Life Sciences"/>
    <n v="1"/>
    <n v="984"/>
    <n v="4"/>
    <s v="Male"/>
    <n v="92"/>
    <n v="3"/>
    <n v="3"/>
    <x v="0"/>
    <n v="4"/>
    <s v="Divorced"/>
    <n v="7823"/>
    <n v="6812"/>
    <n v="6"/>
    <s v="Y"/>
    <s v="No"/>
    <n v="13"/>
    <n v="3"/>
    <n v="2"/>
    <n v="80"/>
    <n v="1"/>
    <n v="12"/>
    <n v="2"/>
    <n v="3"/>
    <n v="10"/>
    <n v="9"/>
    <x v="0"/>
    <n v="8"/>
    <s v="OK"/>
    <s v="OK"/>
    <s v="OK"/>
    <s v="OK"/>
    <n v="0"/>
    <n v="0.9"/>
    <n v="0.2"/>
    <n v="0.8"/>
  </r>
  <r>
    <n v="39"/>
    <s v="No"/>
    <s v="Travel_Rarely"/>
    <n v="903"/>
    <s v="Sales"/>
    <n v="2"/>
    <n v="5"/>
    <s v="Life Sciences"/>
    <n v="1"/>
    <n v="985"/>
    <n v="1"/>
    <s v="Male"/>
    <n v="41"/>
    <n v="4"/>
    <n v="3"/>
    <x v="0"/>
    <n v="3"/>
    <s v="Single"/>
    <n v="7880"/>
    <n v="2560"/>
    <n v="0"/>
    <s v="Y"/>
    <s v="No"/>
    <n v="18"/>
    <n v="3"/>
    <n v="4"/>
    <n v="80"/>
    <n v="0"/>
    <n v="9"/>
    <n v="3"/>
    <n v="3"/>
    <n v="8"/>
    <n v="7"/>
    <x v="0"/>
    <n v="7"/>
    <s v="OK"/>
    <s v="OK"/>
    <s v="OK"/>
    <s v="OK"/>
    <n v="0"/>
    <n v="0.875"/>
    <n v="0.375"/>
    <n v="0.875"/>
  </r>
  <r>
    <n v="40"/>
    <s v="Yes"/>
    <s v="Non-Travel"/>
    <n v="1479"/>
    <s v="Sales"/>
    <n v="24"/>
    <n v="3"/>
    <s v="Life Sciences"/>
    <n v="1"/>
    <n v="986"/>
    <n v="2"/>
    <s v="Female"/>
    <n v="100"/>
    <n v="4"/>
    <n v="4"/>
    <x v="0"/>
    <n v="2"/>
    <s v="Single"/>
    <n v="13194"/>
    <n v="17071"/>
    <n v="4"/>
    <s v="Y"/>
    <s v="Yes"/>
    <n v="16"/>
    <n v="3"/>
    <n v="4"/>
    <n v="80"/>
    <n v="0"/>
    <n v="22"/>
    <n v="2"/>
    <n v="2"/>
    <n v="1"/>
    <n v="0"/>
    <x v="0"/>
    <n v="0"/>
    <s v="OK"/>
    <s v="OK"/>
    <s v="OK"/>
    <s v="OK"/>
    <n v="0"/>
    <n v="0"/>
    <n v="2"/>
    <n v="0"/>
  </r>
  <r>
    <n v="47"/>
    <s v="No"/>
    <s v="Travel_Frequently"/>
    <n v="1379"/>
    <s v="Research &amp; Development"/>
    <n v="16"/>
    <n v="4"/>
    <s v="Medical"/>
    <n v="1"/>
    <n v="987"/>
    <n v="3"/>
    <s v="Male"/>
    <n v="64"/>
    <n v="4"/>
    <n v="2"/>
    <x v="3"/>
    <n v="3"/>
    <s v="Divorced"/>
    <n v="5067"/>
    <n v="6759"/>
    <n v="1"/>
    <s v="Y"/>
    <s v="Yes"/>
    <n v="19"/>
    <n v="3"/>
    <n v="3"/>
    <n v="80"/>
    <n v="0"/>
    <n v="20"/>
    <n v="3"/>
    <n v="4"/>
    <n v="19"/>
    <n v="10"/>
    <x v="3"/>
    <n v="7"/>
    <s v="OK"/>
    <s v="OK"/>
    <s v="OK"/>
    <s v="OK"/>
    <n v="0.10526315789473684"/>
    <n v="0.52631578947368418"/>
    <n v="0.15789473684210525"/>
    <n v="0.36842105263157893"/>
  </r>
  <r>
    <n v="36"/>
    <s v="No"/>
    <s v="Non-Travel"/>
    <n v="1229"/>
    <s v="Sales"/>
    <n v="8"/>
    <n v="4"/>
    <s v="Technical Degree"/>
    <n v="1"/>
    <n v="990"/>
    <n v="1"/>
    <s v="Male"/>
    <n v="84"/>
    <n v="3"/>
    <n v="2"/>
    <x v="0"/>
    <n v="4"/>
    <s v="Divorced"/>
    <n v="5079"/>
    <n v="25952"/>
    <n v="4"/>
    <s v="Y"/>
    <s v="No"/>
    <n v="13"/>
    <n v="3"/>
    <n v="4"/>
    <n v="80"/>
    <n v="2"/>
    <n v="12"/>
    <n v="3"/>
    <n v="3"/>
    <n v="7"/>
    <n v="7"/>
    <x v="0"/>
    <n v="7"/>
    <s v="OK"/>
    <s v="OK"/>
    <s v="OK"/>
    <s v="OK"/>
    <n v="0"/>
    <n v="1"/>
    <n v="0.42857142857142855"/>
    <n v="1"/>
  </r>
  <r>
    <n v="31"/>
    <s v="Yes"/>
    <s v="Non-Travel"/>
    <n v="335"/>
    <s v="Research &amp; Development"/>
    <n v="9"/>
    <n v="2"/>
    <s v="Medical"/>
    <n v="1"/>
    <n v="991"/>
    <n v="3"/>
    <s v="Male"/>
    <n v="46"/>
    <n v="2"/>
    <n v="1"/>
    <x v="1"/>
    <n v="1"/>
    <s v="Single"/>
    <n v="2321"/>
    <n v="10322"/>
    <n v="0"/>
    <s v="Y"/>
    <s v="Yes"/>
    <n v="22"/>
    <n v="4"/>
    <n v="1"/>
    <n v="80"/>
    <n v="0"/>
    <n v="4"/>
    <n v="0"/>
    <n v="3"/>
    <n v="3"/>
    <n v="2"/>
    <x v="1"/>
    <n v="2"/>
    <s v="OK"/>
    <s v="OK"/>
    <s v="OK"/>
    <s v="OK"/>
    <n v="0.33333333333333331"/>
    <n v="0.66666666666666663"/>
    <n v="0"/>
    <n v="0.66666666666666663"/>
  </r>
  <r>
    <n v="33"/>
    <s v="No"/>
    <s v="Non-Travel"/>
    <n v="722"/>
    <s v="Sales"/>
    <n v="17"/>
    <n v="3"/>
    <s v="Life Sciences"/>
    <n v="1"/>
    <n v="992"/>
    <n v="4"/>
    <s v="Male"/>
    <n v="38"/>
    <n v="3"/>
    <n v="4"/>
    <x v="5"/>
    <n v="3"/>
    <s v="Single"/>
    <n v="17444"/>
    <n v="20489"/>
    <n v="1"/>
    <s v="Y"/>
    <s v="No"/>
    <n v="11"/>
    <n v="3"/>
    <n v="4"/>
    <n v="80"/>
    <n v="0"/>
    <n v="10"/>
    <n v="2"/>
    <n v="3"/>
    <n v="10"/>
    <n v="8"/>
    <x v="7"/>
    <n v="0"/>
    <s v="OK"/>
    <s v="OK"/>
    <s v="OK"/>
    <s v="OK"/>
    <n v="0.6"/>
    <n v="0.8"/>
    <n v="0.2"/>
    <n v="0"/>
  </r>
  <r>
    <n v="29"/>
    <s v="Yes"/>
    <s v="Travel_Rarely"/>
    <n v="906"/>
    <s v="Research &amp; Development"/>
    <n v="10"/>
    <n v="3"/>
    <s v="Life Sciences"/>
    <n v="1"/>
    <n v="994"/>
    <n v="4"/>
    <s v="Female"/>
    <n v="92"/>
    <n v="2"/>
    <n v="1"/>
    <x v="1"/>
    <n v="1"/>
    <s v="Single"/>
    <n v="2404"/>
    <n v="11479"/>
    <n v="6"/>
    <s v="Y"/>
    <s v="Yes"/>
    <n v="20"/>
    <n v="4"/>
    <n v="3"/>
    <n v="80"/>
    <n v="0"/>
    <n v="3"/>
    <n v="5"/>
    <n v="3"/>
    <n v="0"/>
    <n v="0"/>
    <x v="0"/>
    <n v="0"/>
    <s v="OK"/>
    <s v="OK"/>
    <s v="OK"/>
    <s v="OK"/>
    <n v="0"/>
    <n v="0"/>
    <n v="0"/>
    <n v="0"/>
  </r>
  <r>
    <n v="33"/>
    <s v="No"/>
    <s v="Travel_Rarely"/>
    <n v="461"/>
    <s v="Research &amp; Development"/>
    <n v="13"/>
    <n v="1"/>
    <s v="Life Sciences"/>
    <n v="1"/>
    <n v="995"/>
    <n v="2"/>
    <s v="Female"/>
    <n v="53"/>
    <n v="3"/>
    <n v="1"/>
    <x v="1"/>
    <n v="4"/>
    <s v="Single"/>
    <n v="3452"/>
    <n v="17241"/>
    <n v="3"/>
    <s v="Y"/>
    <s v="No"/>
    <n v="18"/>
    <n v="3"/>
    <n v="1"/>
    <n v="80"/>
    <n v="0"/>
    <n v="5"/>
    <n v="4"/>
    <n v="3"/>
    <n v="3"/>
    <n v="2"/>
    <x v="0"/>
    <n v="2"/>
    <s v="OK"/>
    <s v="OK"/>
    <s v="OK"/>
    <s v="OK"/>
    <n v="0"/>
    <n v="0.66666666666666663"/>
    <n v="1.3333333333333333"/>
    <n v="0.66666666666666663"/>
  </r>
  <r>
    <n v="45"/>
    <s v="No"/>
    <s v="Travel_Rarely"/>
    <n v="974"/>
    <s v="Research &amp; Development"/>
    <n v="1"/>
    <n v="4"/>
    <s v="Medical"/>
    <n v="1"/>
    <n v="996"/>
    <n v="4"/>
    <s v="Female"/>
    <n v="91"/>
    <n v="3"/>
    <n v="1"/>
    <x v="2"/>
    <n v="4"/>
    <s v="Divorced"/>
    <n v="2270"/>
    <n v="11005"/>
    <n v="3"/>
    <s v="Y"/>
    <s v="No"/>
    <n v="14"/>
    <n v="3"/>
    <n v="4"/>
    <n v="80"/>
    <n v="2"/>
    <n v="8"/>
    <n v="2"/>
    <n v="3"/>
    <n v="5"/>
    <n v="3"/>
    <x v="0"/>
    <n v="2"/>
    <s v="OK"/>
    <s v="OK"/>
    <s v="OK"/>
    <s v="OK"/>
    <n v="0"/>
    <n v="0.6"/>
    <n v="0.4"/>
    <n v="0.4"/>
  </r>
  <r>
    <n v="50"/>
    <s v="No"/>
    <s v="Travel_Rarely"/>
    <n v="1126"/>
    <s v="Research &amp; Development"/>
    <n v="1"/>
    <n v="2"/>
    <s v="Medical"/>
    <n v="1"/>
    <n v="997"/>
    <n v="4"/>
    <s v="Male"/>
    <n v="66"/>
    <n v="3"/>
    <n v="4"/>
    <x v="7"/>
    <n v="4"/>
    <s v="Divorced"/>
    <n v="17399"/>
    <n v="6615"/>
    <n v="9"/>
    <s v="Y"/>
    <s v="No"/>
    <n v="22"/>
    <n v="4"/>
    <n v="3"/>
    <n v="80"/>
    <n v="1"/>
    <n v="32"/>
    <n v="1"/>
    <n v="2"/>
    <n v="5"/>
    <n v="4"/>
    <x v="1"/>
    <n v="3"/>
    <s v="OK"/>
    <s v="OK"/>
    <s v="OK"/>
    <s v="OK"/>
    <n v="0.2"/>
    <n v="0.8"/>
    <n v="0.2"/>
    <n v="0.6"/>
  </r>
  <r>
    <n v="33"/>
    <s v="No"/>
    <s v="Travel_Frequently"/>
    <n v="827"/>
    <s v="Research &amp; Development"/>
    <n v="1"/>
    <n v="4"/>
    <s v="Other"/>
    <n v="1"/>
    <n v="998"/>
    <n v="3"/>
    <s v="Female"/>
    <n v="84"/>
    <n v="4"/>
    <n v="2"/>
    <x v="4"/>
    <n v="2"/>
    <s v="Married"/>
    <n v="5488"/>
    <n v="20161"/>
    <n v="1"/>
    <s v="Y"/>
    <s v="Yes"/>
    <n v="13"/>
    <n v="3"/>
    <n v="1"/>
    <n v="80"/>
    <n v="1"/>
    <n v="6"/>
    <n v="2"/>
    <n v="3"/>
    <n v="6"/>
    <n v="5"/>
    <x v="1"/>
    <n v="2"/>
    <s v="OK"/>
    <s v="OK"/>
    <s v="OK"/>
    <s v="OK"/>
    <n v="0.16666666666666666"/>
    <n v="0.83333333333333337"/>
    <n v="0.33333333333333331"/>
    <n v="0.33333333333333331"/>
  </r>
  <r>
    <n v="41"/>
    <s v="No"/>
    <s v="Travel_Frequently"/>
    <n v="840"/>
    <s v="Research &amp; Development"/>
    <n v="9"/>
    <n v="3"/>
    <s v="Medical"/>
    <n v="1"/>
    <n v="999"/>
    <n v="1"/>
    <s v="Male"/>
    <n v="64"/>
    <n v="3"/>
    <n v="5"/>
    <x v="7"/>
    <n v="3"/>
    <s v="Divorced"/>
    <n v="19419"/>
    <n v="3735"/>
    <n v="2"/>
    <s v="Y"/>
    <s v="No"/>
    <n v="17"/>
    <n v="3"/>
    <n v="2"/>
    <n v="80"/>
    <n v="1"/>
    <n v="21"/>
    <n v="2"/>
    <n v="4"/>
    <n v="18"/>
    <n v="16"/>
    <x v="0"/>
    <n v="11"/>
    <s v="OK"/>
    <s v="OK"/>
    <s v="OK"/>
    <s v="OK"/>
    <n v="0"/>
    <n v="0.88888888888888884"/>
    <n v="0.1111111111111111"/>
    <n v="0.61111111111111116"/>
  </r>
  <r>
    <n v="27"/>
    <s v="No"/>
    <s v="Travel_Rarely"/>
    <n v="1134"/>
    <s v="Research &amp; Development"/>
    <n v="16"/>
    <n v="4"/>
    <s v="Technical Degree"/>
    <n v="1"/>
    <n v="1001"/>
    <n v="3"/>
    <s v="Female"/>
    <n v="37"/>
    <n v="3"/>
    <n v="1"/>
    <x v="2"/>
    <n v="2"/>
    <s v="Married"/>
    <n v="2811"/>
    <n v="12086"/>
    <n v="9"/>
    <s v="Y"/>
    <s v="No"/>
    <n v="14"/>
    <n v="3"/>
    <n v="2"/>
    <n v="80"/>
    <n v="1"/>
    <n v="4"/>
    <n v="2"/>
    <n v="3"/>
    <n v="2"/>
    <n v="2"/>
    <x v="3"/>
    <n v="2"/>
    <s v="OK"/>
    <s v="OK"/>
    <s v="OK"/>
    <s v="OK"/>
    <n v="1"/>
    <n v="1"/>
    <n v="1"/>
    <n v="1"/>
  </r>
  <r>
    <n v="45"/>
    <s v="No"/>
    <s v="Non-Travel"/>
    <n v="248"/>
    <s v="Research &amp; Development"/>
    <n v="23"/>
    <n v="2"/>
    <s v="Life Sciences"/>
    <n v="1"/>
    <n v="1002"/>
    <n v="4"/>
    <s v="Male"/>
    <n v="42"/>
    <n v="3"/>
    <n v="2"/>
    <x v="2"/>
    <n v="1"/>
    <s v="Married"/>
    <n v="3633"/>
    <n v="14039"/>
    <n v="1"/>
    <s v="Y"/>
    <s v="Yes"/>
    <n v="15"/>
    <n v="3"/>
    <n v="3"/>
    <n v="80"/>
    <n v="1"/>
    <n v="9"/>
    <n v="2"/>
    <n v="3"/>
    <n v="9"/>
    <n v="8"/>
    <x v="0"/>
    <n v="8"/>
    <s v="OK"/>
    <s v="OK"/>
    <s v="OK"/>
    <s v="OK"/>
    <n v="0"/>
    <n v="0.88888888888888884"/>
    <n v="0.22222222222222221"/>
    <n v="0.88888888888888884"/>
  </r>
  <r>
    <n v="47"/>
    <s v="No"/>
    <s v="Travel_Rarely"/>
    <n v="955"/>
    <s v="Sales"/>
    <n v="4"/>
    <n v="2"/>
    <s v="Life Sciences"/>
    <n v="1"/>
    <n v="1003"/>
    <n v="4"/>
    <s v="Female"/>
    <n v="83"/>
    <n v="3"/>
    <n v="2"/>
    <x v="0"/>
    <n v="4"/>
    <s v="Single"/>
    <n v="4163"/>
    <n v="8571"/>
    <n v="1"/>
    <s v="Y"/>
    <s v="Yes"/>
    <n v="17"/>
    <n v="3"/>
    <n v="3"/>
    <n v="80"/>
    <n v="0"/>
    <n v="9"/>
    <n v="0"/>
    <n v="3"/>
    <n v="9"/>
    <n v="0"/>
    <x v="0"/>
    <n v="7"/>
    <s v="OK"/>
    <s v="OK"/>
    <s v="OK"/>
    <s v="OK"/>
    <n v="0"/>
    <n v="0"/>
    <n v="0"/>
    <n v="0.77777777777777779"/>
  </r>
  <r>
    <n v="30"/>
    <s v="Yes"/>
    <s v="Travel_Rarely"/>
    <n v="138"/>
    <s v="Research &amp; Development"/>
    <n v="22"/>
    <n v="3"/>
    <s v="Life Sciences"/>
    <n v="1"/>
    <n v="1004"/>
    <n v="1"/>
    <s v="Female"/>
    <n v="48"/>
    <n v="3"/>
    <n v="1"/>
    <x v="1"/>
    <n v="3"/>
    <s v="Married"/>
    <n v="2132"/>
    <n v="11539"/>
    <n v="4"/>
    <s v="Y"/>
    <s v="Yes"/>
    <n v="11"/>
    <n v="3"/>
    <n v="2"/>
    <n v="80"/>
    <n v="0"/>
    <n v="7"/>
    <n v="2"/>
    <n v="3"/>
    <n v="5"/>
    <n v="2"/>
    <x v="0"/>
    <n v="1"/>
    <s v="OK"/>
    <s v="OK"/>
    <s v="OK"/>
    <s v="OK"/>
    <n v="0"/>
    <n v="0.4"/>
    <n v="0.4"/>
    <n v="0.2"/>
  </r>
  <r>
    <n v="50"/>
    <s v="No"/>
    <s v="Travel_Rarely"/>
    <n v="939"/>
    <s v="Research &amp; Development"/>
    <n v="24"/>
    <n v="3"/>
    <s v="Life Sciences"/>
    <n v="1"/>
    <n v="1005"/>
    <n v="4"/>
    <s v="Male"/>
    <n v="95"/>
    <n v="3"/>
    <n v="4"/>
    <x v="3"/>
    <n v="3"/>
    <s v="Married"/>
    <n v="13973"/>
    <n v="4161"/>
    <n v="3"/>
    <s v="Y"/>
    <s v="Yes"/>
    <n v="18"/>
    <n v="3"/>
    <n v="4"/>
    <n v="80"/>
    <n v="1"/>
    <n v="22"/>
    <n v="2"/>
    <n v="3"/>
    <n v="12"/>
    <n v="11"/>
    <x v="1"/>
    <n v="5"/>
    <s v="OK"/>
    <s v="OK"/>
    <s v="OK"/>
    <s v="OK"/>
    <n v="8.3333333333333329E-2"/>
    <n v="0.91666666666666663"/>
    <n v="0.16666666666666666"/>
    <n v="0.41666666666666669"/>
  </r>
  <r>
    <n v="38"/>
    <s v="No"/>
    <s v="Travel_Frequently"/>
    <n v="1391"/>
    <s v="Research &amp; Development"/>
    <n v="10"/>
    <n v="1"/>
    <s v="Medical"/>
    <n v="1"/>
    <n v="1006"/>
    <n v="3"/>
    <s v="Male"/>
    <n v="66"/>
    <n v="3"/>
    <n v="1"/>
    <x v="1"/>
    <n v="3"/>
    <s v="Married"/>
    <n v="2684"/>
    <n v="12127"/>
    <n v="0"/>
    <s v="Y"/>
    <s v="No"/>
    <n v="17"/>
    <n v="3"/>
    <n v="2"/>
    <n v="80"/>
    <n v="1"/>
    <n v="3"/>
    <n v="0"/>
    <n v="2"/>
    <n v="2"/>
    <n v="1"/>
    <x v="0"/>
    <n v="2"/>
    <s v="OK"/>
    <s v="OK"/>
    <s v="OK"/>
    <s v="OK"/>
    <n v="0"/>
    <n v="0.5"/>
    <n v="0"/>
    <n v="1"/>
  </r>
  <r>
    <n v="46"/>
    <s v="No"/>
    <s v="Travel_Rarely"/>
    <n v="566"/>
    <s v="Research &amp; Development"/>
    <n v="7"/>
    <n v="2"/>
    <s v="Medical"/>
    <n v="1"/>
    <n v="1007"/>
    <n v="4"/>
    <s v="Male"/>
    <n v="75"/>
    <n v="3"/>
    <n v="3"/>
    <x v="3"/>
    <n v="3"/>
    <s v="Divorced"/>
    <n v="10845"/>
    <n v="24208"/>
    <n v="6"/>
    <s v="Y"/>
    <s v="No"/>
    <n v="13"/>
    <n v="3"/>
    <n v="2"/>
    <n v="80"/>
    <n v="1"/>
    <n v="13"/>
    <n v="3"/>
    <n v="3"/>
    <n v="8"/>
    <n v="7"/>
    <x v="0"/>
    <n v="7"/>
    <s v="OK"/>
    <s v="OK"/>
    <s v="OK"/>
    <s v="OK"/>
    <n v="0"/>
    <n v="0.875"/>
    <n v="0.375"/>
    <n v="0.875"/>
  </r>
  <r>
    <n v="24"/>
    <s v="No"/>
    <s v="Travel_Rarely"/>
    <n v="1206"/>
    <s v="Research &amp; Development"/>
    <n v="17"/>
    <n v="1"/>
    <s v="Medical"/>
    <n v="1"/>
    <n v="1009"/>
    <n v="4"/>
    <s v="Female"/>
    <n v="41"/>
    <n v="2"/>
    <n v="2"/>
    <x v="3"/>
    <n v="3"/>
    <s v="Divorced"/>
    <n v="4377"/>
    <n v="24117"/>
    <n v="1"/>
    <s v="Y"/>
    <s v="No"/>
    <n v="15"/>
    <n v="3"/>
    <n v="2"/>
    <n v="80"/>
    <n v="2"/>
    <n v="5"/>
    <n v="6"/>
    <n v="3"/>
    <n v="4"/>
    <n v="2"/>
    <x v="2"/>
    <n v="2"/>
    <s v="OK"/>
    <s v="OK"/>
    <s v="OK"/>
    <s v="OK"/>
    <n v="0.75"/>
    <n v="0.5"/>
    <n v="1.5"/>
    <n v="0.5"/>
  </r>
  <r>
    <n v="35"/>
    <s v="Yes"/>
    <s v="Travel_Rarely"/>
    <n v="622"/>
    <s v="Research &amp; Development"/>
    <n v="14"/>
    <n v="4"/>
    <s v="Other"/>
    <n v="1"/>
    <n v="1010"/>
    <n v="3"/>
    <s v="Male"/>
    <n v="39"/>
    <n v="2"/>
    <n v="1"/>
    <x v="2"/>
    <n v="2"/>
    <s v="Divorced"/>
    <n v="3743"/>
    <n v="10074"/>
    <n v="1"/>
    <s v="Y"/>
    <s v="Yes"/>
    <n v="24"/>
    <n v="4"/>
    <n v="4"/>
    <n v="80"/>
    <n v="1"/>
    <n v="5"/>
    <n v="2"/>
    <n v="1"/>
    <n v="4"/>
    <n v="2"/>
    <x v="0"/>
    <n v="2"/>
    <s v="OK"/>
    <s v="OK"/>
    <s v="OK"/>
    <s v="OK"/>
    <n v="0"/>
    <n v="0.5"/>
    <n v="0.5"/>
    <n v="0.5"/>
  </r>
  <r>
    <n v="31"/>
    <s v="No"/>
    <s v="Travel_Frequently"/>
    <n v="853"/>
    <s v="Research &amp; Development"/>
    <n v="1"/>
    <n v="1"/>
    <s v="Life Sciences"/>
    <n v="1"/>
    <n v="1011"/>
    <n v="3"/>
    <s v="Female"/>
    <n v="96"/>
    <n v="3"/>
    <n v="2"/>
    <x v="3"/>
    <n v="1"/>
    <s v="Married"/>
    <n v="4148"/>
    <n v="11275"/>
    <n v="1"/>
    <s v="Y"/>
    <s v="No"/>
    <n v="12"/>
    <n v="3"/>
    <n v="3"/>
    <n v="80"/>
    <n v="1"/>
    <n v="4"/>
    <n v="1"/>
    <n v="3"/>
    <n v="4"/>
    <n v="3"/>
    <x v="0"/>
    <n v="3"/>
    <s v="OK"/>
    <s v="OK"/>
    <s v="OK"/>
    <s v="OK"/>
    <n v="0"/>
    <n v="0.75"/>
    <n v="0.25"/>
    <n v="0.75"/>
  </r>
  <r>
    <n v="18"/>
    <s v="No"/>
    <s v="Non-Travel"/>
    <n v="287"/>
    <s v="Research &amp; Development"/>
    <n v="5"/>
    <n v="2"/>
    <s v="Life Sciences"/>
    <n v="1"/>
    <n v="1012"/>
    <n v="2"/>
    <s v="Male"/>
    <n v="73"/>
    <n v="3"/>
    <n v="1"/>
    <x v="1"/>
    <n v="4"/>
    <s v="Single"/>
    <n v="1051"/>
    <n v="13493"/>
    <n v="1"/>
    <s v="Y"/>
    <s v="No"/>
    <n v="15"/>
    <n v="3"/>
    <n v="4"/>
    <n v="80"/>
    <n v="0"/>
    <n v="0"/>
    <n v="2"/>
    <n v="3"/>
    <n v="0"/>
    <n v="0"/>
    <x v="0"/>
    <n v="0"/>
    <s v="OK"/>
    <s v="OK"/>
    <s v="OK"/>
    <s v="OK"/>
    <n v="0"/>
    <n v="0"/>
    <n v="0"/>
    <n v="0"/>
  </r>
  <r>
    <n v="54"/>
    <s v="No"/>
    <s v="Travel_Rarely"/>
    <n v="1441"/>
    <s v="Research &amp; Development"/>
    <n v="17"/>
    <n v="3"/>
    <s v="Technical Degree"/>
    <n v="1"/>
    <n v="1013"/>
    <n v="3"/>
    <s v="Female"/>
    <n v="56"/>
    <n v="3"/>
    <n v="3"/>
    <x v="3"/>
    <n v="3"/>
    <s v="Married"/>
    <n v="10739"/>
    <n v="13943"/>
    <n v="8"/>
    <s v="Y"/>
    <s v="No"/>
    <n v="11"/>
    <n v="3"/>
    <n v="3"/>
    <n v="80"/>
    <n v="1"/>
    <n v="22"/>
    <n v="2"/>
    <n v="3"/>
    <n v="10"/>
    <n v="7"/>
    <x v="0"/>
    <n v="8"/>
    <s v="OK"/>
    <s v="OK"/>
    <s v="OK"/>
    <s v="OK"/>
    <n v="0"/>
    <n v="0.7"/>
    <n v="0.2"/>
    <n v="0.8"/>
  </r>
  <r>
    <n v="35"/>
    <s v="No"/>
    <s v="Travel_Rarely"/>
    <n v="583"/>
    <s v="Research &amp; Development"/>
    <n v="25"/>
    <n v="4"/>
    <s v="Medical"/>
    <n v="1"/>
    <n v="1014"/>
    <n v="3"/>
    <s v="Female"/>
    <n v="57"/>
    <n v="3"/>
    <n v="3"/>
    <x v="4"/>
    <n v="3"/>
    <s v="Divorced"/>
    <n v="10388"/>
    <n v="6975"/>
    <n v="1"/>
    <s v="Y"/>
    <s v="Yes"/>
    <n v="11"/>
    <n v="3"/>
    <n v="3"/>
    <n v="80"/>
    <n v="1"/>
    <n v="16"/>
    <n v="3"/>
    <n v="2"/>
    <n v="16"/>
    <n v="10"/>
    <x v="13"/>
    <n v="1"/>
    <s v="OK"/>
    <s v="OK"/>
    <s v="OK"/>
    <s v="OK"/>
    <n v="0.625"/>
    <n v="0.625"/>
    <n v="0.1875"/>
    <n v="6.25E-2"/>
  </r>
  <r>
    <n v="30"/>
    <s v="No"/>
    <s v="Travel_Rarely"/>
    <n v="153"/>
    <s v="Research &amp; Development"/>
    <n v="8"/>
    <n v="2"/>
    <s v="Life Sciences"/>
    <n v="1"/>
    <n v="1015"/>
    <n v="2"/>
    <s v="Female"/>
    <n v="73"/>
    <n v="4"/>
    <n v="3"/>
    <x v="7"/>
    <n v="1"/>
    <s v="Married"/>
    <n v="11416"/>
    <n v="17802"/>
    <n v="0"/>
    <s v="Y"/>
    <s v="Yes"/>
    <n v="12"/>
    <n v="3"/>
    <n v="3"/>
    <n v="80"/>
    <n v="3"/>
    <n v="9"/>
    <n v="4"/>
    <n v="2"/>
    <n v="8"/>
    <n v="7"/>
    <x v="1"/>
    <n v="7"/>
    <s v="OK"/>
    <s v="OK"/>
    <s v="OK"/>
    <s v="OK"/>
    <n v="0.125"/>
    <n v="0.875"/>
    <n v="0.5"/>
    <n v="0.875"/>
  </r>
  <r>
    <n v="20"/>
    <s v="Yes"/>
    <s v="Travel_Rarely"/>
    <n v="1097"/>
    <s v="Research &amp; Development"/>
    <n v="11"/>
    <n v="3"/>
    <s v="Medical"/>
    <n v="1"/>
    <n v="1016"/>
    <n v="4"/>
    <s v="Female"/>
    <n v="98"/>
    <n v="2"/>
    <n v="1"/>
    <x v="1"/>
    <n v="1"/>
    <s v="Single"/>
    <n v="2600"/>
    <n v="18275"/>
    <n v="1"/>
    <s v="Y"/>
    <s v="Yes"/>
    <n v="15"/>
    <n v="3"/>
    <n v="1"/>
    <n v="80"/>
    <n v="0"/>
    <n v="1"/>
    <n v="2"/>
    <n v="3"/>
    <n v="1"/>
    <n v="0"/>
    <x v="0"/>
    <n v="0"/>
    <s v="OK"/>
    <s v="OK"/>
    <s v="OK"/>
    <s v="OK"/>
    <n v="0"/>
    <n v="0"/>
    <n v="2"/>
    <n v="0"/>
  </r>
  <r>
    <n v="30"/>
    <s v="Yes"/>
    <s v="Travel_Frequently"/>
    <n v="109"/>
    <s v="Research &amp; Development"/>
    <n v="5"/>
    <n v="3"/>
    <s v="Medical"/>
    <n v="1"/>
    <n v="1017"/>
    <n v="2"/>
    <s v="Female"/>
    <n v="60"/>
    <n v="3"/>
    <n v="1"/>
    <x v="2"/>
    <n v="2"/>
    <s v="Single"/>
    <n v="2422"/>
    <n v="25725"/>
    <n v="0"/>
    <s v="Y"/>
    <s v="No"/>
    <n v="17"/>
    <n v="3"/>
    <n v="1"/>
    <n v="80"/>
    <n v="0"/>
    <n v="4"/>
    <n v="3"/>
    <n v="3"/>
    <n v="3"/>
    <n v="2"/>
    <x v="1"/>
    <n v="2"/>
    <s v="OK"/>
    <s v="OK"/>
    <s v="OK"/>
    <s v="OK"/>
    <n v="0.33333333333333331"/>
    <n v="0.66666666666666663"/>
    <n v="1"/>
    <n v="0.66666666666666663"/>
  </r>
  <r>
    <n v="26"/>
    <s v="No"/>
    <s v="Travel_Rarely"/>
    <n v="1066"/>
    <s v="Research &amp; Development"/>
    <n v="2"/>
    <n v="2"/>
    <s v="Medical"/>
    <n v="1"/>
    <n v="1018"/>
    <n v="4"/>
    <s v="Male"/>
    <n v="32"/>
    <n v="4"/>
    <n v="2"/>
    <x v="3"/>
    <n v="4"/>
    <s v="Married"/>
    <n v="5472"/>
    <n v="3334"/>
    <n v="1"/>
    <s v="Y"/>
    <s v="No"/>
    <n v="12"/>
    <n v="3"/>
    <n v="2"/>
    <n v="80"/>
    <n v="0"/>
    <n v="8"/>
    <n v="2"/>
    <n v="3"/>
    <n v="8"/>
    <n v="7"/>
    <x v="1"/>
    <n v="3"/>
    <s v="OK"/>
    <s v="OK"/>
    <s v="OK"/>
    <s v="OK"/>
    <n v="0.125"/>
    <n v="0.875"/>
    <n v="0.25"/>
    <n v="0.375"/>
  </r>
  <r>
    <n v="22"/>
    <s v="No"/>
    <s v="Travel_Rarely"/>
    <n v="217"/>
    <s v="Research &amp; Development"/>
    <n v="8"/>
    <n v="1"/>
    <s v="Life Sciences"/>
    <n v="1"/>
    <n v="1019"/>
    <n v="2"/>
    <s v="Male"/>
    <n v="94"/>
    <n v="1"/>
    <n v="1"/>
    <x v="2"/>
    <n v="1"/>
    <s v="Married"/>
    <n v="2451"/>
    <n v="6881"/>
    <n v="1"/>
    <s v="Y"/>
    <s v="No"/>
    <n v="15"/>
    <n v="3"/>
    <n v="1"/>
    <n v="80"/>
    <n v="1"/>
    <n v="4"/>
    <n v="3"/>
    <n v="2"/>
    <n v="4"/>
    <n v="3"/>
    <x v="1"/>
    <n v="1"/>
    <s v="OK"/>
    <s v="OK"/>
    <s v="OK"/>
    <s v="OK"/>
    <n v="0.25"/>
    <n v="0.75"/>
    <n v="0.75"/>
    <n v="0.25"/>
  </r>
  <r>
    <n v="48"/>
    <s v="No"/>
    <s v="Travel_Rarely"/>
    <n v="277"/>
    <s v="Research &amp; Development"/>
    <n v="6"/>
    <n v="3"/>
    <s v="Life Sciences"/>
    <n v="1"/>
    <n v="1022"/>
    <n v="1"/>
    <s v="Male"/>
    <n v="97"/>
    <n v="2"/>
    <n v="2"/>
    <x v="4"/>
    <n v="3"/>
    <s v="Single"/>
    <n v="4240"/>
    <n v="13119"/>
    <n v="2"/>
    <s v="Y"/>
    <s v="No"/>
    <n v="13"/>
    <n v="3"/>
    <n v="4"/>
    <n v="80"/>
    <n v="0"/>
    <n v="19"/>
    <n v="0"/>
    <n v="3"/>
    <n v="2"/>
    <n v="2"/>
    <x v="3"/>
    <n v="2"/>
    <s v="OK"/>
    <s v="OK"/>
    <s v="OK"/>
    <s v="OK"/>
    <n v="1"/>
    <n v="1"/>
    <n v="0"/>
    <n v="1"/>
  </r>
  <r>
    <n v="48"/>
    <s v="No"/>
    <s v="Travel_Rarely"/>
    <n v="1355"/>
    <s v="Research &amp; Development"/>
    <n v="4"/>
    <n v="4"/>
    <s v="Life Sciences"/>
    <n v="1"/>
    <n v="1024"/>
    <n v="3"/>
    <s v="Male"/>
    <n v="78"/>
    <n v="2"/>
    <n v="3"/>
    <x v="4"/>
    <n v="3"/>
    <s v="Single"/>
    <n v="10999"/>
    <n v="22245"/>
    <n v="7"/>
    <s v="Y"/>
    <s v="No"/>
    <n v="14"/>
    <n v="3"/>
    <n v="2"/>
    <n v="80"/>
    <n v="0"/>
    <n v="27"/>
    <n v="3"/>
    <n v="3"/>
    <n v="15"/>
    <n v="11"/>
    <x v="5"/>
    <n v="8"/>
    <s v="OK"/>
    <s v="OK"/>
    <s v="OK"/>
    <s v="OK"/>
    <n v="0.26666666666666666"/>
    <n v="0.73333333333333328"/>
    <n v="0.2"/>
    <n v="0.53333333333333333"/>
  </r>
  <r>
    <n v="41"/>
    <s v="No"/>
    <s v="Travel_Rarely"/>
    <n v="549"/>
    <s v="Research &amp; Development"/>
    <n v="7"/>
    <n v="2"/>
    <s v="Medical"/>
    <n v="1"/>
    <n v="1025"/>
    <n v="4"/>
    <s v="Female"/>
    <n v="42"/>
    <n v="3"/>
    <n v="2"/>
    <x v="3"/>
    <n v="3"/>
    <s v="Single"/>
    <n v="5003"/>
    <n v="23371"/>
    <n v="6"/>
    <s v="Y"/>
    <s v="No"/>
    <n v="14"/>
    <n v="3"/>
    <n v="2"/>
    <n v="80"/>
    <n v="0"/>
    <n v="8"/>
    <n v="6"/>
    <n v="3"/>
    <n v="2"/>
    <n v="2"/>
    <x v="3"/>
    <n v="1"/>
    <s v="OK"/>
    <s v="OK"/>
    <s v="OK"/>
    <s v="OK"/>
    <n v="1"/>
    <n v="1"/>
    <n v="3"/>
    <n v="0.5"/>
  </r>
  <r>
    <n v="39"/>
    <s v="No"/>
    <s v="Travel_Rarely"/>
    <n v="466"/>
    <s v="Research &amp; Development"/>
    <n v="1"/>
    <n v="1"/>
    <s v="Life Sciences"/>
    <n v="1"/>
    <n v="1026"/>
    <n v="4"/>
    <s v="Female"/>
    <n v="65"/>
    <n v="2"/>
    <n v="4"/>
    <x v="3"/>
    <n v="4"/>
    <s v="Married"/>
    <n v="12742"/>
    <n v="7060"/>
    <n v="1"/>
    <s v="Y"/>
    <s v="No"/>
    <n v="16"/>
    <n v="3"/>
    <n v="3"/>
    <n v="80"/>
    <n v="1"/>
    <n v="21"/>
    <n v="3"/>
    <n v="3"/>
    <n v="21"/>
    <n v="6"/>
    <x v="14"/>
    <n v="8"/>
    <s v="OK"/>
    <s v="OK"/>
    <s v="OK"/>
    <s v="OK"/>
    <n v="0.52380952380952384"/>
    <n v="0.2857142857142857"/>
    <n v="0.14285714285714285"/>
    <n v="0.38095238095238093"/>
  </r>
  <r>
    <n v="27"/>
    <s v="No"/>
    <s v="Travel_Rarely"/>
    <n v="1055"/>
    <s v="Research &amp; Development"/>
    <n v="2"/>
    <n v="4"/>
    <s v="Life Sciences"/>
    <n v="1"/>
    <n v="1027"/>
    <n v="1"/>
    <s v="Female"/>
    <n v="47"/>
    <n v="3"/>
    <n v="2"/>
    <x v="3"/>
    <n v="4"/>
    <s v="Married"/>
    <n v="4227"/>
    <n v="4658"/>
    <n v="0"/>
    <s v="Y"/>
    <s v="No"/>
    <n v="18"/>
    <n v="3"/>
    <n v="2"/>
    <n v="80"/>
    <n v="1"/>
    <n v="4"/>
    <n v="2"/>
    <n v="3"/>
    <n v="3"/>
    <n v="2"/>
    <x v="3"/>
    <n v="2"/>
    <s v="OK"/>
    <s v="OK"/>
    <s v="OK"/>
    <s v="OK"/>
    <n v="0.66666666666666663"/>
    <n v="0.66666666666666663"/>
    <n v="0.66666666666666663"/>
    <n v="0.66666666666666663"/>
  </r>
  <r>
    <n v="35"/>
    <s v="No"/>
    <s v="Travel_Rarely"/>
    <n v="802"/>
    <s v="Research &amp; Development"/>
    <n v="10"/>
    <n v="3"/>
    <s v="Other"/>
    <n v="1"/>
    <n v="1028"/>
    <n v="2"/>
    <s v="Male"/>
    <n v="45"/>
    <n v="3"/>
    <n v="1"/>
    <x v="2"/>
    <n v="4"/>
    <s v="Divorced"/>
    <n v="3917"/>
    <n v="9541"/>
    <n v="1"/>
    <s v="Y"/>
    <s v="No"/>
    <n v="20"/>
    <n v="4"/>
    <n v="1"/>
    <n v="80"/>
    <n v="1"/>
    <n v="3"/>
    <n v="4"/>
    <n v="2"/>
    <n v="3"/>
    <n v="2"/>
    <x v="1"/>
    <n v="2"/>
    <s v="OK"/>
    <s v="OK"/>
    <s v="OK"/>
    <s v="OK"/>
    <n v="0.33333333333333331"/>
    <n v="0.66666666666666663"/>
    <n v="1.3333333333333333"/>
    <n v="0.66666666666666663"/>
  </r>
  <r>
    <n v="42"/>
    <s v="No"/>
    <s v="Travel_Rarely"/>
    <n v="265"/>
    <s v="Sales"/>
    <n v="5"/>
    <n v="2"/>
    <s v="Marketing"/>
    <n v="1"/>
    <n v="1029"/>
    <n v="4"/>
    <s v="Male"/>
    <n v="90"/>
    <n v="3"/>
    <n v="5"/>
    <x v="5"/>
    <n v="3"/>
    <s v="Married"/>
    <n v="18303"/>
    <n v="7770"/>
    <n v="6"/>
    <s v="Y"/>
    <s v="No"/>
    <n v="13"/>
    <n v="3"/>
    <n v="2"/>
    <n v="80"/>
    <n v="0"/>
    <n v="21"/>
    <n v="3"/>
    <n v="4"/>
    <n v="1"/>
    <n v="0"/>
    <x v="0"/>
    <n v="0"/>
    <s v="OK"/>
    <s v="OK"/>
    <s v="OK"/>
    <s v="OK"/>
    <n v="0"/>
    <n v="0"/>
    <n v="3"/>
    <n v="0"/>
  </r>
  <r>
    <n v="50"/>
    <s v="No"/>
    <s v="Travel_Rarely"/>
    <n v="804"/>
    <s v="Research &amp; Development"/>
    <n v="9"/>
    <n v="3"/>
    <s v="Life Sciences"/>
    <n v="1"/>
    <n v="1030"/>
    <n v="1"/>
    <s v="Male"/>
    <n v="64"/>
    <n v="3"/>
    <n v="1"/>
    <x v="2"/>
    <n v="4"/>
    <s v="Married"/>
    <n v="2380"/>
    <n v="20165"/>
    <n v="4"/>
    <s v="Y"/>
    <s v="No"/>
    <n v="18"/>
    <n v="3"/>
    <n v="2"/>
    <n v="80"/>
    <n v="0"/>
    <n v="8"/>
    <n v="5"/>
    <n v="3"/>
    <n v="1"/>
    <n v="0"/>
    <x v="0"/>
    <n v="0"/>
    <s v="OK"/>
    <s v="OK"/>
    <s v="OK"/>
    <s v="OK"/>
    <n v="0"/>
    <n v="0"/>
    <n v="5"/>
    <n v="0"/>
  </r>
  <r>
    <n v="59"/>
    <s v="No"/>
    <s v="Travel_Rarely"/>
    <n v="715"/>
    <s v="Research &amp; Development"/>
    <n v="2"/>
    <n v="3"/>
    <s v="Life Sciences"/>
    <n v="1"/>
    <n v="1032"/>
    <n v="3"/>
    <s v="Female"/>
    <n v="69"/>
    <n v="2"/>
    <n v="4"/>
    <x v="3"/>
    <n v="4"/>
    <s v="Single"/>
    <n v="13726"/>
    <n v="21829"/>
    <n v="3"/>
    <s v="Y"/>
    <s v="Yes"/>
    <n v="13"/>
    <n v="3"/>
    <n v="1"/>
    <n v="80"/>
    <n v="0"/>
    <n v="30"/>
    <n v="4"/>
    <n v="3"/>
    <n v="5"/>
    <n v="3"/>
    <x v="5"/>
    <n v="3"/>
    <s v="OK"/>
    <s v="OK"/>
    <s v="OK"/>
    <s v="OK"/>
    <n v="0.8"/>
    <n v="0.6"/>
    <n v="0.8"/>
    <n v="0.6"/>
  </r>
  <r>
    <n v="37"/>
    <s v="Yes"/>
    <s v="Travel_Rarely"/>
    <n v="1141"/>
    <s v="Research &amp; Development"/>
    <n v="11"/>
    <n v="2"/>
    <s v="Medical"/>
    <n v="1"/>
    <n v="1033"/>
    <n v="1"/>
    <s v="Female"/>
    <n v="61"/>
    <n v="1"/>
    <n v="2"/>
    <x v="4"/>
    <n v="2"/>
    <s v="Married"/>
    <n v="4777"/>
    <n v="14382"/>
    <n v="5"/>
    <s v="Y"/>
    <s v="No"/>
    <n v="15"/>
    <n v="3"/>
    <n v="1"/>
    <n v="80"/>
    <n v="0"/>
    <n v="15"/>
    <n v="2"/>
    <n v="1"/>
    <n v="1"/>
    <n v="0"/>
    <x v="0"/>
    <n v="0"/>
    <s v="OK"/>
    <s v="OK"/>
    <s v="OK"/>
    <s v="OK"/>
    <n v="0"/>
    <n v="0"/>
    <n v="2"/>
    <n v="0"/>
  </r>
  <r>
    <n v="55"/>
    <s v="No"/>
    <s v="Travel_Frequently"/>
    <n v="135"/>
    <s v="Research &amp; Development"/>
    <n v="18"/>
    <n v="4"/>
    <s v="Medical"/>
    <n v="1"/>
    <n v="1034"/>
    <n v="3"/>
    <s v="Male"/>
    <n v="62"/>
    <n v="3"/>
    <n v="2"/>
    <x v="4"/>
    <n v="2"/>
    <s v="Married"/>
    <n v="6385"/>
    <n v="12992"/>
    <n v="3"/>
    <s v="Y"/>
    <s v="Yes"/>
    <n v="14"/>
    <n v="3"/>
    <n v="4"/>
    <n v="80"/>
    <n v="2"/>
    <n v="17"/>
    <n v="3"/>
    <n v="3"/>
    <n v="8"/>
    <n v="7"/>
    <x v="7"/>
    <n v="7"/>
    <s v="OK"/>
    <s v="OK"/>
    <s v="OK"/>
    <s v="OK"/>
    <n v="0.75"/>
    <n v="0.875"/>
    <n v="0.375"/>
    <n v="0.875"/>
  </r>
  <r>
    <n v="41"/>
    <s v="No"/>
    <s v="Non-Travel"/>
    <n v="247"/>
    <s v="Research &amp; Development"/>
    <n v="7"/>
    <n v="1"/>
    <s v="Life Sciences"/>
    <n v="1"/>
    <n v="1035"/>
    <n v="2"/>
    <s v="Female"/>
    <n v="55"/>
    <n v="1"/>
    <n v="5"/>
    <x v="7"/>
    <n v="3"/>
    <s v="Divorced"/>
    <n v="19973"/>
    <n v="20284"/>
    <n v="1"/>
    <s v="Y"/>
    <s v="No"/>
    <n v="22"/>
    <n v="4"/>
    <n v="2"/>
    <n v="80"/>
    <n v="2"/>
    <n v="21"/>
    <n v="3"/>
    <n v="3"/>
    <n v="21"/>
    <n v="16"/>
    <x v="8"/>
    <n v="10"/>
    <s v="OK"/>
    <s v="OK"/>
    <s v="OK"/>
    <s v="OK"/>
    <n v="0.23809523809523808"/>
    <n v="0.76190476190476186"/>
    <n v="0.14285714285714285"/>
    <n v="0.47619047619047616"/>
  </r>
  <r>
    <n v="38"/>
    <s v="No"/>
    <s v="Travel_Rarely"/>
    <n v="1035"/>
    <s v="Sales"/>
    <n v="3"/>
    <n v="4"/>
    <s v="Life Sciences"/>
    <n v="1"/>
    <n v="1036"/>
    <n v="2"/>
    <s v="Male"/>
    <n v="42"/>
    <n v="3"/>
    <n v="2"/>
    <x v="0"/>
    <n v="4"/>
    <s v="Single"/>
    <n v="6861"/>
    <n v="4981"/>
    <n v="8"/>
    <s v="Y"/>
    <s v="Yes"/>
    <n v="12"/>
    <n v="3"/>
    <n v="3"/>
    <n v="80"/>
    <n v="0"/>
    <n v="19"/>
    <n v="1"/>
    <n v="3"/>
    <n v="1"/>
    <n v="0"/>
    <x v="0"/>
    <n v="0"/>
    <s v="OK"/>
    <s v="OK"/>
    <s v="OK"/>
    <s v="OK"/>
    <n v="0"/>
    <n v="0"/>
    <n v="1"/>
    <n v="0"/>
  </r>
  <r>
    <n v="26"/>
    <s v="Yes"/>
    <s v="Non-Travel"/>
    <n v="265"/>
    <s v="Sales"/>
    <n v="29"/>
    <n v="2"/>
    <s v="Medical"/>
    <n v="1"/>
    <n v="1037"/>
    <n v="2"/>
    <s v="Male"/>
    <n v="79"/>
    <n v="1"/>
    <n v="2"/>
    <x v="0"/>
    <n v="1"/>
    <s v="Single"/>
    <n v="4969"/>
    <n v="21813"/>
    <n v="8"/>
    <s v="Y"/>
    <s v="No"/>
    <n v="18"/>
    <n v="3"/>
    <n v="4"/>
    <n v="80"/>
    <n v="0"/>
    <n v="7"/>
    <n v="6"/>
    <n v="3"/>
    <n v="2"/>
    <n v="2"/>
    <x v="3"/>
    <n v="2"/>
    <s v="OK"/>
    <s v="OK"/>
    <s v="OK"/>
    <s v="OK"/>
    <n v="1"/>
    <n v="1"/>
    <n v="3"/>
    <n v="1"/>
  </r>
  <r>
    <n v="52"/>
    <s v="Yes"/>
    <s v="Travel_Rarely"/>
    <n v="266"/>
    <s v="Sales"/>
    <n v="2"/>
    <n v="1"/>
    <s v="Marketing"/>
    <n v="1"/>
    <n v="1038"/>
    <n v="1"/>
    <s v="Female"/>
    <n v="57"/>
    <n v="1"/>
    <n v="5"/>
    <x v="5"/>
    <n v="4"/>
    <s v="Married"/>
    <n v="19845"/>
    <n v="25846"/>
    <n v="1"/>
    <s v="Y"/>
    <s v="No"/>
    <n v="15"/>
    <n v="3"/>
    <n v="4"/>
    <n v="80"/>
    <n v="1"/>
    <n v="33"/>
    <n v="3"/>
    <n v="3"/>
    <n v="32"/>
    <n v="14"/>
    <x v="7"/>
    <n v="9"/>
    <s v="OK"/>
    <s v="OK"/>
    <s v="OK"/>
    <s v="OK"/>
    <n v="0.1875"/>
    <n v="0.4375"/>
    <n v="9.375E-2"/>
    <n v="0.28125"/>
  </r>
  <r>
    <n v="44"/>
    <s v="No"/>
    <s v="Travel_Rarely"/>
    <n v="1448"/>
    <s v="Sales"/>
    <n v="28"/>
    <n v="3"/>
    <s v="Medical"/>
    <n v="1"/>
    <n v="1039"/>
    <n v="4"/>
    <s v="Female"/>
    <n v="53"/>
    <n v="4"/>
    <n v="4"/>
    <x v="0"/>
    <n v="4"/>
    <s v="Married"/>
    <n v="13320"/>
    <n v="11737"/>
    <n v="3"/>
    <s v="Y"/>
    <s v="Yes"/>
    <n v="18"/>
    <n v="3"/>
    <n v="3"/>
    <n v="80"/>
    <n v="1"/>
    <n v="23"/>
    <n v="2"/>
    <n v="3"/>
    <n v="12"/>
    <n v="11"/>
    <x v="14"/>
    <n v="11"/>
    <s v="OK"/>
    <s v="OK"/>
    <s v="OK"/>
    <s v="OK"/>
    <n v="0.91666666666666663"/>
    <n v="0.91666666666666663"/>
    <n v="0.16666666666666666"/>
    <n v="0.91666666666666663"/>
  </r>
  <r>
    <n v="50"/>
    <s v="No"/>
    <s v="Non-Travel"/>
    <n v="145"/>
    <s v="Sales"/>
    <n v="1"/>
    <n v="3"/>
    <s v="Life Sciences"/>
    <n v="1"/>
    <n v="1040"/>
    <n v="4"/>
    <s v="Female"/>
    <n v="95"/>
    <n v="3"/>
    <n v="2"/>
    <x v="0"/>
    <n v="3"/>
    <s v="Married"/>
    <n v="6347"/>
    <n v="24920"/>
    <n v="0"/>
    <s v="Y"/>
    <s v="No"/>
    <n v="12"/>
    <n v="3"/>
    <n v="1"/>
    <n v="80"/>
    <n v="1"/>
    <n v="19"/>
    <n v="3"/>
    <n v="3"/>
    <n v="18"/>
    <n v="7"/>
    <x v="0"/>
    <n v="13"/>
    <s v="OK"/>
    <s v="OK"/>
    <s v="OK"/>
    <s v="OK"/>
    <n v="0"/>
    <n v="0.3888888888888889"/>
    <n v="0.16666666666666666"/>
    <n v="0.72222222222222221"/>
  </r>
  <r>
    <n v="36"/>
    <s v="Yes"/>
    <s v="Travel_Rarely"/>
    <n v="885"/>
    <s v="Research &amp; Development"/>
    <n v="16"/>
    <n v="4"/>
    <s v="Life Sciences"/>
    <n v="1"/>
    <n v="1042"/>
    <n v="3"/>
    <s v="Female"/>
    <n v="43"/>
    <n v="4"/>
    <n v="1"/>
    <x v="2"/>
    <n v="1"/>
    <s v="Single"/>
    <n v="2743"/>
    <n v="8269"/>
    <n v="1"/>
    <s v="Y"/>
    <s v="No"/>
    <n v="16"/>
    <n v="3"/>
    <n v="3"/>
    <n v="80"/>
    <n v="0"/>
    <n v="18"/>
    <n v="1"/>
    <n v="3"/>
    <n v="17"/>
    <n v="13"/>
    <x v="9"/>
    <n v="14"/>
    <s v="OK"/>
    <s v="OK"/>
    <s v="OK"/>
    <s v="OK"/>
    <n v="0.88235294117647056"/>
    <n v="0.76470588235294112"/>
    <n v="5.8823529411764705E-2"/>
    <n v="0.82352941176470584"/>
  </r>
  <r>
    <n v="39"/>
    <s v="No"/>
    <s v="Travel_Frequently"/>
    <n v="945"/>
    <s v="Research &amp; Development"/>
    <n v="22"/>
    <n v="3"/>
    <s v="Medical"/>
    <n v="1"/>
    <n v="1043"/>
    <n v="4"/>
    <s v="Female"/>
    <n v="82"/>
    <n v="3"/>
    <n v="3"/>
    <x v="3"/>
    <n v="1"/>
    <s v="Single"/>
    <n v="10880"/>
    <n v="5083"/>
    <n v="1"/>
    <s v="Y"/>
    <s v="Yes"/>
    <n v="13"/>
    <n v="3"/>
    <n v="3"/>
    <n v="80"/>
    <n v="0"/>
    <n v="21"/>
    <n v="2"/>
    <n v="3"/>
    <n v="21"/>
    <n v="6"/>
    <x v="3"/>
    <n v="8"/>
    <s v="OK"/>
    <s v="OK"/>
    <s v="OK"/>
    <s v="OK"/>
    <n v="9.5238095238095233E-2"/>
    <n v="0.2857142857142857"/>
    <n v="9.5238095238095233E-2"/>
    <n v="0.38095238095238093"/>
  </r>
  <r>
    <n v="33"/>
    <s v="No"/>
    <s v="Non-Travel"/>
    <n v="1038"/>
    <s v="Sales"/>
    <n v="8"/>
    <n v="1"/>
    <s v="Life Sciences"/>
    <n v="1"/>
    <n v="1044"/>
    <n v="2"/>
    <s v="Female"/>
    <n v="88"/>
    <n v="2"/>
    <n v="1"/>
    <x v="6"/>
    <n v="4"/>
    <s v="Single"/>
    <n v="2342"/>
    <n v="21437"/>
    <n v="0"/>
    <s v="Y"/>
    <s v="No"/>
    <n v="19"/>
    <n v="3"/>
    <n v="4"/>
    <n v="80"/>
    <n v="0"/>
    <n v="3"/>
    <n v="2"/>
    <n v="2"/>
    <n v="2"/>
    <n v="2"/>
    <x v="3"/>
    <n v="2"/>
    <s v="OK"/>
    <s v="OK"/>
    <s v="OK"/>
    <s v="OK"/>
    <n v="1"/>
    <n v="1"/>
    <n v="1"/>
    <n v="1"/>
  </r>
  <r>
    <n v="45"/>
    <s v="No"/>
    <s v="Travel_Rarely"/>
    <n v="1234"/>
    <s v="Sales"/>
    <n v="11"/>
    <n v="2"/>
    <s v="Life Sciences"/>
    <n v="1"/>
    <n v="1045"/>
    <n v="4"/>
    <s v="Female"/>
    <n v="90"/>
    <n v="3"/>
    <n v="4"/>
    <x v="5"/>
    <n v="4"/>
    <s v="Married"/>
    <n v="17650"/>
    <n v="5404"/>
    <n v="3"/>
    <s v="Y"/>
    <s v="No"/>
    <n v="13"/>
    <n v="3"/>
    <n v="2"/>
    <n v="80"/>
    <n v="1"/>
    <n v="26"/>
    <n v="4"/>
    <n v="4"/>
    <n v="9"/>
    <n v="3"/>
    <x v="1"/>
    <n v="1"/>
    <s v="OK"/>
    <s v="OK"/>
    <s v="OK"/>
    <s v="OK"/>
    <n v="0.1111111111111111"/>
    <n v="0.33333333333333331"/>
    <n v="0.44444444444444442"/>
    <n v="0.1111111111111111"/>
  </r>
  <r>
    <n v="32"/>
    <s v="No"/>
    <s v="Non-Travel"/>
    <n v="1109"/>
    <s v="Research &amp; Development"/>
    <n v="29"/>
    <n v="4"/>
    <s v="Medical"/>
    <n v="1"/>
    <n v="1046"/>
    <n v="4"/>
    <s v="Female"/>
    <n v="69"/>
    <n v="3"/>
    <n v="1"/>
    <x v="2"/>
    <n v="3"/>
    <s v="Single"/>
    <n v="4025"/>
    <n v="11135"/>
    <n v="9"/>
    <s v="Y"/>
    <s v="No"/>
    <n v="12"/>
    <n v="3"/>
    <n v="2"/>
    <n v="80"/>
    <n v="0"/>
    <n v="10"/>
    <n v="2"/>
    <n v="3"/>
    <n v="8"/>
    <n v="7"/>
    <x v="4"/>
    <n v="7"/>
    <s v="OK"/>
    <s v="OK"/>
    <s v="OK"/>
    <s v="OK"/>
    <n v="0.875"/>
    <n v="0.875"/>
    <n v="0.25"/>
    <n v="0.875"/>
  </r>
  <r>
    <n v="34"/>
    <s v="No"/>
    <s v="Travel_Rarely"/>
    <n v="216"/>
    <s v="Sales"/>
    <n v="1"/>
    <n v="4"/>
    <s v="Marketing"/>
    <n v="1"/>
    <n v="1047"/>
    <n v="2"/>
    <s v="Male"/>
    <n v="75"/>
    <n v="4"/>
    <n v="2"/>
    <x v="0"/>
    <n v="4"/>
    <s v="Divorced"/>
    <n v="9725"/>
    <n v="12278"/>
    <n v="0"/>
    <s v="Y"/>
    <s v="No"/>
    <n v="11"/>
    <n v="3"/>
    <n v="4"/>
    <n v="80"/>
    <n v="1"/>
    <n v="16"/>
    <n v="2"/>
    <n v="2"/>
    <n v="15"/>
    <n v="1"/>
    <x v="0"/>
    <n v="9"/>
    <s v="OK"/>
    <s v="OK"/>
    <s v="OK"/>
    <s v="OK"/>
    <n v="0"/>
    <n v="6.6666666666666666E-2"/>
    <n v="0.13333333333333333"/>
    <n v="0.6"/>
  </r>
  <r>
    <n v="59"/>
    <s v="No"/>
    <s v="Travel_Rarely"/>
    <n v="1089"/>
    <s v="Sales"/>
    <n v="1"/>
    <n v="2"/>
    <s v="Technical Degree"/>
    <n v="1"/>
    <n v="1048"/>
    <n v="2"/>
    <s v="Male"/>
    <n v="66"/>
    <n v="3"/>
    <n v="3"/>
    <x v="5"/>
    <n v="4"/>
    <s v="Married"/>
    <n v="11904"/>
    <n v="11038"/>
    <n v="3"/>
    <s v="Y"/>
    <s v="Yes"/>
    <n v="14"/>
    <n v="3"/>
    <n v="3"/>
    <n v="80"/>
    <n v="1"/>
    <n v="14"/>
    <n v="1"/>
    <n v="1"/>
    <n v="6"/>
    <n v="4"/>
    <x v="0"/>
    <n v="4"/>
    <s v="OK"/>
    <s v="OK"/>
    <s v="OK"/>
    <s v="OK"/>
    <n v="0"/>
    <n v="0.66666666666666663"/>
    <n v="0.16666666666666666"/>
    <n v="0.66666666666666663"/>
  </r>
  <r>
    <n v="45"/>
    <s v="No"/>
    <s v="Travel_Rarely"/>
    <n v="788"/>
    <s v="Human Resources"/>
    <n v="24"/>
    <n v="4"/>
    <s v="Medical"/>
    <n v="1"/>
    <n v="1049"/>
    <n v="2"/>
    <s v="Male"/>
    <n v="36"/>
    <n v="3"/>
    <n v="1"/>
    <x v="8"/>
    <n v="2"/>
    <s v="Single"/>
    <n v="2177"/>
    <n v="8318"/>
    <n v="1"/>
    <s v="Y"/>
    <s v="No"/>
    <n v="16"/>
    <n v="3"/>
    <n v="1"/>
    <n v="80"/>
    <n v="0"/>
    <n v="6"/>
    <n v="3"/>
    <n v="3"/>
    <n v="6"/>
    <n v="3"/>
    <x v="0"/>
    <n v="4"/>
    <s v="OK"/>
    <s v="OK"/>
    <s v="OK"/>
    <s v="OK"/>
    <n v="0"/>
    <n v="0.5"/>
    <n v="0.5"/>
    <n v="0.66666666666666663"/>
  </r>
  <r>
    <n v="53"/>
    <s v="No"/>
    <s v="Travel_Frequently"/>
    <n v="124"/>
    <s v="Sales"/>
    <n v="2"/>
    <n v="3"/>
    <s v="Marketing"/>
    <n v="1"/>
    <n v="1050"/>
    <n v="3"/>
    <s v="Female"/>
    <n v="38"/>
    <n v="2"/>
    <n v="3"/>
    <x v="0"/>
    <n v="2"/>
    <s v="Married"/>
    <n v="7525"/>
    <n v="23537"/>
    <n v="2"/>
    <s v="Y"/>
    <s v="No"/>
    <n v="12"/>
    <n v="3"/>
    <n v="1"/>
    <n v="80"/>
    <n v="1"/>
    <n v="30"/>
    <n v="2"/>
    <n v="3"/>
    <n v="15"/>
    <n v="7"/>
    <x v="7"/>
    <n v="12"/>
    <s v="OK"/>
    <s v="OK"/>
    <s v="OK"/>
    <s v="OK"/>
    <n v="0.4"/>
    <n v="0.46666666666666667"/>
    <n v="0.13333333333333333"/>
    <n v="0.8"/>
  </r>
  <r>
    <n v="36"/>
    <s v="Yes"/>
    <s v="Travel_Rarely"/>
    <n v="660"/>
    <s v="Research &amp; Development"/>
    <n v="15"/>
    <n v="3"/>
    <s v="Other"/>
    <n v="1"/>
    <n v="1052"/>
    <n v="1"/>
    <s v="Male"/>
    <n v="81"/>
    <n v="3"/>
    <n v="2"/>
    <x v="2"/>
    <n v="3"/>
    <s v="Divorced"/>
    <n v="4834"/>
    <n v="7858"/>
    <n v="7"/>
    <s v="Y"/>
    <s v="No"/>
    <n v="14"/>
    <n v="3"/>
    <n v="2"/>
    <n v="80"/>
    <n v="1"/>
    <n v="9"/>
    <n v="3"/>
    <n v="2"/>
    <n v="1"/>
    <n v="0"/>
    <x v="0"/>
    <n v="0"/>
    <s v="OK"/>
    <s v="OK"/>
    <s v="OK"/>
    <s v="OK"/>
    <n v="0"/>
    <n v="0"/>
    <n v="3"/>
    <n v="0"/>
  </r>
  <r>
    <n v="26"/>
    <s v="Yes"/>
    <s v="Travel_Frequently"/>
    <n v="342"/>
    <s v="Research &amp; Development"/>
    <n v="2"/>
    <n v="3"/>
    <s v="Life Sciences"/>
    <n v="1"/>
    <n v="1053"/>
    <n v="1"/>
    <s v="Male"/>
    <n v="57"/>
    <n v="3"/>
    <n v="1"/>
    <x v="1"/>
    <n v="1"/>
    <s v="Married"/>
    <n v="2042"/>
    <n v="15346"/>
    <n v="6"/>
    <s v="Y"/>
    <s v="Yes"/>
    <n v="14"/>
    <n v="3"/>
    <n v="2"/>
    <n v="80"/>
    <n v="1"/>
    <n v="6"/>
    <n v="2"/>
    <n v="3"/>
    <n v="3"/>
    <n v="2"/>
    <x v="1"/>
    <n v="2"/>
    <s v="OK"/>
    <s v="OK"/>
    <s v="OK"/>
    <s v="OK"/>
    <n v="0.33333333333333331"/>
    <n v="0.66666666666666663"/>
    <n v="0.66666666666666663"/>
    <n v="0.66666666666666663"/>
  </r>
  <r>
    <n v="34"/>
    <s v="No"/>
    <s v="Travel_Rarely"/>
    <n v="1333"/>
    <s v="Sales"/>
    <n v="10"/>
    <n v="4"/>
    <s v="Life Sciences"/>
    <n v="1"/>
    <n v="1055"/>
    <n v="3"/>
    <s v="Female"/>
    <n v="87"/>
    <n v="3"/>
    <n v="1"/>
    <x v="6"/>
    <n v="3"/>
    <s v="Married"/>
    <n v="2220"/>
    <n v="18410"/>
    <n v="1"/>
    <s v="Y"/>
    <s v="Yes"/>
    <n v="19"/>
    <n v="3"/>
    <n v="4"/>
    <n v="80"/>
    <n v="1"/>
    <n v="1"/>
    <n v="2"/>
    <n v="3"/>
    <n v="1"/>
    <n v="1"/>
    <x v="0"/>
    <n v="0"/>
    <s v="OK"/>
    <s v="OK"/>
    <s v="OK"/>
    <s v="OK"/>
    <n v="0"/>
    <n v="1"/>
    <n v="2"/>
    <n v="0"/>
  </r>
  <r>
    <n v="28"/>
    <s v="No"/>
    <s v="Travel_Rarely"/>
    <n v="1144"/>
    <s v="Sales"/>
    <n v="10"/>
    <n v="1"/>
    <s v="Medical"/>
    <n v="1"/>
    <n v="1056"/>
    <n v="4"/>
    <s v="Male"/>
    <n v="74"/>
    <n v="3"/>
    <n v="1"/>
    <x v="6"/>
    <n v="2"/>
    <s v="Married"/>
    <n v="1052"/>
    <n v="23384"/>
    <n v="1"/>
    <s v="Y"/>
    <s v="No"/>
    <n v="22"/>
    <n v="4"/>
    <n v="2"/>
    <n v="80"/>
    <n v="0"/>
    <n v="1"/>
    <n v="5"/>
    <n v="3"/>
    <n v="1"/>
    <n v="0"/>
    <x v="0"/>
    <n v="0"/>
    <s v="OK"/>
    <s v="OK"/>
    <s v="OK"/>
    <s v="OK"/>
    <n v="0"/>
    <n v="0"/>
    <n v="5"/>
    <n v="0"/>
  </r>
  <r>
    <n v="38"/>
    <s v="No"/>
    <s v="Travel_Frequently"/>
    <n v="1186"/>
    <s v="Research &amp; Development"/>
    <n v="3"/>
    <n v="4"/>
    <s v="Other"/>
    <n v="1"/>
    <n v="1060"/>
    <n v="3"/>
    <s v="Male"/>
    <n v="44"/>
    <n v="3"/>
    <n v="1"/>
    <x v="1"/>
    <n v="3"/>
    <s v="Married"/>
    <n v="2821"/>
    <n v="2997"/>
    <n v="3"/>
    <s v="Y"/>
    <s v="No"/>
    <n v="16"/>
    <n v="3"/>
    <n v="1"/>
    <n v="80"/>
    <n v="1"/>
    <n v="8"/>
    <n v="2"/>
    <n v="3"/>
    <n v="2"/>
    <n v="2"/>
    <x v="3"/>
    <n v="2"/>
    <s v="OK"/>
    <s v="OK"/>
    <s v="OK"/>
    <s v="OK"/>
    <n v="1"/>
    <n v="1"/>
    <n v="1"/>
    <n v="1"/>
  </r>
  <r>
    <n v="50"/>
    <s v="No"/>
    <s v="Travel_Rarely"/>
    <n v="1464"/>
    <s v="Research &amp; Development"/>
    <n v="2"/>
    <n v="4"/>
    <s v="Medical"/>
    <n v="1"/>
    <n v="1061"/>
    <n v="2"/>
    <s v="Male"/>
    <n v="62"/>
    <n v="3"/>
    <n v="5"/>
    <x v="7"/>
    <n v="3"/>
    <s v="Married"/>
    <n v="19237"/>
    <n v="12853"/>
    <n v="2"/>
    <s v="Y"/>
    <s v="Yes"/>
    <n v="11"/>
    <n v="3"/>
    <n v="4"/>
    <n v="80"/>
    <n v="1"/>
    <n v="29"/>
    <n v="2"/>
    <n v="2"/>
    <n v="8"/>
    <n v="1"/>
    <x v="4"/>
    <n v="7"/>
    <s v="OK"/>
    <s v="OK"/>
    <s v="OK"/>
    <s v="OK"/>
    <n v="0.875"/>
    <n v="0.125"/>
    <n v="0.25"/>
    <n v="0.875"/>
  </r>
  <r>
    <n v="37"/>
    <s v="No"/>
    <s v="Travel_Rarely"/>
    <n v="124"/>
    <s v="Research &amp; Development"/>
    <n v="3"/>
    <n v="3"/>
    <s v="Other"/>
    <n v="1"/>
    <n v="1062"/>
    <n v="4"/>
    <s v="Female"/>
    <n v="35"/>
    <n v="3"/>
    <n v="2"/>
    <x v="4"/>
    <n v="2"/>
    <s v="Single"/>
    <n v="4107"/>
    <n v="13848"/>
    <n v="3"/>
    <s v="Y"/>
    <s v="No"/>
    <n v="15"/>
    <n v="3"/>
    <n v="1"/>
    <n v="80"/>
    <n v="0"/>
    <n v="8"/>
    <n v="3"/>
    <n v="2"/>
    <n v="4"/>
    <n v="3"/>
    <x v="0"/>
    <n v="1"/>
    <s v="OK"/>
    <s v="OK"/>
    <s v="OK"/>
    <s v="OK"/>
    <n v="0"/>
    <n v="0.75"/>
    <n v="0.75"/>
    <n v="0.25"/>
  </r>
  <r>
    <n v="40"/>
    <s v="No"/>
    <s v="Travel_Rarely"/>
    <n v="300"/>
    <s v="Sales"/>
    <n v="26"/>
    <n v="3"/>
    <s v="Marketing"/>
    <n v="1"/>
    <n v="1066"/>
    <n v="3"/>
    <s v="Male"/>
    <n v="74"/>
    <n v="3"/>
    <n v="2"/>
    <x v="0"/>
    <n v="1"/>
    <s v="Married"/>
    <n v="8396"/>
    <n v="22217"/>
    <n v="1"/>
    <s v="Y"/>
    <s v="No"/>
    <n v="14"/>
    <n v="3"/>
    <n v="2"/>
    <n v="80"/>
    <n v="1"/>
    <n v="8"/>
    <n v="3"/>
    <n v="2"/>
    <n v="7"/>
    <n v="7"/>
    <x v="4"/>
    <n v="5"/>
    <s v="OK"/>
    <s v="OK"/>
    <s v="OK"/>
    <s v="OK"/>
    <n v="1"/>
    <n v="1"/>
    <n v="0.42857142857142855"/>
    <n v="0.7142857142857143"/>
  </r>
  <r>
    <n v="26"/>
    <s v="No"/>
    <s v="Travel_Frequently"/>
    <n v="921"/>
    <s v="Research &amp; Development"/>
    <n v="1"/>
    <n v="1"/>
    <s v="Medical"/>
    <n v="1"/>
    <n v="1068"/>
    <n v="1"/>
    <s v="Female"/>
    <n v="66"/>
    <n v="2"/>
    <n v="1"/>
    <x v="1"/>
    <n v="3"/>
    <s v="Divorced"/>
    <n v="2007"/>
    <n v="25265"/>
    <n v="1"/>
    <s v="Y"/>
    <s v="No"/>
    <n v="13"/>
    <n v="3"/>
    <n v="3"/>
    <n v="80"/>
    <n v="2"/>
    <n v="5"/>
    <n v="5"/>
    <n v="3"/>
    <n v="5"/>
    <n v="3"/>
    <x v="1"/>
    <n v="3"/>
    <s v="OK"/>
    <s v="OK"/>
    <s v="OK"/>
    <s v="OK"/>
    <n v="0.2"/>
    <n v="0.6"/>
    <n v="1"/>
    <n v="0.6"/>
  </r>
  <r>
    <n v="46"/>
    <s v="No"/>
    <s v="Travel_Rarely"/>
    <n v="430"/>
    <s v="Research &amp; Development"/>
    <n v="1"/>
    <n v="4"/>
    <s v="Medical"/>
    <n v="1"/>
    <n v="1069"/>
    <n v="4"/>
    <s v="Male"/>
    <n v="40"/>
    <n v="3"/>
    <n v="5"/>
    <x v="7"/>
    <n v="4"/>
    <s v="Divorced"/>
    <n v="19627"/>
    <n v="21445"/>
    <n v="9"/>
    <s v="Y"/>
    <s v="No"/>
    <n v="17"/>
    <n v="3"/>
    <n v="4"/>
    <n v="80"/>
    <n v="2"/>
    <n v="23"/>
    <n v="0"/>
    <n v="3"/>
    <n v="2"/>
    <n v="2"/>
    <x v="3"/>
    <n v="2"/>
    <s v="OK"/>
    <s v="OK"/>
    <s v="OK"/>
    <s v="OK"/>
    <n v="1"/>
    <n v="1"/>
    <n v="0"/>
    <n v="1"/>
  </r>
  <r>
    <n v="54"/>
    <s v="No"/>
    <s v="Travel_Rarely"/>
    <n v="1082"/>
    <s v="Sales"/>
    <n v="2"/>
    <n v="4"/>
    <s v="Life Sciences"/>
    <n v="1"/>
    <n v="1070"/>
    <n v="3"/>
    <s v="Female"/>
    <n v="41"/>
    <n v="2"/>
    <n v="3"/>
    <x v="0"/>
    <n v="3"/>
    <s v="Married"/>
    <n v="10686"/>
    <n v="8392"/>
    <n v="6"/>
    <s v="Y"/>
    <s v="No"/>
    <n v="11"/>
    <n v="3"/>
    <n v="2"/>
    <n v="80"/>
    <n v="1"/>
    <n v="13"/>
    <n v="4"/>
    <n v="3"/>
    <n v="9"/>
    <n v="4"/>
    <x v="4"/>
    <n v="0"/>
    <s v="OK"/>
    <s v="OK"/>
    <s v="OK"/>
    <s v="OK"/>
    <n v="0.77777777777777779"/>
    <n v="0.44444444444444442"/>
    <n v="0.44444444444444442"/>
    <n v="0"/>
  </r>
  <r>
    <n v="56"/>
    <s v="No"/>
    <s v="Travel_Frequently"/>
    <n v="1240"/>
    <s v="Research &amp; Development"/>
    <n v="9"/>
    <n v="3"/>
    <s v="Medical"/>
    <n v="1"/>
    <n v="1071"/>
    <n v="1"/>
    <s v="Female"/>
    <n v="63"/>
    <n v="3"/>
    <n v="1"/>
    <x v="1"/>
    <n v="3"/>
    <s v="Married"/>
    <n v="2942"/>
    <n v="12154"/>
    <n v="2"/>
    <s v="Y"/>
    <s v="No"/>
    <n v="19"/>
    <n v="3"/>
    <n v="2"/>
    <n v="80"/>
    <n v="1"/>
    <n v="18"/>
    <n v="4"/>
    <n v="3"/>
    <n v="5"/>
    <n v="4"/>
    <x v="0"/>
    <n v="3"/>
    <s v="OK"/>
    <s v="OK"/>
    <s v="OK"/>
    <s v="OK"/>
    <n v="0"/>
    <n v="0.8"/>
    <n v="0.8"/>
    <n v="0.6"/>
  </r>
  <r>
    <n v="36"/>
    <s v="No"/>
    <s v="Travel_Rarely"/>
    <n v="796"/>
    <s v="Research &amp; Development"/>
    <n v="12"/>
    <n v="5"/>
    <s v="Medical"/>
    <n v="1"/>
    <n v="1073"/>
    <n v="4"/>
    <s v="Female"/>
    <n v="51"/>
    <n v="2"/>
    <n v="3"/>
    <x v="3"/>
    <n v="4"/>
    <s v="Single"/>
    <n v="8858"/>
    <n v="15669"/>
    <n v="0"/>
    <s v="Y"/>
    <s v="No"/>
    <n v="11"/>
    <n v="3"/>
    <n v="2"/>
    <n v="80"/>
    <n v="0"/>
    <n v="15"/>
    <n v="2"/>
    <n v="2"/>
    <n v="14"/>
    <n v="8"/>
    <x v="4"/>
    <n v="8"/>
    <s v="OK"/>
    <s v="OK"/>
    <s v="OK"/>
    <s v="OK"/>
    <n v="0.5"/>
    <n v="0.5714285714285714"/>
    <n v="0.14285714285714285"/>
    <n v="0.5714285714285714"/>
  </r>
  <r>
    <n v="55"/>
    <s v="No"/>
    <s v="Non-Travel"/>
    <n v="444"/>
    <s v="Research &amp; Development"/>
    <n v="2"/>
    <n v="1"/>
    <s v="Medical"/>
    <n v="1"/>
    <n v="1074"/>
    <n v="3"/>
    <s v="Male"/>
    <n v="40"/>
    <n v="2"/>
    <n v="4"/>
    <x v="5"/>
    <n v="1"/>
    <s v="Single"/>
    <n v="16756"/>
    <n v="17323"/>
    <n v="7"/>
    <s v="Y"/>
    <s v="No"/>
    <n v="15"/>
    <n v="3"/>
    <n v="2"/>
    <n v="80"/>
    <n v="0"/>
    <n v="31"/>
    <n v="3"/>
    <n v="4"/>
    <n v="9"/>
    <n v="7"/>
    <x v="7"/>
    <n v="2"/>
    <s v="OK"/>
    <s v="OK"/>
    <s v="OK"/>
    <s v="OK"/>
    <n v="0.66666666666666663"/>
    <n v="0.77777777777777779"/>
    <n v="0.33333333333333331"/>
    <n v="0.22222222222222221"/>
  </r>
  <r>
    <n v="43"/>
    <s v="No"/>
    <s v="Travel_Rarely"/>
    <n v="415"/>
    <s v="Sales"/>
    <n v="25"/>
    <n v="3"/>
    <s v="Medical"/>
    <n v="1"/>
    <n v="1076"/>
    <n v="3"/>
    <s v="Male"/>
    <n v="79"/>
    <n v="2"/>
    <n v="3"/>
    <x v="0"/>
    <n v="4"/>
    <s v="Divorced"/>
    <n v="10798"/>
    <n v="5268"/>
    <n v="5"/>
    <s v="Y"/>
    <s v="No"/>
    <n v="13"/>
    <n v="3"/>
    <n v="3"/>
    <n v="80"/>
    <n v="1"/>
    <n v="18"/>
    <n v="5"/>
    <n v="3"/>
    <n v="1"/>
    <n v="0"/>
    <x v="0"/>
    <n v="0"/>
    <s v="OK"/>
    <s v="OK"/>
    <s v="OK"/>
    <s v="OK"/>
    <n v="0"/>
    <n v="0"/>
    <n v="5"/>
    <n v="0"/>
  </r>
  <r>
    <n v="20"/>
    <s v="Yes"/>
    <s v="Travel_Frequently"/>
    <n v="769"/>
    <s v="Sales"/>
    <n v="9"/>
    <n v="3"/>
    <s v="Marketing"/>
    <n v="1"/>
    <n v="1077"/>
    <n v="4"/>
    <s v="Female"/>
    <n v="54"/>
    <n v="3"/>
    <n v="1"/>
    <x v="6"/>
    <n v="4"/>
    <s v="Single"/>
    <n v="2323"/>
    <n v="17205"/>
    <n v="1"/>
    <s v="Y"/>
    <s v="Yes"/>
    <n v="14"/>
    <n v="3"/>
    <n v="2"/>
    <n v="80"/>
    <n v="0"/>
    <n v="2"/>
    <n v="3"/>
    <n v="3"/>
    <n v="2"/>
    <n v="2"/>
    <x v="0"/>
    <n v="2"/>
    <s v="OK"/>
    <s v="OK"/>
    <s v="OK"/>
    <s v="OK"/>
    <n v="0"/>
    <n v="1"/>
    <n v="1.5"/>
    <n v="1"/>
  </r>
  <r>
    <n v="21"/>
    <s v="Yes"/>
    <s v="Travel_Rarely"/>
    <n v="1334"/>
    <s v="Research &amp; Development"/>
    <n v="10"/>
    <n v="3"/>
    <s v="Life Sciences"/>
    <n v="1"/>
    <n v="1079"/>
    <n v="3"/>
    <s v="Female"/>
    <n v="36"/>
    <n v="2"/>
    <n v="1"/>
    <x v="2"/>
    <n v="1"/>
    <s v="Single"/>
    <n v="1416"/>
    <n v="17258"/>
    <n v="1"/>
    <s v="Y"/>
    <s v="No"/>
    <n v="13"/>
    <n v="3"/>
    <n v="1"/>
    <n v="80"/>
    <n v="0"/>
    <n v="1"/>
    <n v="6"/>
    <n v="2"/>
    <n v="1"/>
    <n v="0"/>
    <x v="1"/>
    <n v="0"/>
    <s v="OK"/>
    <s v="OK"/>
    <s v="OK"/>
    <s v="OK"/>
    <n v="1"/>
    <n v="0"/>
    <n v="6"/>
    <n v="0"/>
  </r>
  <r>
    <n v="46"/>
    <s v="No"/>
    <s v="Travel_Rarely"/>
    <n v="1003"/>
    <s v="Research &amp; Development"/>
    <n v="8"/>
    <n v="4"/>
    <s v="Life Sciences"/>
    <n v="1"/>
    <n v="1080"/>
    <n v="4"/>
    <s v="Female"/>
    <n v="74"/>
    <n v="2"/>
    <n v="2"/>
    <x v="1"/>
    <n v="1"/>
    <s v="Divorced"/>
    <n v="4615"/>
    <n v="21029"/>
    <n v="8"/>
    <s v="Y"/>
    <s v="Yes"/>
    <n v="23"/>
    <n v="4"/>
    <n v="1"/>
    <n v="80"/>
    <n v="3"/>
    <n v="19"/>
    <n v="2"/>
    <n v="3"/>
    <n v="16"/>
    <n v="13"/>
    <x v="1"/>
    <n v="7"/>
    <s v="OK"/>
    <s v="OK"/>
    <s v="OK"/>
    <s v="OK"/>
    <n v="6.25E-2"/>
    <n v="0.8125"/>
    <n v="0.125"/>
    <n v="0.4375"/>
  </r>
  <r>
    <n v="51"/>
    <s v="Yes"/>
    <s v="Travel_Rarely"/>
    <n v="1323"/>
    <s v="Research &amp; Development"/>
    <n v="4"/>
    <n v="4"/>
    <s v="Life Sciences"/>
    <n v="1"/>
    <n v="1081"/>
    <n v="1"/>
    <s v="Male"/>
    <n v="34"/>
    <n v="3"/>
    <n v="1"/>
    <x v="1"/>
    <n v="3"/>
    <s v="Married"/>
    <n v="2461"/>
    <n v="10332"/>
    <n v="9"/>
    <s v="Y"/>
    <s v="Yes"/>
    <n v="12"/>
    <n v="3"/>
    <n v="3"/>
    <n v="80"/>
    <n v="3"/>
    <n v="18"/>
    <n v="2"/>
    <n v="4"/>
    <n v="10"/>
    <n v="0"/>
    <x v="3"/>
    <n v="7"/>
    <s v="OK"/>
    <s v="OK"/>
    <s v="OK"/>
    <s v="OK"/>
    <n v="0.2"/>
    <n v="0"/>
    <n v="0.2"/>
    <n v="0.7"/>
  </r>
  <r>
    <n v="28"/>
    <s v="Yes"/>
    <s v="Non-Travel"/>
    <n v="1366"/>
    <s v="Research &amp; Development"/>
    <n v="24"/>
    <n v="2"/>
    <s v="Technical Degree"/>
    <n v="1"/>
    <n v="1082"/>
    <n v="2"/>
    <s v="Male"/>
    <n v="72"/>
    <n v="2"/>
    <n v="3"/>
    <x v="4"/>
    <n v="1"/>
    <s v="Single"/>
    <n v="8722"/>
    <n v="12355"/>
    <n v="1"/>
    <s v="Y"/>
    <s v="No"/>
    <n v="12"/>
    <n v="3"/>
    <n v="1"/>
    <n v="80"/>
    <n v="0"/>
    <n v="10"/>
    <n v="2"/>
    <n v="2"/>
    <n v="10"/>
    <n v="7"/>
    <x v="1"/>
    <n v="9"/>
    <s v="OK"/>
    <s v="OK"/>
    <s v="OK"/>
    <s v="OK"/>
    <n v="0.1"/>
    <n v="0.7"/>
    <n v="0.2"/>
    <n v="0.9"/>
  </r>
  <r>
    <n v="26"/>
    <s v="No"/>
    <s v="Travel_Rarely"/>
    <n v="192"/>
    <s v="Research &amp; Development"/>
    <n v="1"/>
    <n v="2"/>
    <s v="Medical"/>
    <n v="1"/>
    <n v="1083"/>
    <n v="1"/>
    <s v="Male"/>
    <n v="59"/>
    <n v="2"/>
    <n v="1"/>
    <x v="2"/>
    <n v="1"/>
    <s v="Married"/>
    <n v="3955"/>
    <n v="11141"/>
    <n v="1"/>
    <s v="Y"/>
    <s v="No"/>
    <n v="16"/>
    <n v="3"/>
    <n v="1"/>
    <n v="80"/>
    <n v="2"/>
    <n v="6"/>
    <n v="2"/>
    <n v="3"/>
    <n v="5"/>
    <n v="3"/>
    <x v="1"/>
    <n v="3"/>
    <s v="OK"/>
    <s v="OK"/>
    <s v="OK"/>
    <s v="OK"/>
    <n v="0.2"/>
    <n v="0.6"/>
    <n v="0.4"/>
    <n v="0.6"/>
  </r>
  <r>
    <n v="30"/>
    <s v="No"/>
    <s v="Travel_Rarely"/>
    <n v="1176"/>
    <s v="Research &amp; Development"/>
    <n v="20"/>
    <n v="3"/>
    <s v="Other"/>
    <n v="1"/>
    <n v="1084"/>
    <n v="3"/>
    <s v="Male"/>
    <n v="85"/>
    <n v="3"/>
    <n v="2"/>
    <x v="3"/>
    <n v="1"/>
    <s v="Married"/>
    <n v="9957"/>
    <n v="9096"/>
    <n v="0"/>
    <s v="Y"/>
    <s v="No"/>
    <n v="15"/>
    <n v="3"/>
    <n v="3"/>
    <n v="80"/>
    <n v="1"/>
    <n v="7"/>
    <n v="1"/>
    <n v="2"/>
    <n v="6"/>
    <n v="2"/>
    <x v="0"/>
    <n v="2"/>
    <s v="OK"/>
    <s v="OK"/>
    <s v="OK"/>
    <s v="OK"/>
    <n v="0"/>
    <n v="0.33333333333333331"/>
    <n v="0.16666666666666666"/>
    <n v="0.33333333333333331"/>
  </r>
  <r>
    <n v="41"/>
    <s v="No"/>
    <s v="Travel_Rarely"/>
    <n v="509"/>
    <s v="Research &amp; Development"/>
    <n v="7"/>
    <n v="2"/>
    <s v="Technical Degree"/>
    <n v="1"/>
    <n v="1085"/>
    <n v="2"/>
    <s v="Female"/>
    <n v="43"/>
    <n v="4"/>
    <n v="1"/>
    <x v="1"/>
    <n v="3"/>
    <s v="Married"/>
    <n v="3376"/>
    <n v="18863"/>
    <n v="1"/>
    <s v="Y"/>
    <s v="No"/>
    <n v="13"/>
    <n v="3"/>
    <n v="3"/>
    <n v="80"/>
    <n v="0"/>
    <n v="10"/>
    <n v="3"/>
    <n v="3"/>
    <n v="10"/>
    <n v="6"/>
    <x v="0"/>
    <n v="8"/>
    <s v="OK"/>
    <s v="OK"/>
    <s v="OK"/>
    <s v="OK"/>
    <n v="0"/>
    <n v="0.6"/>
    <n v="0.3"/>
    <n v="0.8"/>
  </r>
  <r>
    <n v="38"/>
    <s v="No"/>
    <s v="Travel_Rarely"/>
    <n v="330"/>
    <s v="Research &amp; Development"/>
    <n v="17"/>
    <n v="1"/>
    <s v="Life Sciences"/>
    <n v="1"/>
    <n v="1088"/>
    <n v="3"/>
    <s v="Female"/>
    <n v="65"/>
    <n v="2"/>
    <n v="3"/>
    <x v="4"/>
    <n v="3"/>
    <s v="Married"/>
    <n v="8823"/>
    <n v="24608"/>
    <n v="0"/>
    <s v="Y"/>
    <s v="No"/>
    <n v="18"/>
    <n v="3"/>
    <n v="1"/>
    <n v="80"/>
    <n v="1"/>
    <n v="20"/>
    <n v="4"/>
    <n v="2"/>
    <n v="19"/>
    <n v="9"/>
    <x v="1"/>
    <n v="9"/>
    <s v="OK"/>
    <s v="OK"/>
    <s v="OK"/>
    <s v="OK"/>
    <n v="5.2631578947368418E-2"/>
    <n v="0.47368421052631576"/>
    <n v="0.21052631578947367"/>
    <n v="0.47368421052631576"/>
  </r>
  <r>
    <n v="40"/>
    <s v="No"/>
    <s v="Travel_Rarely"/>
    <n v="1492"/>
    <s v="Research &amp; Development"/>
    <n v="20"/>
    <n v="4"/>
    <s v="Technical Degree"/>
    <n v="1"/>
    <n v="1092"/>
    <n v="1"/>
    <s v="Male"/>
    <n v="61"/>
    <n v="3"/>
    <n v="3"/>
    <x v="4"/>
    <n v="4"/>
    <s v="Married"/>
    <n v="10322"/>
    <n v="26542"/>
    <n v="4"/>
    <s v="Y"/>
    <s v="No"/>
    <n v="20"/>
    <n v="4"/>
    <n v="4"/>
    <n v="80"/>
    <n v="1"/>
    <n v="14"/>
    <n v="6"/>
    <n v="3"/>
    <n v="11"/>
    <n v="10"/>
    <x v="14"/>
    <n v="1"/>
    <s v="OK"/>
    <s v="OK"/>
    <s v="OK"/>
    <s v="OK"/>
    <n v="1"/>
    <n v="0.90909090909090906"/>
    <n v="0.54545454545454541"/>
    <n v="9.0909090909090912E-2"/>
  </r>
  <r>
    <n v="27"/>
    <s v="No"/>
    <s v="Non-Travel"/>
    <n v="1277"/>
    <s v="Research &amp; Development"/>
    <n v="8"/>
    <n v="5"/>
    <s v="Life Sciences"/>
    <n v="1"/>
    <n v="1094"/>
    <n v="1"/>
    <s v="Male"/>
    <n v="87"/>
    <n v="1"/>
    <n v="1"/>
    <x v="2"/>
    <n v="3"/>
    <s v="Married"/>
    <n v="4621"/>
    <n v="5869"/>
    <n v="1"/>
    <s v="Y"/>
    <s v="No"/>
    <n v="19"/>
    <n v="3"/>
    <n v="4"/>
    <n v="80"/>
    <n v="3"/>
    <n v="3"/>
    <n v="4"/>
    <n v="3"/>
    <n v="3"/>
    <n v="2"/>
    <x v="1"/>
    <n v="2"/>
    <s v="OK"/>
    <s v="OK"/>
    <s v="OK"/>
    <s v="OK"/>
    <n v="0.33333333333333331"/>
    <n v="0.66666666666666663"/>
    <n v="1.3333333333333333"/>
    <n v="0.66666666666666663"/>
  </r>
  <r>
    <n v="55"/>
    <s v="No"/>
    <s v="Travel_Frequently"/>
    <n v="1091"/>
    <s v="Research &amp; Development"/>
    <n v="2"/>
    <n v="1"/>
    <s v="Life Sciences"/>
    <n v="1"/>
    <n v="1096"/>
    <n v="4"/>
    <s v="Male"/>
    <n v="65"/>
    <n v="3"/>
    <n v="3"/>
    <x v="3"/>
    <n v="2"/>
    <s v="Married"/>
    <n v="10976"/>
    <n v="15813"/>
    <n v="3"/>
    <s v="Y"/>
    <s v="No"/>
    <n v="18"/>
    <n v="3"/>
    <n v="2"/>
    <n v="80"/>
    <n v="1"/>
    <n v="23"/>
    <n v="4"/>
    <n v="3"/>
    <n v="3"/>
    <n v="2"/>
    <x v="1"/>
    <n v="2"/>
    <s v="OK"/>
    <s v="OK"/>
    <s v="OK"/>
    <s v="OK"/>
    <n v="0.33333333333333331"/>
    <n v="0.66666666666666663"/>
    <n v="1.3333333333333333"/>
    <n v="0.66666666666666663"/>
  </r>
  <r>
    <n v="28"/>
    <s v="No"/>
    <s v="Travel_Rarely"/>
    <n v="857"/>
    <s v="Research &amp; Development"/>
    <n v="10"/>
    <n v="3"/>
    <s v="Other"/>
    <n v="1"/>
    <n v="1097"/>
    <n v="3"/>
    <s v="Female"/>
    <n v="59"/>
    <n v="3"/>
    <n v="2"/>
    <x v="1"/>
    <n v="3"/>
    <s v="Single"/>
    <n v="3660"/>
    <n v="7909"/>
    <n v="3"/>
    <s v="Y"/>
    <s v="No"/>
    <n v="13"/>
    <n v="3"/>
    <n v="4"/>
    <n v="80"/>
    <n v="0"/>
    <n v="10"/>
    <n v="4"/>
    <n v="4"/>
    <n v="8"/>
    <n v="7"/>
    <x v="1"/>
    <n v="7"/>
    <s v="OK"/>
    <s v="OK"/>
    <s v="OK"/>
    <s v="OK"/>
    <n v="0.125"/>
    <n v="0.875"/>
    <n v="0.5"/>
    <n v="0.875"/>
  </r>
  <r>
    <n v="44"/>
    <s v="Yes"/>
    <s v="Travel_Rarely"/>
    <n v="1376"/>
    <s v="Human Resources"/>
    <n v="1"/>
    <n v="2"/>
    <s v="Medical"/>
    <n v="1"/>
    <n v="1098"/>
    <n v="2"/>
    <s v="Male"/>
    <n v="91"/>
    <n v="2"/>
    <n v="3"/>
    <x v="8"/>
    <n v="1"/>
    <s v="Married"/>
    <n v="10482"/>
    <n v="2326"/>
    <n v="9"/>
    <s v="Y"/>
    <s v="No"/>
    <n v="14"/>
    <n v="3"/>
    <n v="4"/>
    <n v="80"/>
    <n v="1"/>
    <n v="24"/>
    <n v="1"/>
    <n v="3"/>
    <n v="20"/>
    <n v="6"/>
    <x v="2"/>
    <n v="6"/>
    <s v="OK"/>
    <s v="OK"/>
    <s v="OK"/>
    <s v="OK"/>
    <n v="0.15"/>
    <n v="0.3"/>
    <n v="0.05"/>
    <n v="0.3"/>
  </r>
  <r>
    <n v="33"/>
    <s v="No"/>
    <s v="Travel_Rarely"/>
    <n v="654"/>
    <s v="Research &amp; Development"/>
    <n v="5"/>
    <n v="3"/>
    <s v="Life Sciences"/>
    <n v="1"/>
    <n v="1099"/>
    <n v="4"/>
    <s v="Male"/>
    <n v="34"/>
    <n v="2"/>
    <n v="3"/>
    <x v="4"/>
    <n v="4"/>
    <s v="Divorced"/>
    <n v="7119"/>
    <n v="21214"/>
    <n v="4"/>
    <s v="Y"/>
    <s v="No"/>
    <n v="15"/>
    <n v="3"/>
    <n v="3"/>
    <n v="80"/>
    <n v="1"/>
    <n v="9"/>
    <n v="2"/>
    <n v="3"/>
    <n v="3"/>
    <n v="2"/>
    <x v="1"/>
    <n v="2"/>
    <s v="OK"/>
    <s v="OK"/>
    <s v="OK"/>
    <s v="OK"/>
    <n v="0.33333333333333331"/>
    <n v="0.66666666666666663"/>
    <n v="0.66666666666666663"/>
    <n v="0.66666666666666663"/>
  </r>
  <r>
    <n v="35"/>
    <s v="Yes"/>
    <s v="Travel_Rarely"/>
    <n v="1204"/>
    <s v="Sales"/>
    <n v="4"/>
    <n v="3"/>
    <s v="Technical Degree"/>
    <n v="1"/>
    <n v="1100"/>
    <n v="4"/>
    <s v="Male"/>
    <n v="86"/>
    <n v="3"/>
    <n v="3"/>
    <x v="0"/>
    <n v="1"/>
    <s v="Single"/>
    <n v="9582"/>
    <n v="10333"/>
    <n v="0"/>
    <s v="Y"/>
    <s v="Yes"/>
    <n v="22"/>
    <n v="4"/>
    <n v="1"/>
    <n v="80"/>
    <n v="0"/>
    <n v="9"/>
    <n v="2"/>
    <n v="3"/>
    <n v="8"/>
    <n v="7"/>
    <x v="5"/>
    <n v="7"/>
    <s v="OK"/>
    <s v="OK"/>
    <s v="OK"/>
    <s v="OK"/>
    <n v="0.5"/>
    <n v="0.875"/>
    <n v="0.25"/>
    <n v="0.875"/>
  </r>
  <r>
    <n v="33"/>
    <s v="Yes"/>
    <s v="Travel_Frequently"/>
    <n v="827"/>
    <s v="Research &amp; Development"/>
    <n v="29"/>
    <n v="4"/>
    <s v="Medical"/>
    <n v="1"/>
    <n v="1101"/>
    <n v="1"/>
    <s v="Female"/>
    <n v="54"/>
    <n v="2"/>
    <n v="2"/>
    <x v="1"/>
    <n v="3"/>
    <s v="Single"/>
    <n v="4508"/>
    <n v="3129"/>
    <n v="1"/>
    <s v="Y"/>
    <s v="No"/>
    <n v="22"/>
    <n v="4"/>
    <n v="2"/>
    <n v="80"/>
    <n v="0"/>
    <n v="14"/>
    <n v="4"/>
    <n v="3"/>
    <n v="13"/>
    <n v="7"/>
    <x v="2"/>
    <n v="8"/>
    <s v="OK"/>
    <s v="OK"/>
    <s v="OK"/>
    <s v="OK"/>
    <n v="0.23076923076923078"/>
    <n v="0.53846153846153844"/>
    <n v="0.30769230769230771"/>
    <n v="0.61538461538461542"/>
  </r>
  <r>
    <n v="28"/>
    <s v="No"/>
    <s v="Travel_Rarely"/>
    <n v="895"/>
    <s v="Research &amp; Development"/>
    <n v="15"/>
    <n v="2"/>
    <s v="Life Sciences"/>
    <n v="1"/>
    <n v="1102"/>
    <n v="1"/>
    <s v="Male"/>
    <n v="50"/>
    <n v="3"/>
    <n v="1"/>
    <x v="2"/>
    <n v="3"/>
    <s v="Divorced"/>
    <n v="2207"/>
    <n v="22482"/>
    <n v="1"/>
    <s v="Y"/>
    <s v="No"/>
    <n v="16"/>
    <n v="3"/>
    <n v="4"/>
    <n v="80"/>
    <n v="1"/>
    <n v="4"/>
    <n v="5"/>
    <n v="2"/>
    <n v="4"/>
    <n v="2"/>
    <x v="3"/>
    <n v="2"/>
    <s v="OK"/>
    <s v="OK"/>
    <s v="OK"/>
    <s v="OK"/>
    <n v="0.5"/>
    <n v="0.5"/>
    <n v="1.25"/>
    <n v="0.5"/>
  </r>
  <r>
    <n v="34"/>
    <s v="No"/>
    <s v="Travel_Frequently"/>
    <n v="618"/>
    <s v="Research &amp; Development"/>
    <n v="3"/>
    <n v="1"/>
    <s v="Life Sciences"/>
    <n v="1"/>
    <n v="1103"/>
    <n v="1"/>
    <s v="Male"/>
    <n v="45"/>
    <n v="3"/>
    <n v="2"/>
    <x v="4"/>
    <n v="4"/>
    <s v="Single"/>
    <n v="7756"/>
    <n v="22266"/>
    <n v="0"/>
    <s v="Y"/>
    <s v="No"/>
    <n v="17"/>
    <n v="3"/>
    <n v="3"/>
    <n v="80"/>
    <n v="0"/>
    <n v="7"/>
    <n v="1"/>
    <n v="2"/>
    <n v="6"/>
    <n v="2"/>
    <x v="0"/>
    <n v="4"/>
    <s v="OK"/>
    <s v="OK"/>
    <s v="OK"/>
    <s v="OK"/>
    <n v="0"/>
    <n v="0.33333333333333331"/>
    <n v="0.16666666666666666"/>
    <n v="0.66666666666666663"/>
  </r>
  <r>
    <n v="37"/>
    <s v="No"/>
    <s v="Travel_Rarely"/>
    <n v="309"/>
    <s v="Sales"/>
    <n v="10"/>
    <n v="4"/>
    <s v="Life Sciences"/>
    <n v="1"/>
    <n v="1105"/>
    <n v="4"/>
    <s v="Female"/>
    <n v="88"/>
    <n v="2"/>
    <n v="2"/>
    <x v="0"/>
    <n v="4"/>
    <s v="Divorced"/>
    <n v="6694"/>
    <n v="24223"/>
    <n v="2"/>
    <s v="Y"/>
    <s v="Yes"/>
    <n v="14"/>
    <n v="3"/>
    <n v="3"/>
    <n v="80"/>
    <n v="3"/>
    <n v="8"/>
    <n v="5"/>
    <n v="3"/>
    <n v="1"/>
    <n v="0"/>
    <x v="0"/>
    <n v="0"/>
    <s v="OK"/>
    <s v="OK"/>
    <s v="OK"/>
    <s v="OK"/>
    <n v="0"/>
    <n v="0"/>
    <n v="5"/>
    <n v="0"/>
  </r>
  <r>
    <n v="25"/>
    <s v="Yes"/>
    <s v="Travel_Rarely"/>
    <n v="1219"/>
    <s v="Research &amp; Development"/>
    <n v="4"/>
    <n v="1"/>
    <s v="Technical Degree"/>
    <n v="1"/>
    <n v="1106"/>
    <n v="4"/>
    <s v="Male"/>
    <n v="32"/>
    <n v="3"/>
    <n v="1"/>
    <x v="2"/>
    <n v="4"/>
    <s v="Married"/>
    <n v="3691"/>
    <n v="4605"/>
    <n v="1"/>
    <s v="Y"/>
    <s v="Yes"/>
    <n v="15"/>
    <n v="3"/>
    <n v="2"/>
    <n v="80"/>
    <n v="1"/>
    <n v="7"/>
    <n v="3"/>
    <n v="4"/>
    <n v="7"/>
    <n v="7"/>
    <x v="8"/>
    <n v="6"/>
    <s v="OK"/>
    <s v="OK"/>
    <s v="OK"/>
    <s v="OK"/>
    <n v="0.7142857142857143"/>
    <n v="1"/>
    <n v="0.42857142857142855"/>
    <n v="0.8571428571428571"/>
  </r>
  <r>
    <n v="26"/>
    <s v="Yes"/>
    <s v="Travel_Rarely"/>
    <n v="1330"/>
    <s v="Research &amp; Development"/>
    <n v="21"/>
    <n v="3"/>
    <s v="Medical"/>
    <n v="1"/>
    <n v="1107"/>
    <n v="1"/>
    <s v="Male"/>
    <n v="37"/>
    <n v="3"/>
    <n v="1"/>
    <x v="2"/>
    <n v="3"/>
    <s v="Divorced"/>
    <n v="2377"/>
    <n v="19373"/>
    <n v="1"/>
    <s v="Y"/>
    <s v="No"/>
    <n v="20"/>
    <n v="4"/>
    <n v="3"/>
    <n v="80"/>
    <n v="1"/>
    <n v="1"/>
    <n v="0"/>
    <n v="2"/>
    <n v="1"/>
    <n v="1"/>
    <x v="0"/>
    <n v="0"/>
    <s v="OK"/>
    <s v="OK"/>
    <s v="OK"/>
    <s v="OK"/>
    <n v="0"/>
    <n v="1"/>
    <n v="0"/>
    <n v="0"/>
  </r>
  <r>
    <n v="33"/>
    <s v="Yes"/>
    <s v="Travel_Rarely"/>
    <n v="1017"/>
    <s v="Research &amp; Development"/>
    <n v="25"/>
    <n v="3"/>
    <s v="Medical"/>
    <n v="1"/>
    <n v="1108"/>
    <n v="1"/>
    <s v="Male"/>
    <n v="55"/>
    <n v="2"/>
    <n v="1"/>
    <x v="1"/>
    <n v="2"/>
    <s v="Single"/>
    <n v="2313"/>
    <n v="2993"/>
    <n v="4"/>
    <s v="Y"/>
    <s v="Yes"/>
    <n v="20"/>
    <n v="4"/>
    <n v="2"/>
    <n v="80"/>
    <n v="0"/>
    <n v="5"/>
    <n v="0"/>
    <n v="3"/>
    <n v="2"/>
    <n v="2"/>
    <x v="3"/>
    <n v="2"/>
    <s v="OK"/>
    <s v="OK"/>
    <s v="OK"/>
    <s v="OK"/>
    <n v="1"/>
    <n v="1"/>
    <n v="0"/>
    <n v="1"/>
  </r>
  <r>
    <n v="42"/>
    <s v="No"/>
    <s v="Travel_Rarely"/>
    <n v="469"/>
    <s v="Research &amp; Development"/>
    <n v="2"/>
    <n v="2"/>
    <s v="Medical"/>
    <n v="1"/>
    <n v="1109"/>
    <n v="4"/>
    <s v="Male"/>
    <n v="35"/>
    <n v="3"/>
    <n v="4"/>
    <x v="5"/>
    <n v="1"/>
    <s v="Married"/>
    <n v="17665"/>
    <n v="14399"/>
    <n v="0"/>
    <s v="Y"/>
    <s v="No"/>
    <n v="17"/>
    <n v="3"/>
    <n v="4"/>
    <n v="80"/>
    <n v="1"/>
    <n v="23"/>
    <n v="3"/>
    <n v="3"/>
    <n v="22"/>
    <n v="6"/>
    <x v="11"/>
    <n v="7"/>
    <s v="OK"/>
    <s v="OK"/>
    <s v="OK"/>
    <s v="OK"/>
    <n v="0.59090909090909094"/>
    <n v="0.27272727272727271"/>
    <n v="0.13636363636363635"/>
    <n v="0.31818181818181818"/>
  </r>
  <r>
    <n v="28"/>
    <s v="Yes"/>
    <s v="Travel_Frequently"/>
    <n v="1009"/>
    <s v="Research &amp; Development"/>
    <n v="1"/>
    <n v="3"/>
    <s v="Medical"/>
    <n v="1"/>
    <n v="1111"/>
    <n v="1"/>
    <s v="Male"/>
    <n v="45"/>
    <n v="2"/>
    <n v="1"/>
    <x v="2"/>
    <n v="2"/>
    <s v="Divorced"/>
    <n v="2596"/>
    <n v="7160"/>
    <n v="1"/>
    <s v="Y"/>
    <s v="No"/>
    <n v="15"/>
    <n v="3"/>
    <n v="1"/>
    <n v="80"/>
    <n v="2"/>
    <n v="1"/>
    <n v="2"/>
    <n v="3"/>
    <n v="1"/>
    <n v="0"/>
    <x v="0"/>
    <n v="0"/>
    <s v="OK"/>
    <s v="OK"/>
    <s v="OK"/>
    <s v="OK"/>
    <n v="0"/>
    <n v="0"/>
    <n v="2"/>
    <n v="0"/>
  </r>
  <r>
    <n v="50"/>
    <s v="Yes"/>
    <s v="Travel_Frequently"/>
    <n v="959"/>
    <s v="Sales"/>
    <n v="1"/>
    <n v="4"/>
    <s v="Other"/>
    <n v="1"/>
    <n v="1113"/>
    <n v="4"/>
    <s v="Male"/>
    <n v="81"/>
    <n v="3"/>
    <n v="2"/>
    <x v="0"/>
    <n v="3"/>
    <s v="Single"/>
    <n v="4728"/>
    <n v="17251"/>
    <n v="3"/>
    <s v="Y"/>
    <s v="Yes"/>
    <n v="14"/>
    <n v="3"/>
    <n v="4"/>
    <n v="80"/>
    <n v="0"/>
    <n v="5"/>
    <n v="4"/>
    <n v="3"/>
    <n v="0"/>
    <n v="0"/>
    <x v="0"/>
    <n v="0"/>
    <s v="OK"/>
    <s v="OK"/>
    <s v="OK"/>
    <s v="OK"/>
    <n v="0"/>
    <n v="0"/>
    <n v="0"/>
    <n v="0"/>
  </r>
  <r>
    <n v="33"/>
    <s v="No"/>
    <s v="Travel_Frequently"/>
    <n v="970"/>
    <s v="Sales"/>
    <n v="7"/>
    <n v="3"/>
    <s v="Life Sciences"/>
    <n v="1"/>
    <n v="1114"/>
    <n v="4"/>
    <s v="Female"/>
    <n v="30"/>
    <n v="3"/>
    <n v="2"/>
    <x v="0"/>
    <n v="2"/>
    <s v="Married"/>
    <n v="4302"/>
    <n v="13401"/>
    <n v="0"/>
    <s v="Y"/>
    <s v="No"/>
    <n v="17"/>
    <n v="3"/>
    <n v="3"/>
    <n v="80"/>
    <n v="1"/>
    <n v="4"/>
    <n v="3"/>
    <n v="3"/>
    <n v="3"/>
    <n v="2"/>
    <x v="0"/>
    <n v="2"/>
    <s v="OK"/>
    <s v="OK"/>
    <s v="OK"/>
    <s v="OK"/>
    <n v="0"/>
    <n v="0.66666666666666663"/>
    <n v="1"/>
    <n v="0.66666666666666663"/>
  </r>
  <r>
    <n v="34"/>
    <s v="No"/>
    <s v="Non-Travel"/>
    <n v="697"/>
    <s v="Research &amp; Development"/>
    <n v="3"/>
    <n v="4"/>
    <s v="Life Sciences"/>
    <n v="1"/>
    <n v="1115"/>
    <n v="3"/>
    <s v="Male"/>
    <n v="40"/>
    <n v="2"/>
    <n v="1"/>
    <x v="1"/>
    <n v="4"/>
    <s v="Married"/>
    <n v="2979"/>
    <n v="22478"/>
    <n v="3"/>
    <s v="Y"/>
    <s v="No"/>
    <n v="17"/>
    <n v="3"/>
    <n v="4"/>
    <n v="80"/>
    <n v="3"/>
    <n v="6"/>
    <n v="2"/>
    <n v="3"/>
    <n v="0"/>
    <n v="0"/>
    <x v="0"/>
    <n v="0"/>
    <s v="OK"/>
    <s v="OK"/>
    <s v="OK"/>
    <s v="OK"/>
    <n v="0"/>
    <n v="0"/>
    <n v="0"/>
    <n v="0"/>
  </r>
  <r>
    <n v="48"/>
    <s v="No"/>
    <s v="Non-Travel"/>
    <n v="1262"/>
    <s v="Research &amp; Development"/>
    <n v="1"/>
    <n v="4"/>
    <s v="Medical"/>
    <n v="1"/>
    <n v="1116"/>
    <n v="1"/>
    <s v="Male"/>
    <n v="35"/>
    <n v="4"/>
    <n v="4"/>
    <x v="5"/>
    <n v="4"/>
    <s v="Single"/>
    <n v="16885"/>
    <n v="16154"/>
    <n v="2"/>
    <s v="Y"/>
    <s v="No"/>
    <n v="22"/>
    <n v="4"/>
    <n v="3"/>
    <n v="80"/>
    <n v="0"/>
    <n v="27"/>
    <n v="3"/>
    <n v="2"/>
    <n v="5"/>
    <n v="4"/>
    <x v="3"/>
    <n v="1"/>
    <s v="OK"/>
    <s v="OK"/>
    <s v="OK"/>
    <s v="OK"/>
    <n v="0.4"/>
    <n v="0.8"/>
    <n v="0.6"/>
    <n v="0.2"/>
  </r>
  <r>
    <n v="45"/>
    <s v="No"/>
    <s v="Non-Travel"/>
    <n v="1050"/>
    <s v="Sales"/>
    <n v="9"/>
    <n v="4"/>
    <s v="Life Sciences"/>
    <n v="1"/>
    <n v="1117"/>
    <n v="2"/>
    <s v="Female"/>
    <n v="65"/>
    <n v="2"/>
    <n v="2"/>
    <x v="0"/>
    <n v="3"/>
    <s v="Married"/>
    <n v="5593"/>
    <n v="17970"/>
    <n v="1"/>
    <s v="Y"/>
    <s v="No"/>
    <n v="13"/>
    <n v="3"/>
    <n v="4"/>
    <n v="80"/>
    <n v="1"/>
    <n v="15"/>
    <n v="2"/>
    <n v="3"/>
    <n v="15"/>
    <n v="10"/>
    <x v="5"/>
    <n v="12"/>
    <s v="OK"/>
    <s v="OK"/>
    <s v="OK"/>
    <s v="OK"/>
    <n v="0.26666666666666666"/>
    <n v="0.66666666666666663"/>
    <n v="0.13333333333333333"/>
    <n v="0.8"/>
  </r>
  <r>
    <n v="52"/>
    <s v="No"/>
    <s v="Travel_Rarely"/>
    <n v="994"/>
    <s v="Research &amp; Development"/>
    <n v="7"/>
    <n v="4"/>
    <s v="Life Sciences"/>
    <n v="1"/>
    <n v="1118"/>
    <n v="2"/>
    <s v="Male"/>
    <n v="87"/>
    <n v="3"/>
    <n v="3"/>
    <x v="4"/>
    <n v="2"/>
    <s v="Single"/>
    <n v="10445"/>
    <n v="15322"/>
    <n v="7"/>
    <s v="Y"/>
    <s v="No"/>
    <n v="19"/>
    <n v="3"/>
    <n v="4"/>
    <n v="80"/>
    <n v="0"/>
    <n v="18"/>
    <n v="4"/>
    <n v="3"/>
    <n v="8"/>
    <n v="6"/>
    <x v="5"/>
    <n v="0"/>
    <s v="OK"/>
    <s v="OK"/>
    <s v="OK"/>
    <s v="OK"/>
    <n v="0.5"/>
    <n v="0.75"/>
    <n v="0.5"/>
    <n v="0"/>
  </r>
  <r>
    <n v="38"/>
    <s v="No"/>
    <s v="Travel_Rarely"/>
    <n v="770"/>
    <s v="Sales"/>
    <n v="10"/>
    <n v="4"/>
    <s v="Marketing"/>
    <n v="1"/>
    <n v="1119"/>
    <n v="3"/>
    <s v="Male"/>
    <n v="73"/>
    <n v="2"/>
    <n v="3"/>
    <x v="0"/>
    <n v="3"/>
    <s v="Divorced"/>
    <n v="8740"/>
    <n v="5569"/>
    <n v="0"/>
    <s v="Y"/>
    <s v="Yes"/>
    <n v="14"/>
    <n v="3"/>
    <n v="2"/>
    <n v="80"/>
    <n v="2"/>
    <n v="9"/>
    <n v="2"/>
    <n v="3"/>
    <n v="8"/>
    <n v="7"/>
    <x v="3"/>
    <n v="7"/>
    <s v="OK"/>
    <s v="OK"/>
    <s v="OK"/>
    <s v="OK"/>
    <n v="0.25"/>
    <n v="0.875"/>
    <n v="0.25"/>
    <n v="0.875"/>
  </r>
  <r>
    <n v="29"/>
    <s v="No"/>
    <s v="Travel_Rarely"/>
    <n v="1107"/>
    <s v="Research &amp; Development"/>
    <n v="28"/>
    <n v="4"/>
    <s v="Life Sciences"/>
    <n v="1"/>
    <n v="1120"/>
    <n v="3"/>
    <s v="Female"/>
    <n v="93"/>
    <n v="3"/>
    <n v="1"/>
    <x v="1"/>
    <n v="4"/>
    <s v="Divorced"/>
    <n v="2514"/>
    <n v="26968"/>
    <n v="4"/>
    <s v="Y"/>
    <s v="No"/>
    <n v="22"/>
    <n v="4"/>
    <n v="1"/>
    <n v="80"/>
    <n v="1"/>
    <n v="11"/>
    <n v="1"/>
    <n v="3"/>
    <n v="7"/>
    <n v="5"/>
    <x v="1"/>
    <n v="7"/>
    <s v="OK"/>
    <s v="OK"/>
    <s v="OK"/>
    <s v="OK"/>
    <n v="0.14285714285714285"/>
    <n v="0.7142857142857143"/>
    <n v="0.14285714285714285"/>
    <n v="1"/>
  </r>
  <r>
    <n v="28"/>
    <s v="No"/>
    <s v="Travel_Rarely"/>
    <n v="950"/>
    <s v="Research &amp; Development"/>
    <n v="3"/>
    <n v="3"/>
    <s v="Medical"/>
    <n v="1"/>
    <n v="1121"/>
    <n v="4"/>
    <s v="Female"/>
    <n v="93"/>
    <n v="3"/>
    <n v="3"/>
    <x v="3"/>
    <n v="2"/>
    <s v="Divorced"/>
    <n v="7655"/>
    <n v="8039"/>
    <n v="0"/>
    <s v="Y"/>
    <s v="No"/>
    <n v="17"/>
    <n v="3"/>
    <n v="2"/>
    <n v="80"/>
    <n v="3"/>
    <n v="10"/>
    <n v="3"/>
    <n v="2"/>
    <n v="9"/>
    <n v="7"/>
    <x v="1"/>
    <n v="7"/>
    <s v="OK"/>
    <s v="OK"/>
    <s v="OK"/>
    <s v="OK"/>
    <n v="0.1111111111111111"/>
    <n v="0.77777777777777779"/>
    <n v="0.33333333333333331"/>
    <n v="0.77777777777777779"/>
  </r>
  <r>
    <n v="46"/>
    <s v="No"/>
    <s v="Travel_Rarely"/>
    <n v="406"/>
    <s v="Sales"/>
    <n v="3"/>
    <n v="1"/>
    <s v="Marketing"/>
    <n v="1"/>
    <n v="1124"/>
    <n v="1"/>
    <s v="Male"/>
    <n v="52"/>
    <n v="3"/>
    <n v="4"/>
    <x v="5"/>
    <n v="3"/>
    <s v="Married"/>
    <n v="17465"/>
    <n v="15596"/>
    <n v="3"/>
    <s v="Y"/>
    <s v="No"/>
    <n v="12"/>
    <n v="3"/>
    <n v="4"/>
    <n v="80"/>
    <n v="1"/>
    <n v="23"/>
    <n v="3"/>
    <n v="3"/>
    <n v="12"/>
    <n v="9"/>
    <x v="5"/>
    <n v="9"/>
    <s v="OK"/>
    <s v="OK"/>
    <s v="OK"/>
    <s v="OK"/>
    <n v="0.33333333333333331"/>
    <n v="0.75"/>
    <n v="0.25"/>
    <n v="0.75"/>
  </r>
  <r>
    <n v="38"/>
    <s v="No"/>
    <s v="Travel_Rarely"/>
    <n v="130"/>
    <s v="Sales"/>
    <n v="2"/>
    <n v="2"/>
    <s v="Marketing"/>
    <n v="1"/>
    <n v="1125"/>
    <n v="4"/>
    <s v="Male"/>
    <n v="32"/>
    <n v="3"/>
    <n v="3"/>
    <x v="0"/>
    <n v="2"/>
    <s v="Single"/>
    <n v="7351"/>
    <n v="20619"/>
    <n v="7"/>
    <s v="Y"/>
    <s v="No"/>
    <n v="16"/>
    <n v="3"/>
    <n v="3"/>
    <n v="80"/>
    <n v="0"/>
    <n v="10"/>
    <n v="2"/>
    <n v="3"/>
    <n v="1"/>
    <n v="0"/>
    <x v="0"/>
    <n v="0"/>
    <s v="OK"/>
    <s v="OK"/>
    <s v="OK"/>
    <s v="OK"/>
    <n v="0"/>
    <n v="0"/>
    <n v="2"/>
    <n v="0"/>
  </r>
  <r>
    <n v="43"/>
    <s v="No"/>
    <s v="Travel_Frequently"/>
    <n v="1082"/>
    <s v="Research &amp; Development"/>
    <n v="27"/>
    <n v="3"/>
    <s v="Life Sciences"/>
    <n v="1"/>
    <n v="1126"/>
    <n v="3"/>
    <s v="Female"/>
    <n v="83"/>
    <n v="3"/>
    <n v="3"/>
    <x v="3"/>
    <n v="1"/>
    <s v="Married"/>
    <n v="10820"/>
    <n v="11535"/>
    <n v="8"/>
    <s v="Y"/>
    <s v="No"/>
    <n v="11"/>
    <n v="3"/>
    <n v="3"/>
    <n v="80"/>
    <n v="1"/>
    <n v="18"/>
    <n v="1"/>
    <n v="3"/>
    <n v="8"/>
    <n v="7"/>
    <x v="0"/>
    <n v="1"/>
    <s v="OK"/>
    <s v="OK"/>
    <s v="OK"/>
    <s v="OK"/>
    <n v="0"/>
    <n v="0.875"/>
    <n v="0.125"/>
    <n v="0.125"/>
  </r>
  <r>
    <n v="39"/>
    <s v="Yes"/>
    <s v="Travel_Frequently"/>
    <n v="203"/>
    <s v="Research &amp; Development"/>
    <n v="2"/>
    <n v="3"/>
    <s v="Life Sciences"/>
    <n v="1"/>
    <n v="1127"/>
    <n v="1"/>
    <s v="Male"/>
    <n v="84"/>
    <n v="3"/>
    <n v="4"/>
    <x v="4"/>
    <n v="4"/>
    <s v="Divorced"/>
    <n v="12169"/>
    <n v="13547"/>
    <n v="7"/>
    <s v="Y"/>
    <s v="No"/>
    <n v="11"/>
    <n v="3"/>
    <n v="4"/>
    <n v="80"/>
    <n v="3"/>
    <n v="21"/>
    <n v="4"/>
    <n v="3"/>
    <n v="18"/>
    <n v="7"/>
    <x v="14"/>
    <n v="5"/>
    <s v="OK"/>
    <s v="OK"/>
    <s v="OK"/>
    <s v="OK"/>
    <n v="0.61111111111111116"/>
    <n v="0.3888888888888889"/>
    <n v="0.22222222222222221"/>
    <n v="0.27777777777777779"/>
  </r>
  <r>
    <n v="40"/>
    <s v="No"/>
    <s v="Travel_Rarely"/>
    <n v="1308"/>
    <s v="Research &amp; Development"/>
    <n v="14"/>
    <n v="3"/>
    <s v="Medical"/>
    <n v="1"/>
    <n v="1128"/>
    <n v="3"/>
    <s v="Male"/>
    <n v="44"/>
    <n v="2"/>
    <n v="5"/>
    <x v="7"/>
    <n v="3"/>
    <s v="Single"/>
    <n v="19626"/>
    <n v="17544"/>
    <n v="1"/>
    <s v="Y"/>
    <s v="No"/>
    <n v="14"/>
    <n v="3"/>
    <n v="1"/>
    <n v="80"/>
    <n v="0"/>
    <n v="21"/>
    <n v="2"/>
    <n v="4"/>
    <n v="20"/>
    <n v="7"/>
    <x v="5"/>
    <n v="9"/>
    <s v="OK"/>
    <s v="OK"/>
    <s v="OK"/>
    <s v="OK"/>
    <n v="0.2"/>
    <n v="0.35"/>
    <n v="0.1"/>
    <n v="0.45"/>
  </r>
  <r>
    <n v="21"/>
    <s v="No"/>
    <s v="Travel_Rarely"/>
    <n v="984"/>
    <s v="Research &amp; Development"/>
    <n v="1"/>
    <n v="1"/>
    <s v="Technical Degree"/>
    <n v="1"/>
    <n v="1131"/>
    <n v="4"/>
    <s v="Female"/>
    <n v="70"/>
    <n v="2"/>
    <n v="1"/>
    <x v="1"/>
    <n v="2"/>
    <s v="Single"/>
    <n v="2070"/>
    <n v="25326"/>
    <n v="1"/>
    <s v="Y"/>
    <s v="Yes"/>
    <n v="11"/>
    <n v="3"/>
    <n v="3"/>
    <n v="80"/>
    <n v="0"/>
    <n v="2"/>
    <n v="6"/>
    <n v="4"/>
    <n v="2"/>
    <n v="2"/>
    <x v="3"/>
    <n v="2"/>
    <s v="OK"/>
    <s v="OK"/>
    <s v="OK"/>
    <s v="OK"/>
    <n v="1"/>
    <n v="1"/>
    <n v="3"/>
    <n v="1"/>
  </r>
  <r>
    <n v="39"/>
    <s v="No"/>
    <s v="Non-Travel"/>
    <n v="439"/>
    <s v="Research &amp; Development"/>
    <n v="9"/>
    <n v="3"/>
    <s v="Life Sciences"/>
    <n v="1"/>
    <n v="1132"/>
    <n v="3"/>
    <s v="Male"/>
    <n v="70"/>
    <n v="3"/>
    <n v="2"/>
    <x v="2"/>
    <n v="2"/>
    <s v="Single"/>
    <n v="6782"/>
    <n v="8770"/>
    <n v="9"/>
    <s v="Y"/>
    <s v="No"/>
    <n v="15"/>
    <n v="3"/>
    <n v="3"/>
    <n v="80"/>
    <n v="0"/>
    <n v="9"/>
    <n v="2"/>
    <n v="2"/>
    <n v="5"/>
    <n v="4"/>
    <x v="0"/>
    <n v="3"/>
    <s v="OK"/>
    <s v="OK"/>
    <s v="OK"/>
    <s v="OK"/>
    <n v="0"/>
    <n v="0.8"/>
    <n v="0.4"/>
    <n v="0.6"/>
  </r>
  <r>
    <n v="36"/>
    <s v="No"/>
    <s v="Non-Travel"/>
    <n v="217"/>
    <s v="Research &amp; Development"/>
    <n v="18"/>
    <n v="4"/>
    <s v="Life Sciences"/>
    <n v="1"/>
    <n v="1133"/>
    <n v="1"/>
    <s v="Male"/>
    <n v="78"/>
    <n v="3"/>
    <n v="2"/>
    <x v="3"/>
    <n v="4"/>
    <s v="Single"/>
    <n v="7779"/>
    <n v="23238"/>
    <n v="2"/>
    <s v="Y"/>
    <s v="No"/>
    <n v="20"/>
    <n v="4"/>
    <n v="1"/>
    <n v="80"/>
    <n v="0"/>
    <n v="18"/>
    <n v="0"/>
    <n v="3"/>
    <n v="11"/>
    <n v="9"/>
    <x v="0"/>
    <n v="9"/>
    <s v="OK"/>
    <s v="OK"/>
    <s v="OK"/>
    <s v="OK"/>
    <n v="0"/>
    <n v="0.81818181818181823"/>
    <n v="0"/>
    <n v="0.81818181818181823"/>
  </r>
  <r>
    <n v="31"/>
    <s v="No"/>
    <s v="Travel_Frequently"/>
    <n v="793"/>
    <s v="Sales"/>
    <n v="20"/>
    <n v="3"/>
    <s v="Life Sciences"/>
    <n v="1"/>
    <n v="1135"/>
    <n v="3"/>
    <s v="Male"/>
    <n v="67"/>
    <n v="4"/>
    <n v="1"/>
    <x v="6"/>
    <n v="4"/>
    <s v="Married"/>
    <n v="2791"/>
    <n v="21981"/>
    <n v="0"/>
    <s v="Y"/>
    <s v="No"/>
    <n v="12"/>
    <n v="3"/>
    <n v="1"/>
    <n v="80"/>
    <n v="1"/>
    <n v="3"/>
    <n v="4"/>
    <n v="3"/>
    <n v="2"/>
    <n v="2"/>
    <x v="3"/>
    <n v="2"/>
    <s v="OK"/>
    <s v="OK"/>
    <s v="OK"/>
    <s v="OK"/>
    <n v="1"/>
    <n v="1"/>
    <n v="2"/>
    <n v="1"/>
  </r>
  <r>
    <n v="28"/>
    <s v="No"/>
    <s v="Travel_Rarely"/>
    <n v="1451"/>
    <s v="Research &amp; Development"/>
    <n v="2"/>
    <n v="1"/>
    <s v="Life Sciences"/>
    <n v="1"/>
    <n v="1136"/>
    <n v="1"/>
    <s v="Male"/>
    <n v="67"/>
    <n v="2"/>
    <n v="1"/>
    <x v="1"/>
    <n v="2"/>
    <s v="Married"/>
    <n v="3201"/>
    <n v="19911"/>
    <n v="0"/>
    <s v="Y"/>
    <s v="No"/>
    <n v="17"/>
    <n v="3"/>
    <n v="1"/>
    <n v="80"/>
    <n v="0"/>
    <n v="6"/>
    <n v="2"/>
    <n v="1"/>
    <n v="5"/>
    <n v="3"/>
    <x v="0"/>
    <n v="4"/>
    <s v="OK"/>
    <s v="OK"/>
    <s v="OK"/>
    <s v="OK"/>
    <n v="0"/>
    <n v="0.6"/>
    <n v="0.4"/>
    <n v="0.8"/>
  </r>
  <r>
    <n v="35"/>
    <s v="No"/>
    <s v="Travel_Frequently"/>
    <n v="1182"/>
    <s v="Sales"/>
    <n v="11"/>
    <n v="2"/>
    <s v="Marketing"/>
    <n v="1"/>
    <n v="1137"/>
    <n v="4"/>
    <s v="Male"/>
    <n v="54"/>
    <n v="3"/>
    <n v="2"/>
    <x v="0"/>
    <n v="4"/>
    <s v="Divorced"/>
    <n v="4968"/>
    <n v="18500"/>
    <n v="1"/>
    <s v="Y"/>
    <s v="No"/>
    <n v="11"/>
    <n v="3"/>
    <n v="4"/>
    <n v="80"/>
    <n v="1"/>
    <n v="5"/>
    <n v="3"/>
    <n v="3"/>
    <n v="5"/>
    <n v="2"/>
    <x v="0"/>
    <n v="2"/>
    <s v="OK"/>
    <s v="OK"/>
    <s v="OK"/>
    <s v="OK"/>
    <n v="0"/>
    <n v="0.4"/>
    <n v="0.6"/>
    <n v="0.4"/>
  </r>
  <r>
    <n v="49"/>
    <s v="No"/>
    <s v="Travel_Rarely"/>
    <n v="174"/>
    <s v="Sales"/>
    <n v="8"/>
    <n v="4"/>
    <s v="Technical Degree"/>
    <n v="1"/>
    <n v="1138"/>
    <n v="4"/>
    <s v="Male"/>
    <n v="56"/>
    <n v="2"/>
    <n v="4"/>
    <x v="0"/>
    <n v="2"/>
    <s v="Married"/>
    <n v="13120"/>
    <n v="11879"/>
    <n v="6"/>
    <s v="Y"/>
    <s v="No"/>
    <n v="17"/>
    <n v="3"/>
    <n v="2"/>
    <n v="80"/>
    <n v="1"/>
    <n v="22"/>
    <n v="3"/>
    <n v="3"/>
    <n v="9"/>
    <n v="8"/>
    <x v="3"/>
    <n v="3"/>
    <s v="OK"/>
    <s v="OK"/>
    <s v="OK"/>
    <s v="OK"/>
    <n v="0.22222222222222221"/>
    <n v="0.88888888888888884"/>
    <n v="0.33333333333333331"/>
    <n v="0.33333333333333331"/>
  </r>
  <r>
    <n v="34"/>
    <s v="No"/>
    <s v="Travel_Frequently"/>
    <n v="1003"/>
    <s v="Research &amp; Development"/>
    <n v="2"/>
    <n v="2"/>
    <s v="Life Sciences"/>
    <n v="1"/>
    <n v="1140"/>
    <n v="4"/>
    <s v="Male"/>
    <n v="95"/>
    <n v="3"/>
    <n v="2"/>
    <x v="3"/>
    <n v="3"/>
    <s v="Single"/>
    <n v="4033"/>
    <n v="15834"/>
    <n v="2"/>
    <s v="Y"/>
    <s v="No"/>
    <n v="11"/>
    <n v="3"/>
    <n v="4"/>
    <n v="80"/>
    <n v="0"/>
    <n v="5"/>
    <n v="3"/>
    <n v="2"/>
    <n v="3"/>
    <n v="2"/>
    <x v="0"/>
    <n v="2"/>
    <s v="OK"/>
    <s v="OK"/>
    <s v="OK"/>
    <s v="OK"/>
    <n v="0"/>
    <n v="0.66666666666666663"/>
    <n v="1"/>
    <n v="0.66666666666666663"/>
  </r>
  <r>
    <n v="29"/>
    <s v="No"/>
    <s v="Travel_Frequently"/>
    <n v="490"/>
    <s v="Research &amp; Development"/>
    <n v="10"/>
    <n v="3"/>
    <s v="Life Sciences"/>
    <n v="1"/>
    <n v="1143"/>
    <n v="4"/>
    <s v="Female"/>
    <n v="61"/>
    <n v="3"/>
    <n v="1"/>
    <x v="1"/>
    <n v="2"/>
    <s v="Divorced"/>
    <n v="3291"/>
    <n v="17940"/>
    <n v="0"/>
    <s v="Y"/>
    <s v="No"/>
    <n v="14"/>
    <n v="3"/>
    <n v="4"/>
    <n v="80"/>
    <n v="2"/>
    <n v="8"/>
    <n v="2"/>
    <n v="2"/>
    <n v="7"/>
    <n v="5"/>
    <x v="1"/>
    <n v="1"/>
    <s v="OK"/>
    <s v="OK"/>
    <s v="OK"/>
    <s v="OK"/>
    <n v="0.14285714285714285"/>
    <n v="0.7142857142857143"/>
    <n v="0.2857142857142857"/>
    <n v="0.14285714285714285"/>
  </r>
  <r>
    <n v="42"/>
    <s v="No"/>
    <s v="Travel_Rarely"/>
    <n v="188"/>
    <s v="Research &amp; Development"/>
    <n v="29"/>
    <n v="3"/>
    <s v="Medical"/>
    <n v="1"/>
    <n v="1148"/>
    <n v="2"/>
    <s v="Male"/>
    <n v="56"/>
    <n v="1"/>
    <n v="2"/>
    <x v="2"/>
    <n v="4"/>
    <s v="Single"/>
    <n v="4272"/>
    <n v="9558"/>
    <n v="4"/>
    <s v="Y"/>
    <s v="No"/>
    <n v="19"/>
    <n v="3"/>
    <n v="1"/>
    <n v="80"/>
    <n v="0"/>
    <n v="16"/>
    <n v="3"/>
    <n v="3"/>
    <n v="1"/>
    <n v="0"/>
    <x v="0"/>
    <n v="0"/>
    <s v="OK"/>
    <s v="OK"/>
    <s v="OK"/>
    <s v="OK"/>
    <n v="0"/>
    <n v="0"/>
    <n v="3"/>
    <n v="0"/>
  </r>
  <r>
    <n v="29"/>
    <s v="No"/>
    <s v="Travel_Rarely"/>
    <n v="718"/>
    <s v="Research &amp; Development"/>
    <n v="8"/>
    <n v="1"/>
    <s v="Medical"/>
    <n v="1"/>
    <n v="1150"/>
    <n v="2"/>
    <s v="Male"/>
    <n v="79"/>
    <n v="2"/>
    <n v="2"/>
    <x v="3"/>
    <n v="4"/>
    <s v="Married"/>
    <n v="5056"/>
    <n v="17689"/>
    <n v="1"/>
    <s v="Y"/>
    <s v="Yes"/>
    <n v="15"/>
    <n v="3"/>
    <n v="3"/>
    <n v="80"/>
    <n v="1"/>
    <n v="10"/>
    <n v="2"/>
    <n v="2"/>
    <n v="10"/>
    <n v="7"/>
    <x v="1"/>
    <n v="2"/>
    <s v="OK"/>
    <s v="OK"/>
    <s v="OK"/>
    <s v="OK"/>
    <n v="0.1"/>
    <n v="0.7"/>
    <n v="0.2"/>
    <n v="0.2"/>
  </r>
  <r>
    <n v="38"/>
    <s v="No"/>
    <s v="Travel_Rarely"/>
    <n v="433"/>
    <s v="Human Resources"/>
    <n v="1"/>
    <n v="3"/>
    <s v="Human Resources"/>
    <n v="1"/>
    <n v="1152"/>
    <n v="3"/>
    <s v="Male"/>
    <n v="37"/>
    <n v="4"/>
    <n v="1"/>
    <x v="8"/>
    <n v="3"/>
    <s v="Married"/>
    <n v="2844"/>
    <n v="6004"/>
    <n v="1"/>
    <s v="Y"/>
    <s v="No"/>
    <n v="13"/>
    <n v="3"/>
    <n v="4"/>
    <n v="80"/>
    <n v="1"/>
    <n v="7"/>
    <n v="2"/>
    <n v="4"/>
    <n v="7"/>
    <n v="6"/>
    <x v="8"/>
    <n v="0"/>
    <s v="OK"/>
    <s v="OK"/>
    <s v="OK"/>
    <s v="OK"/>
    <n v="0.7142857142857143"/>
    <n v="0.8571428571428571"/>
    <n v="0.2857142857142857"/>
    <n v="0"/>
  </r>
  <r>
    <n v="28"/>
    <s v="No"/>
    <s v="Travel_Frequently"/>
    <n v="773"/>
    <s v="Research &amp; Development"/>
    <n v="6"/>
    <n v="3"/>
    <s v="Life Sciences"/>
    <n v="1"/>
    <n v="1154"/>
    <n v="3"/>
    <s v="Male"/>
    <n v="39"/>
    <n v="2"/>
    <n v="1"/>
    <x v="1"/>
    <n v="3"/>
    <s v="Divorced"/>
    <n v="2703"/>
    <n v="22088"/>
    <n v="1"/>
    <s v="Y"/>
    <s v="Yes"/>
    <n v="14"/>
    <n v="3"/>
    <n v="4"/>
    <n v="80"/>
    <n v="1"/>
    <n v="3"/>
    <n v="2"/>
    <n v="3"/>
    <n v="3"/>
    <n v="1"/>
    <x v="0"/>
    <n v="2"/>
    <s v="OK"/>
    <s v="OK"/>
    <s v="OK"/>
    <s v="OK"/>
    <n v="0"/>
    <n v="0.33333333333333331"/>
    <n v="0.66666666666666663"/>
    <n v="0.66666666666666663"/>
  </r>
  <r>
    <n v="18"/>
    <s v="Yes"/>
    <s v="Non-Travel"/>
    <n v="247"/>
    <s v="Research &amp; Development"/>
    <n v="8"/>
    <n v="1"/>
    <s v="Medical"/>
    <n v="1"/>
    <n v="1156"/>
    <n v="3"/>
    <s v="Male"/>
    <n v="80"/>
    <n v="3"/>
    <n v="1"/>
    <x v="2"/>
    <n v="3"/>
    <s v="Single"/>
    <n v="1904"/>
    <n v="13556"/>
    <n v="1"/>
    <s v="Y"/>
    <s v="No"/>
    <n v="12"/>
    <n v="3"/>
    <n v="4"/>
    <n v="80"/>
    <n v="0"/>
    <n v="0"/>
    <n v="0"/>
    <n v="3"/>
    <n v="0"/>
    <n v="0"/>
    <x v="0"/>
    <n v="0"/>
    <s v="OK"/>
    <s v="OK"/>
    <s v="OK"/>
    <s v="OK"/>
    <n v="0"/>
    <n v="0"/>
    <n v="0"/>
    <n v="0"/>
  </r>
  <r>
    <n v="33"/>
    <s v="Yes"/>
    <s v="Travel_Rarely"/>
    <n v="603"/>
    <s v="Sales"/>
    <n v="9"/>
    <n v="4"/>
    <s v="Marketing"/>
    <n v="1"/>
    <n v="1157"/>
    <n v="1"/>
    <s v="Female"/>
    <n v="77"/>
    <n v="3"/>
    <n v="2"/>
    <x v="0"/>
    <n v="1"/>
    <s v="Single"/>
    <n v="8224"/>
    <n v="18385"/>
    <n v="0"/>
    <s v="Y"/>
    <s v="Yes"/>
    <n v="17"/>
    <n v="3"/>
    <n v="1"/>
    <n v="80"/>
    <n v="0"/>
    <n v="6"/>
    <n v="3"/>
    <n v="3"/>
    <n v="5"/>
    <n v="2"/>
    <x v="0"/>
    <n v="3"/>
    <s v="OK"/>
    <s v="OK"/>
    <s v="OK"/>
    <s v="OK"/>
    <n v="0"/>
    <n v="0.4"/>
    <n v="0.6"/>
    <n v="0.6"/>
  </r>
  <r>
    <n v="41"/>
    <s v="No"/>
    <s v="Travel_Rarely"/>
    <n v="167"/>
    <s v="Research &amp; Development"/>
    <n v="12"/>
    <n v="4"/>
    <s v="Life Sciences"/>
    <n v="1"/>
    <n v="1158"/>
    <n v="2"/>
    <s v="Male"/>
    <n v="46"/>
    <n v="3"/>
    <n v="1"/>
    <x v="2"/>
    <n v="4"/>
    <s v="Married"/>
    <n v="4766"/>
    <n v="9051"/>
    <n v="3"/>
    <s v="Y"/>
    <s v="Yes"/>
    <n v="11"/>
    <n v="3"/>
    <n v="1"/>
    <n v="80"/>
    <n v="1"/>
    <n v="6"/>
    <n v="4"/>
    <n v="3"/>
    <n v="1"/>
    <n v="0"/>
    <x v="0"/>
    <n v="0"/>
    <s v="OK"/>
    <s v="OK"/>
    <s v="OK"/>
    <s v="OK"/>
    <n v="0"/>
    <n v="0"/>
    <n v="4"/>
    <n v="0"/>
  </r>
  <r>
    <n v="31"/>
    <s v="Yes"/>
    <s v="Travel_Frequently"/>
    <n v="874"/>
    <s v="Research &amp; Development"/>
    <n v="15"/>
    <n v="3"/>
    <s v="Medical"/>
    <n v="1"/>
    <n v="1160"/>
    <n v="3"/>
    <s v="Male"/>
    <n v="72"/>
    <n v="3"/>
    <n v="1"/>
    <x v="2"/>
    <n v="3"/>
    <s v="Married"/>
    <n v="2610"/>
    <n v="6233"/>
    <n v="1"/>
    <s v="Y"/>
    <s v="No"/>
    <n v="12"/>
    <n v="3"/>
    <n v="3"/>
    <n v="80"/>
    <n v="1"/>
    <n v="2"/>
    <n v="5"/>
    <n v="2"/>
    <n v="2"/>
    <n v="2"/>
    <x v="3"/>
    <n v="2"/>
    <s v="OK"/>
    <s v="OK"/>
    <s v="OK"/>
    <s v="OK"/>
    <n v="1"/>
    <n v="1"/>
    <n v="2.5"/>
    <n v="1"/>
  </r>
  <r>
    <n v="37"/>
    <s v="No"/>
    <s v="Travel_Rarely"/>
    <n v="367"/>
    <s v="Research &amp; Development"/>
    <n v="25"/>
    <n v="2"/>
    <s v="Medical"/>
    <n v="1"/>
    <n v="1161"/>
    <n v="3"/>
    <s v="Female"/>
    <n v="52"/>
    <n v="2"/>
    <n v="2"/>
    <x v="4"/>
    <n v="4"/>
    <s v="Divorced"/>
    <n v="5731"/>
    <n v="17171"/>
    <n v="7"/>
    <s v="Y"/>
    <s v="No"/>
    <n v="13"/>
    <n v="3"/>
    <n v="3"/>
    <n v="80"/>
    <n v="2"/>
    <n v="9"/>
    <n v="2"/>
    <n v="3"/>
    <n v="6"/>
    <n v="2"/>
    <x v="1"/>
    <n v="3"/>
    <s v="OK"/>
    <s v="OK"/>
    <s v="OK"/>
    <s v="OK"/>
    <n v="0.16666666666666666"/>
    <n v="0.33333333333333331"/>
    <n v="0.33333333333333331"/>
    <n v="0.5"/>
  </r>
  <r>
    <n v="27"/>
    <s v="No"/>
    <s v="Travel_Rarely"/>
    <n v="199"/>
    <s v="Research &amp; Development"/>
    <n v="6"/>
    <n v="3"/>
    <s v="Life Sciences"/>
    <n v="1"/>
    <n v="1162"/>
    <n v="4"/>
    <s v="Male"/>
    <n v="55"/>
    <n v="2"/>
    <n v="1"/>
    <x v="1"/>
    <n v="3"/>
    <s v="Married"/>
    <n v="2539"/>
    <n v="7950"/>
    <n v="1"/>
    <s v="Y"/>
    <s v="No"/>
    <n v="13"/>
    <n v="3"/>
    <n v="3"/>
    <n v="80"/>
    <n v="1"/>
    <n v="4"/>
    <n v="0"/>
    <n v="3"/>
    <n v="4"/>
    <n v="2"/>
    <x v="3"/>
    <n v="2"/>
    <s v="OK"/>
    <s v="OK"/>
    <s v="OK"/>
    <s v="OK"/>
    <n v="0.5"/>
    <n v="0.5"/>
    <n v="0"/>
    <n v="0.5"/>
  </r>
  <r>
    <n v="34"/>
    <s v="No"/>
    <s v="Travel_Rarely"/>
    <n v="1400"/>
    <s v="Sales"/>
    <n v="9"/>
    <n v="1"/>
    <s v="Life Sciences"/>
    <n v="1"/>
    <n v="1163"/>
    <n v="2"/>
    <s v="Female"/>
    <n v="70"/>
    <n v="3"/>
    <n v="2"/>
    <x v="0"/>
    <n v="3"/>
    <s v="Married"/>
    <n v="5714"/>
    <n v="5829"/>
    <n v="1"/>
    <s v="Y"/>
    <s v="No"/>
    <n v="20"/>
    <n v="4"/>
    <n v="1"/>
    <n v="80"/>
    <n v="0"/>
    <n v="6"/>
    <n v="3"/>
    <n v="2"/>
    <n v="6"/>
    <n v="5"/>
    <x v="1"/>
    <n v="3"/>
    <s v="OK"/>
    <s v="OK"/>
    <s v="OK"/>
    <s v="OK"/>
    <n v="0.16666666666666666"/>
    <n v="0.83333333333333337"/>
    <n v="0.5"/>
    <n v="0.5"/>
  </r>
  <r>
    <n v="35"/>
    <s v="No"/>
    <s v="Travel_Rarely"/>
    <n v="528"/>
    <s v="Human Resources"/>
    <n v="8"/>
    <n v="4"/>
    <s v="Technical Degree"/>
    <n v="1"/>
    <n v="1164"/>
    <n v="3"/>
    <s v="Male"/>
    <n v="100"/>
    <n v="3"/>
    <n v="1"/>
    <x v="8"/>
    <n v="3"/>
    <s v="Single"/>
    <n v="4323"/>
    <n v="7108"/>
    <n v="1"/>
    <s v="Y"/>
    <s v="No"/>
    <n v="17"/>
    <n v="3"/>
    <n v="2"/>
    <n v="80"/>
    <n v="0"/>
    <n v="6"/>
    <n v="2"/>
    <n v="1"/>
    <n v="5"/>
    <n v="4"/>
    <x v="1"/>
    <n v="4"/>
    <s v="OK"/>
    <s v="OK"/>
    <s v="OK"/>
    <s v="OK"/>
    <n v="0.2"/>
    <n v="0.8"/>
    <n v="0.4"/>
    <n v="0.8"/>
  </r>
  <r>
    <n v="29"/>
    <s v="Yes"/>
    <s v="Travel_Rarely"/>
    <n v="408"/>
    <s v="Sales"/>
    <n v="23"/>
    <n v="1"/>
    <s v="Life Sciences"/>
    <n v="1"/>
    <n v="1165"/>
    <n v="4"/>
    <s v="Female"/>
    <n v="45"/>
    <n v="2"/>
    <n v="3"/>
    <x v="0"/>
    <n v="1"/>
    <s v="Married"/>
    <n v="7336"/>
    <n v="11162"/>
    <n v="1"/>
    <s v="Y"/>
    <s v="No"/>
    <n v="13"/>
    <n v="3"/>
    <n v="1"/>
    <n v="80"/>
    <n v="1"/>
    <n v="11"/>
    <n v="3"/>
    <n v="1"/>
    <n v="11"/>
    <n v="8"/>
    <x v="2"/>
    <n v="10"/>
    <s v="OK"/>
    <s v="OK"/>
    <s v="OK"/>
    <s v="OK"/>
    <n v="0.27272727272727271"/>
    <n v="0.72727272727272729"/>
    <n v="0.27272727272727271"/>
    <n v="0.90909090909090906"/>
  </r>
  <r>
    <n v="40"/>
    <s v="No"/>
    <s v="Travel_Frequently"/>
    <n v="593"/>
    <s v="Research &amp; Development"/>
    <n v="9"/>
    <n v="4"/>
    <s v="Medical"/>
    <n v="1"/>
    <n v="1166"/>
    <n v="2"/>
    <s v="Female"/>
    <n v="88"/>
    <n v="3"/>
    <n v="3"/>
    <x v="7"/>
    <n v="3"/>
    <s v="Single"/>
    <n v="13499"/>
    <n v="13782"/>
    <n v="9"/>
    <s v="Y"/>
    <s v="No"/>
    <n v="17"/>
    <n v="3"/>
    <n v="3"/>
    <n v="80"/>
    <n v="0"/>
    <n v="20"/>
    <n v="3"/>
    <n v="2"/>
    <n v="18"/>
    <n v="7"/>
    <x v="3"/>
    <n v="13"/>
    <s v="OK"/>
    <s v="OK"/>
    <s v="OK"/>
    <s v="OK"/>
    <n v="0.1111111111111111"/>
    <n v="0.3888888888888889"/>
    <n v="0.16666666666666666"/>
    <n v="0.72222222222222221"/>
  </r>
  <r>
    <n v="42"/>
    <s v="Yes"/>
    <s v="Travel_Frequently"/>
    <n v="481"/>
    <s v="Sales"/>
    <n v="12"/>
    <n v="3"/>
    <s v="Life Sciences"/>
    <n v="1"/>
    <n v="1167"/>
    <n v="3"/>
    <s v="Male"/>
    <n v="44"/>
    <n v="3"/>
    <n v="4"/>
    <x v="0"/>
    <n v="1"/>
    <s v="Single"/>
    <n v="13758"/>
    <n v="2447"/>
    <n v="0"/>
    <s v="Y"/>
    <s v="Yes"/>
    <n v="12"/>
    <n v="3"/>
    <n v="2"/>
    <n v="80"/>
    <n v="0"/>
    <n v="22"/>
    <n v="2"/>
    <n v="2"/>
    <n v="21"/>
    <n v="9"/>
    <x v="11"/>
    <n v="14"/>
    <s v="OK"/>
    <s v="OK"/>
    <s v="OK"/>
    <s v="OK"/>
    <n v="0.61904761904761907"/>
    <n v="0.42857142857142855"/>
    <n v="9.5238095238095233E-2"/>
    <n v="0.66666666666666663"/>
  </r>
  <r>
    <n v="42"/>
    <s v="No"/>
    <s v="Travel_Rarely"/>
    <n v="647"/>
    <s v="Sales"/>
    <n v="4"/>
    <n v="4"/>
    <s v="Marketing"/>
    <n v="1"/>
    <n v="1171"/>
    <n v="2"/>
    <s v="Male"/>
    <n v="45"/>
    <n v="3"/>
    <n v="2"/>
    <x v="0"/>
    <n v="1"/>
    <s v="Single"/>
    <n v="5155"/>
    <n v="2253"/>
    <n v="7"/>
    <s v="Y"/>
    <s v="No"/>
    <n v="13"/>
    <n v="3"/>
    <n v="4"/>
    <n v="80"/>
    <n v="0"/>
    <n v="9"/>
    <n v="3"/>
    <n v="4"/>
    <n v="6"/>
    <n v="4"/>
    <x v="1"/>
    <n v="5"/>
    <s v="OK"/>
    <s v="OK"/>
    <s v="OK"/>
    <s v="OK"/>
    <n v="0.16666666666666666"/>
    <n v="0.66666666666666663"/>
    <n v="0.5"/>
    <n v="0.83333333333333337"/>
  </r>
  <r>
    <n v="35"/>
    <s v="No"/>
    <s v="Travel_Rarely"/>
    <n v="982"/>
    <s v="Research &amp; Development"/>
    <n v="1"/>
    <n v="4"/>
    <s v="Medical"/>
    <n v="1"/>
    <n v="1172"/>
    <n v="4"/>
    <s v="Male"/>
    <n v="58"/>
    <n v="2"/>
    <n v="1"/>
    <x v="2"/>
    <n v="3"/>
    <s v="Married"/>
    <n v="2258"/>
    <n v="16340"/>
    <n v="6"/>
    <s v="Y"/>
    <s v="No"/>
    <n v="12"/>
    <n v="3"/>
    <n v="2"/>
    <n v="80"/>
    <n v="1"/>
    <n v="10"/>
    <n v="2"/>
    <n v="3"/>
    <n v="8"/>
    <n v="0"/>
    <x v="1"/>
    <n v="7"/>
    <s v="OK"/>
    <s v="OK"/>
    <s v="OK"/>
    <s v="OK"/>
    <n v="0.125"/>
    <n v="0"/>
    <n v="0.25"/>
    <n v="0.875"/>
  </r>
  <r>
    <n v="24"/>
    <s v="No"/>
    <s v="Travel_Rarely"/>
    <n v="477"/>
    <s v="Research &amp; Development"/>
    <n v="24"/>
    <n v="3"/>
    <s v="Medical"/>
    <n v="1"/>
    <n v="1173"/>
    <n v="4"/>
    <s v="Male"/>
    <n v="49"/>
    <n v="3"/>
    <n v="1"/>
    <x v="2"/>
    <n v="2"/>
    <s v="Single"/>
    <n v="3597"/>
    <n v="6409"/>
    <n v="8"/>
    <s v="Y"/>
    <s v="No"/>
    <n v="22"/>
    <n v="4"/>
    <n v="4"/>
    <n v="80"/>
    <n v="0"/>
    <n v="6"/>
    <n v="2"/>
    <n v="3"/>
    <n v="4"/>
    <n v="3"/>
    <x v="1"/>
    <n v="2"/>
    <s v="OK"/>
    <s v="OK"/>
    <s v="OK"/>
    <s v="OK"/>
    <n v="0.25"/>
    <n v="0.75"/>
    <n v="0.5"/>
    <n v="0.5"/>
  </r>
  <r>
    <n v="28"/>
    <s v="Yes"/>
    <s v="Travel_Rarely"/>
    <n v="1485"/>
    <s v="Research &amp; Development"/>
    <n v="12"/>
    <n v="1"/>
    <s v="Life Sciences"/>
    <n v="1"/>
    <n v="1175"/>
    <n v="3"/>
    <s v="Female"/>
    <n v="79"/>
    <n v="3"/>
    <n v="1"/>
    <x v="2"/>
    <n v="4"/>
    <s v="Married"/>
    <n v="2515"/>
    <n v="22955"/>
    <n v="1"/>
    <s v="Y"/>
    <s v="Yes"/>
    <n v="11"/>
    <n v="3"/>
    <n v="4"/>
    <n v="80"/>
    <n v="0"/>
    <n v="1"/>
    <n v="4"/>
    <n v="2"/>
    <n v="1"/>
    <n v="1"/>
    <x v="0"/>
    <n v="0"/>
    <s v="OK"/>
    <s v="OK"/>
    <s v="OK"/>
    <s v="OK"/>
    <n v="0"/>
    <n v="1"/>
    <n v="4"/>
    <n v="0"/>
  </r>
  <r>
    <n v="26"/>
    <s v="No"/>
    <s v="Travel_Rarely"/>
    <n v="1384"/>
    <s v="Research &amp; Development"/>
    <n v="3"/>
    <n v="4"/>
    <s v="Medical"/>
    <n v="1"/>
    <n v="1177"/>
    <n v="1"/>
    <s v="Male"/>
    <n v="82"/>
    <n v="4"/>
    <n v="1"/>
    <x v="2"/>
    <n v="4"/>
    <s v="Married"/>
    <n v="4420"/>
    <n v="13421"/>
    <n v="1"/>
    <s v="Y"/>
    <s v="No"/>
    <n v="22"/>
    <n v="4"/>
    <n v="2"/>
    <n v="80"/>
    <n v="1"/>
    <n v="8"/>
    <n v="2"/>
    <n v="3"/>
    <n v="8"/>
    <n v="7"/>
    <x v="0"/>
    <n v="7"/>
    <s v="OK"/>
    <s v="OK"/>
    <s v="OK"/>
    <s v="OK"/>
    <n v="0"/>
    <n v="0.875"/>
    <n v="0.25"/>
    <n v="0.875"/>
  </r>
  <r>
    <n v="30"/>
    <s v="No"/>
    <s v="Travel_Rarely"/>
    <n v="852"/>
    <s v="Sales"/>
    <n v="10"/>
    <n v="3"/>
    <s v="Marketing"/>
    <n v="1"/>
    <n v="1179"/>
    <n v="3"/>
    <s v="Male"/>
    <n v="72"/>
    <n v="2"/>
    <n v="2"/>
    <x v="0"/>
    <n v="3"/>
    <s v="Married"/>
    <n v="6578"/>
    <n v="2706"/>
    <n v="1"/>
    <s v="Y"/>
    <s v="No"/>
    <n v="18"/>
    <n v="3"/>
    <n v="1"/>
    <n v="80"/>
    <n v="1"/>
    <n v="10"/>
    <n v="3"/>
    <n v="3"/>
    <n v="10"/>
    <n v="3"/>
    <x v="1"/>
    <n v="4"/>
    <s v="OK"/>
    <s v="OK"/>
    <s v="OK"/>
    <s v="OK"/>
    <n v="0.1"/>
    <n v="0.3"/>
    <n v="0.3"/>
    <n v="0.4"/>
  </r>
  <r>
    <n v="40"/>
    <s v="No"/>
    <s v="Travel_Frequently"/>
    <n v="902"/>
    <s v="Research &amp; Development"/>
    <n v="26"/>
    <n v="2"/>
    <s v="Medical"/>
    <n v="1"/>
    <n v="1180"/>
    <n v="3"/>
    <s v="Female"/>
    <n v="92"/>
    <n v="2"/>
    <n v="2"/>
    <x v="1"/>
    <n v="4"/>
    <s v="Married"/>
    <n v="4422"/>
    <n v="21203"/>
    <n v="3"/>
    <s v="Y"/>
    <s v="Yes"/>
    <n v="13"/>
    <n v="3"/>
    <n v="4"/>
    <n v="80"/>
    <n v="1"/>
    <n v="16"/>
    <n v="3"/>
    <n v="1"/>
    <n v="1"/>
    <n v="1"/>
    <x v="0"/>
    <n v="0"/>
    <s v="OK"/>
    <s v="OK"/>
    <s v="OK"/>
    <s v="OK"/>
    <n v="0"/>
    <n v="1"/>
    <n v="3"/>
    <n v="0"/>
  </r>
  <r>
    <n v="35"/>
    <s v="No"/>
    <s v="Travel_Rarely"/>
    <n v="819"/>
    <s v="Research &amp; Development"/>
    <n v="2"/>
    <n v="3"/>
    <s v="Life Sciences"/>
    <n v="1"/>
    <n v="1182"/>
    <n v="3"/>
    <s v="Male"/>
    <n v="44"/>
    <n v="2"/>
    <n v="3"/>
    <x v="3"/>
    <n v="2"/>
    <s v="Divorced"/>
    <n v="10274"/>
    <n v="19588"/>
    <n v="2"/>
    <s v="Y"/>
    <s v="No"/>
    <n v="18"/>
    <n v="3"/>
    <n v="2"/>
    <n v="80"/>
    <n v="1"/>
    <n v="15"/>
    <n v="2"/>
    <n v="4"/>
    <n v="7"/>
    <n v="7"/>
    <x v="7"/>
    <n v="4"/>
    <s v="OK"/>
    <s v="OK"/>
    <s v="OK"/>
    <s v="OK"/>
    <n v="0.8571428571428571"/>
    <n v="1"/>
    <n v="0.2857142857142857"/>
    <n v="0.5714285714285714"/>
  </r>
  <r>
    <n v="34"/>
    <s v="No"/>
    <s v="Travel_Frequently"/>
    <n v="669"/>
    <s v="Research &amp; Development"/>
    <n v="1"/>
    <n v="3"/>
    <s v="Medical"/>
    <n v="1"/>
    <n v="1184"/>
    <n v="4"/>
    <s v="Male"/>
    <n v="97"/>
    <n v="2"/>
    <n v="2"/>
    <x v="4"/>
    <n v="1"/>
    <s v="Single"/>
    <n v="5343"/>
    <n v="25755"/>
    <n v="0"/>
    <s v="Y"/>
    <s v="No"/>
    <n v="20"/>
    <n v="4"/>
    <n v="3"/>
    <n v="80"/>
    <n v="0"/>
    <n v="14"/>
    <n v="3"/>
    <n v="3"/>
    <n v="13"/>
    <n v="9"/>
    <x v="5"/>
    <n v="9"/>
    <s v="OK"/>
    <s v="OK"/>
    <s v="OK"/>
    <s v="OK"/>
    <n v="0.30769230769230771"/>
    <n v="0.69230769230769229"/>
    <n v="0.23076923076923078"/>
    <n v="0.69230769230769229"/>
  </r>
  <r>
    <n v="35"/>
    <s v="No"/>
    <s v="Travel_Frequently"/>
    <n v="636"/>
    <s v="Research &amp; Development"/>
    <n v="4"/>
    <n v="4"/>
    <s v="Other"/>
    <n v="1"/>
    <n v="1185"/>
    <n v="4"/>
    <s v="Male"/>
    <n v="47"/>
    <n v="2"/>
    <n v="1"/>
    <x v="2"/>
    <n v="4"/>
    <s v="Married"/>
    <n v="2376"/>
    <n v="26537"/>
    <n v="1"/>
    <s v="Y"/>
    <s v="No"/>
    <n v="13"/>
    <n v="3"/>
    <n v="2"/>
    <n v="80"/>
    <n v="1"/>
    <n v="2"/>
    <n v="2"/>
    <n v="4"/>
    <n v="2"/>
    <n v="2"/>
    <x v="3"/>
    <n v="2"/>
    <s v="OK"/>
    <s v="OK"/>
    <s v="OK"/>
    <s v="OK"/>
    <n v="1"/>
    <n v="1"/>
    <n v="1"/>
    <n v="1"/>
  </r>
  <r>
    <n v="43"/>
    <s v="Yes"/>
    <s v="Travel_Rarely"/>
    <n v="1372"/>
    <s v="Sales"/>
    <n v="9"/>
    <n v="3"/>
    <s v="Marketing"/>
    <n v="1"/>
    <n v="1188"/>
    <n v="1"/>
    <s v="Female"/>
    <n v="85"/>
    <n v="1"/>
    <n v="2"/>
    <x v="0"/>
    <n v="3"/>
    <s v="Single"/>
    <n v="5346"/>
    <n v="9489"/>
    <n v="8"/>
    <s v="Y"/>
    <s v="No"/>
    <n v="13"/>
    <n v="3"/>
    <n v="2"/>
    <n v="80"/>
    <n v="0"/>
    <n v="7"/>
    <n v="2"/>
    <n v="2"/>
    <n v="4"/>
    <n v="3"/>
    <x v="1"/>
    <n v="3"/>
    <s v="OK"/>
    <s v="OK"/>
    <s v="OK"/>
    <s v="OK"/>
    <n v="0.25"/>
    <n v="0.75"/>
    <n v="0.5"/>
    <n v="0.75"/>
  </r>
  <r>
    <n v="32"/>
    <s v="No"/>
    <s v="Non-Travel"/>
    <n v="862"/>
    <s v="Sales"/>
    <n v="2"/>
    <n v="1"/>
    <s v="Life Sciences"/>
    <n v="1"/>
    <n v="1190"/>
    <n v="3"/>
    <s v="Female"/>
    <n v="76"/>
    <n v="3"/>
    <n v="1"/>
    <x v="6"/>
    <n v="1"/>
    <s v="Divorced"/>
    <n v="2827"/>
    <n v="14947"/>
    <n v="1"/>
    <s v="Y"/>
    <s v="No"/>
    <n v="12"/>
    <n v="3"/>
    <n v="3"/>
    <n v="80"/>
    <n v="3"/>
    <n v="1"/>
    <n v="3"/>
    <n v="3"/>
    <n v="1"/>
    <n v="0"/>
    <x v="0"/>
    <n v="0"/>
    <s v="OK"/>
    <s v="OK"/>
    <s v="OK"/>
    <s v="OK"/>
    <n v="0"/>
    <n v="0"/>
    <n v="3"/>
    <n v="0"/>
  </r>
  <r>
    <n v="56"/>
    <s v="No"/>
    <s v="Travel_Rarely"/>
    <n v="718"/>
    <s v="Research &amp; Development"/>
    <n v="4"/>
    <n v="4"/>
    <s v="Technical Degree"/>
    <n v="1"/>
    <n v="1191"/>
    <n v="4"/>
    <s v="Female"/>
    <n v="92"/>
    <n v="3"/>
    <n v="5"/>
    <x v="5"/>
    <n v="1"/>
    <s v="Divorced"/>
    <n v="19943"/>
    <n v="18575"/>
    <n v="4"/>
    <s v="Y"/>
    <s v="No"/>
    <n v="13"/>
    <n v="3"/>
    <n v="4"/>
    <n v="80"/>
    <n v="1"/>
    <n v="28"/>
    <n v="2"/>
    <n v="3"/>
    <n v="5"/>
    <n v="2"/>
    <x v="5"/>
    <n v="2"/>
    <s v="OK"/>
    <s v="OK"/>
    <s v="OK"/>
    <s v="OK"/>
    <n v="0.8"/>
    <n v="0.4"/>
    <n v="0.4"/>
    <n v="0.4"/>
  </r>
  <r>
    <n v="29"/>
    <s v="No"/>
    <s v="Travel_Rarely"/>
    <n v="1401"/>
    <s v="Research &amp; Development"/>
    <n v="6"/>
    <n v="1"/>
    <s v="Medical"/>
    <n v="1"/>
    <n v="1192"/>
    <n v="2"/>
    <s v="Female"/>
    <n v="54"/>
    <n v="3"/>
    <n v="1"/>
    <x v="2"/>
    <n v="4"/>
    <s v="Married"/>
    <n v="3131"/>
    <n v="26342"/>
    <n v="1"/>
    <s v="Y"/>
    <s v="No"/>
    <n v="13"/>
    <n v="3"/>
    <n v="1"/>
    <n v="80"/>
    <n v="1"/>
    <n v="10"/>
    <n v="5"/>
    <n v="3"/>
    <n v="10"/>
    <n v="8"/>
    <x v="0"/>
    <n v="8"/>
    <s v="OK"/>
    <s v="OK"/>
    <s v="OK"/>
    <s v="OK"/>
    <n v="0"/>
    <n v="0.8"/>
    <n v="0.5"/>
    <n v="0.8"/>
  </r>
  <r>
    <n v="19"/>
    <s v="No"/>
    <s v="Travel_Rarely"/>
    <n v="645"/>
    <s v="Research &amp; Development"/>
    <n v="9"/>
    <n v="2"/>
    <s v="Life Sciences"/>
    <n v="1"/>
    <n v="1193"/>
    <n v="3"/>
    <s v="Male"/>
    <n v="54"/>
    <n v="3"/>
    <n v="1"/>
    <x v="1"/>
    <n v="1"/>
    <s v="Single"/>
    <n v="2552"/>
    <n v="7172"/>
    <n v="1"/>
    <s v="Y"/>
    <s v="No"/>
    <n v="25"/>
    <n v="4"/>
    <n v="3"/>
    <n v="80"/>
    <n v="0"/>
    <n v="1"/>
    <n v="4"/>
    <n v="3"/>
    <n v="1"/>
    <n v="1"/>
    <x v="0"/>
    <n v="0"/>
    <s v="OK"/>
    <s v="OK"/>
    <s v="OK"/>
    <s v="OK"/>
    <n v="0"/>
    <n v="1"/>
    <n v="4"/>
    <n v="0"/>
  </r>
  <r>
    <n v="45"/>
    <s v="No"/>
    <s v="Travel_Rarely"/>
    <n v="1457"/>
    <s v="Research &amp; Development"/>
    <n v="7"/>
    <n v="3"/>
    <s v="Medical"/>
    <n v="1"/>
    <n v="1195"/>
    <n v="1"/>
    <s v="Female"/>
    <n v="83"/>
    <n v="3"/>
    <n v="1"/>
    <x v="1"/>
    <n v="3"/>
    <s v="Married"/>
    <n v="4477"/>
    <n v="20100"/>
    <n v="4"/>
    <s v="Y"/>
    <s v="Yes"/>
    <n v="19"/>
    <n v="3"/>
    <n v="3"/>
    <n v="80"/>
    <n v="1"/>
    <n v="7"/>
    <n v="2"/>
    <n v="2"/>
    <n v="3"/>
    <n v="2"/>
    <x v="0"/>
    <n v="2"/>
    <s v="OK"/>
    <s v="OK"/>
    <s v="OK"/>
    <s v="OK"/>
    <n v="0"/>
    <n v="0.66666666666666663"/>
    <n v="0.66666666666666663"/>
    <n v="0.66666666666666663"/>
  </r>
  <r>
    <n v="37"/>
    <s v="No"/>
    <s v="Travel_Rarely"/>
    <n v="977"/>
    <s v="Research &amp; Development"/>
    <n v="1"/>
    <n v="3"/>
    <s v="Life Sciences"/>
    <n v="1"/>
    <n v="1196"/>
    <n v="4"/>
    <s v="Female"/>
    <n v="56"/>
    <n v="2"/>
    <n v="2"/>
    <x v="3"/>
    <n v="4"/>
    <s v="Married"/>
    <n v="6474"/>
    <n v="9961"/>
    <n v="1"/>
    <s v="Y"/>
    <s v="No"/>
    <n v="13"/>
    <n v="3"/>
    <n v="2"/>
    <n v="80"/>
    <n v="1"/>
    <n v="14"/>
    <n v="2"/>
    <n v="2"/>
    <n v="14"/>
    <n v="8"/>
    <x v="2"/>
    <n v="11"/>
    <s v="OK"/>
    <s v="OK"/>
    <s v="OK"/>
    <s v="OK"/>
    <n v="0.21428571428571427"/>
    <n v="0.5714285714285714"/>
    <n v="0.14285714285714285"/>
    <n v="0.7857142857142857"/>
  </r>
  <r>
    <n v="20"/>
    <s v="No"/>
    <s v="Travel_Rarely"/>
    <n v="805"/>
    <s v="Research &amp; Development"/>
    <n v="3"/>
    <n v="3"/>
    <s v="Life Sciences"/>
    <n v="1"/>
    <n v="1198"/>
    <n v="1"/>
    <s v="Male"/>
    <n v="87"/>
    <n v="2"/>
    <n v="1"/>
    <x v="2"/>
    <n v="3"/>
    <s v="Single"/>
    <n v="3033"/>
    <n v="12828"/>
    <n v="1"/>
    <s v="Y"/>
    <s v="No"/>
    <n v="12"/>
    <n v="3"/>
    <n v="1"/>
    <n v="80"/>
    <n v="0"/>
    <n v="2"/>
    <n v="2"/>
    <n v="2"/>
    <n v="2"/>
    <n v="2"/>
    <x v="1"/>
    <n v="2"/>
    <s v="OK"/>
    <s v="OK"/>
    <s v="OK"/>
    <s v="OK"/>
    <n v="0.5"/>
    <n v="1"/>
    <n v="1"/>
    <n v="1"/>
  </r>
  <r>
    <n v="44"/>
    <s v="Yes"/>
    <s v="Travel_Rarely"/>
    <n v="1097"/>
    <s v="Research &amp; Development"/>
    <n v="10"/>
    <n v="4"/>
    <s v="Life Sciences"/>
    <n v="1"/>
    <n v="1200"/>
    <n v="3"/>
    <s v="Male"/>
    <n v="96"/>
    <n v="3"/>
    <n v="1"/>
    <x v="1"/>
    <n v="3"/>
    <s v="Single"/>
    <n v="2936"/>
    <n v="10826"/>
    <n v="1"/>
    <s v="Y"/>
    <s v="Yes"/>
    <n v="11"/>
    <n v="3"/>
    <n v="3"/>
    <n v="80"/>
    <n v="0"/>
    <n v="6"/>
    <n v="4"/>
    <n v="3"/>
    <n v="6"/>
    <n v="4"/>
    <x v="0"/>
    <n v="2"/>
    <s v="OK"/>
    <s v="OK"/>
    <s v="OK"/>
    <s v="OK"/>
    <n v="0"/>
    <n v="0.66666666666666663"/>
    <n v="0.66666666666666663"/>
    <n v="0.33333333333333331"/>
  </r>
  <r>
    <n v="53"/>
    <s v="No"/>
    <s v="Travel_Rarely"/>
    <n v="1223"/>
    <s v="Research &amp; Development"/>
    <n v="7"/>
    <n v="2"/>
    <s v="Medical"/>
    <n v="1"/>
    <n v="1201"/>
    <n v="4"/>
    <s v="Female"/>
    <n v="50"/>
    <n v="3"/>
    <n v="5"/>
    <x v="5"/>
    <n v="3"/>
    <s v="Divorced"/>
    <n v="18606"/>
    <n v="18640"/>
    <n v="3"/>
    <s v="Y"/>
    <s v="No"/>
    <n v="18"/>
    <n v="3"/>
    <n v="2"/>
    <n v="80"/>
    <n v="1"/>
    <n v="26"/>
    <n v="6"/>
    <n v="3"/>
    <n v="7"/>
    <n v="7"/>
    <x v="5"/>
    <n v="7"/>
    <s v="OK"/>
    <s v="OK"/>
    <s v="OK"/>
    <s v="OK"/>
    <n v="0.5714285714285714"/>
    <n v="1"/>
    <n v="0.8571428571428571"/>
    <n v="1"/>
  </r>
  <r>
    <n v="29"/>
    <s v="No"/>
    <s v="Travel_Rarely"/>
    <n v="942"/>
    <s v="Research &amp; Development"/>
    <n v="15"/>
    <n v="1"/>
    <s v="Life Sciences"/>
    <n v="1"/>
    <n v="1202"/>
    <n v="2"/>
    <s v="Female"/>
    <n v="69"/>
    <n v="1"/>
    <n v="1"/>
    <x v="1"/>
    <n v="4"/>
    <s v="Married"/>
    <n v="2168"/>
    <n v="26933"/>
    <n v="0"/>
    <s v="Y"/>
    <s v="Yes"/>
    <n v="18"/>
    <n v="3"/>
    <n v="1"/>
    <n v="80"/>
    <n v="1"/>
    <n v="6"/>
    <n v="2"/>
    <n v="2"/>
    <n v="5"/>
    <n v="4"/>
    <x v="1"/>
    <n v="3"/>
    <s v="OK"/>
    <s v="OK"/>
    <s v="OK"/>
    <s v="OK"/>
    <n v="0.2"/>
    <n v="0.8"/>
    <n v="0.4"/>
    <n v="0.6"/>
  </r>
  <r>
    <n v="22"/>
    <s v="Yes"/>
    <s v="Travel_Frequently"/>
    <n v="1256"/>
    <s v="Research &amp; Development"/>
    <n v="3"/>
    <n v="4"/>
    <s v="Life Sciences"/>
    <n v="1"/>
    <n v="1203"/>
    <n v="3"/>
    <s v="Male"/>
    <n v="48"/>
    <n v="2"/>
    <n v="1"/>
    <x v="1"/>
    <n v="4"/>
    <s v="Married"/>
    <n v="2853"/>
    <n v="4223"/>
    <n v="0"/>
    <s v="Y"/>
    <s v="Yes"/>
    <n v="11"/>
    <n v="3"/>
    <n v="2"/>
    <n v="80"/>
    <n v="1"/>
    <n v="1"/>
    <n v="5"/>
    <n v="3"/>
    <n v="0"/>
    <n v="0"/>
    <x v="0"/>
    <n v="0"/>
    <s v="OK"/>
    <s v="OK"/>
    <s v="OK"/>
    <s v="OK"/>
    <n v="0"/>
    <n v="0"/>
    <n v="0"/>
    <n v="0"/>
  </r>
  <r>
    <n v="46"/>
    <s v="No"/>
    <s v="Travel_Rarely"/>
    <n v="1402"/>
    <s v="Sales"/>
    <n v="2"/>
    <n v="3"/>
    <s v="Marketing"/>
    <n v="1"/>
    <n v="1204"/>
    <n v="3"/>
    <s v="Female"/>
    <n v="69"/>
    <n v="3"/>
    <n v="4"/>
    <x v="5"/>
    <n v="1"/>
    <s v="Married"/>
    <n v="17048"/>
    <n v="24097"/>
    <n v="8"/>
    <s v="Y"/>
    <s v="No"/>
    <n v="23"/>
    <n v="4"/>
    <n v="1"/>
    <n v="80"/>
    <n v="0"/>
    <n v="28"/>
    <n v="2"/>
    <n v="3"/>
    <n v="26"/>
    <n v="15"/>
    <x v="9"/>
    <n v="9"/>
    <s v="OK"/>
    <s v="OK"/>
    <s v="OK"/>
    <s v="OK"/>
    <n v="0.57692307692307687"/>
    <n v="0.57692307692307687"/>
    <n v="7.6923076923076927E-2"/>
    <n v="0.34615384615384615"/>
  </r>
  <r>
    <n v="44"/>
    <s v="No"/>
    <s v="Non-Travel"/>
    <n v="111"/>
    <s v="Research &amp; Development"/>
    <n v="17"/>
    <n v="3"/>
    <s v="Life Sciences"/>
    <n v="1"/>
    <n v="1206"/>
    <n v="4"/>
    <s v="Male"/>
    <n v="74"/>
    <n v="1"/>
    <n v="1"/>
    <x v="1"/>
    <n v="3"/>
    <s v="Single"/>
    <n v="2290"/>
    <n v="4279"/>
    <n v="2"/>
    <s v="Y"/>
    <s v="No"/>
    <n v="13"/>
    <n v="3"/>
    <n v="4"/>
    <n v="80"/>
    <n v="0"/>
    <n v="6"/>
    <n v="3"/>
    <n v="3"/>
    <n v="0"/>
    <n v="0"/>
    <x v="0"/>
    <n v="0"/>
    <s v="OK"/>
    <s v="OK"/>
    <s v="OK"/>
    <s v="OK"/>
    <n v="0"/>
    <n v="0"/>
    <n v="0"/>
    <n v="0"/>
  </r>
  <r>
    <n v="33"/>
    <s v="No"/>
    <s v="Travel_Rarely"/>
    <n v="147"/>
    <s v="Human Resources"/>
    <n v="2"/>
    <n v="3"/>
    <s v="Human Resources"/>
    <n v="1"/>
    <n v="1207"/>
    <n v="2"/>
    <s v="Male"/>
    <n v="99"/>
    <n v="3"/>
    <n v="1"/>
    <x v="8"/>
    <n v="3"/>
    <s v="Married"/>
    <n v="3600"/>
    <n v="8429"/>
    <n v="1"/>
    <s v="Y"/>
    <s v="No"/>
    <n v="13"/>
    <n v="3"/>
    <n v="4"/>
    <n v="80"/>
    <n v="1"/>
    <n v="5"/>
    <n v="2"/>
    <n v="3"/>
    <n v="5"/>
    <n v="4"/>
    <x v="1"/>
    <n v="4"/>
    <s v="OK"/>
    <s v="OK"/>
    <s v="OK"/>
    <s v="OK"/>
    <n v="0.2"/>
    <n v="0.8"/>
    <n v="0.4"/>
    <n v="0.8"/>
  </r>
  <r>
    <n v="41"/>
    <s v="Yes"/>
    <s v="Non-Travel"/>
    <n v="906"/>
    <s v="Research &amp; Development"/>
    <n v="5"/>
    <n v="2"/>
    <s v="Life Sciences"/>
    <n v="1"/>
    <n v="1210"/>
    <n v="1"/>
    <s v="Male"/>
    <n v="95"/>
    <n v="2"/>
    <n v="1"/>
    <x v="1"/>
    <n v="1"/>
    <s v="Divorced"/>
    <n v="2107"/>
    <n v="20293"/>
    <n v="6"/>
    <s v="Y"/>
    <s v="No"/>
    <n v="17"/>
    <n v="3"/>
    <n v="1"/>
    <n v="80"/>
    <n v="1"/>
    <n v="5"/>
    <n v="2"/>
    <n v="1"/>
    <n v="1"/>
    <n v="0"/>
    <x v="0"/>
    <n v="0"/>
    <s v="OK"/>
    <s v="OK"/>
    <s v="OK"/>
    <s v="OK"/>
    <n v="0"/>
    <n v="0"/>
    <n v="2"/>
    <n v="0"/>
  </r>
  <r>
    <n v="30"/>
    <s v="No"/>
    <s v="Travel_Rarely"/>
    <n v="1329"/>
    <s v="Sales"/>
    <n v="29"/>
    <n v="4"/>
    <s v="Life Sciences"/>
    <n v="1"/>
    <n v="1211"/>
    <n v="3"/>
    <s v="Male"/>
    <n v="61"/>
    <n v="3"/>
    <n v="2"/>
    <x v="0"/>
    <n v="1"/>
    <s v="Divorced"/>
    <n v="4115"/>
    <n v="13192"/>
    <n v="8"/>
    <s v="Y"/>
    <s v="No"/>
    <n v="19"/>
    <n v="3"/>
    <n v="3"/>
    <n v="80"/>
    <n v="3"/>
    <n v="8"/>
    <n v="3"/>
    <n v="3"/>
    <n v="4"/>
    <n v="3"/>
    <x v="0"/>
    <n v="3"/>
    <s v="OK"/>
    <s v="OK"/>
    <s v="OK"/>
    <s v="OK"/>
    <n v="0"/>
    <n v="0.75"/>
    <n v="0.75"/>
    <n v="0.75"/>
  </r>
  <r>
    <n v="40"/>
    <s v="No"/>
    <s v="Travel_Frequently"/>
    <n v="1184"/>
    <s v="Sales"/>
    <n v="2"/>
    <n v="4"/>
    <s v="Medical"/>
    <n v="1"/>
    <n v="1212"/>
    <n v="2"/>
    <s v="Male"/>
    <n v="62"/>
    <n v="3"/>
    <n v="2"/>
    <x v="0"/>
    <n v="2"/>
    <s v="Married"/>
    <n v="4327"/>
    <n v="25440"/>
    <n v="5"/>
    <s v="Y"/>
    <s v="No"/>
    <n v="12"/>
    <n v="3"/>
    <n v="4"/>
    <n v="80"/>
    <n v="3"/>
    <n v="5"/>
    <n v="2"/>
    <n v="3"/>
    <n v="0"/>
    <n v="0"/>
    <x v="0"/>
    <n v="0"/>
    <s v="OK"/>
    <s v="OK"/>
    <s v="OK"/>
    <s v="OK"/>
    <n v="0"/>
    <n v="0"/>
    <n v="0"/>
    <n v="0"/>
  </r>
  <r>
    <n v="50"/>
    <s v="No"/>
    <s v="Travel_Frequently"/>
    <n v="1421"/>
    <s v="Research &amp; Development"/>
    <n v="2"/>
    <n v="3"/>
    <s v="Medical"/>
    <n v="1"/>
    <n v="1215"/>
    <n v="4"/>
    <s v="Female"/>
    <n v="30"/>
    <n v="3"/>
    <n v="4"/>
    <x v="5"/>
    <n v="1"/>
    <s v="Married"/>
    <n v="17856"/>
    <n v="9490"/>
    <n v="2"/>
    <s v="Y"/>
    <s v="No"/>
    <n v="22"/>
    <n v="4"/>
    <n v="3"/>
    <n v="80"/>
    <n v="1"/>
    <n v="32"/>
    <n v="3"/>
    <n v="3"/>
    <n v="2"/>
    <n v="2"/>
    <x v="3"/>
    <n v="2"/>
    <s v="OK"/>
    <s v="OK"/>
    <s v="OK"/>
    <s v="OK"/>
    <n v="1"/>
    <n v="1"/>
    <n v="1.5"/>
    <n v="1"/>
  </r>
  <r>
    <n v="28"/>
    <s v="No"/>
    <s v="Travel_Rarely"/>
    <n v="1179"/>
    <s v="Research &amp; Development"/>
    <n v="19"/>
    <n v="4"/>
    <s v="Medical"/>
    <n v="1"/>
    <n v="1216"/>
    <n v="4"/>
    <s v="Male"/>
    <n v="78"/>
    <n v="2"/>
    <n v="1"/>
    <x v="2"/>
    <n v="1"/>
    <s v="Married"/>
    <n v="3196"/>
    <n v="12449"/>
    <n v="1"/>
    <s v="Y"/>
    <s v="No"/>
    <n v="12"/>
    <n v="3"/>
    <n v="3"/>
    <n v="80"/>
    <n v="3"/>
    <n v="6"/>
    <n v="2"/>
    <n v="3"/>
    <n v="6"/>
    <n v="5"/>
    <x v="2"/>
    <n v="3"/>
    <s v="OK"/>
    <s v="OK"/>
    <s v="OK"/>
    <s v="OK"/>
    <n v="0.5"/>
    <n v="0.83333333333333337"/>
    <n v="0.33333333333333331"/>
    <n v="0.5"/>
  </r>
  <r>
    <n v="46"/>
    <s v="No"/>
    <s v="Travel_Rarely"/>
    <n v="1450"/>
    <s v="Research &amp; Development"/>
    <n v="15"/>
    <n v="2"/>
    <s v="Life Sciences"/>
    <n v="1"/>
    <n v="1217"/>
    <n v="4"/>
    <s v="Male"/>
    <n v="52"/>
    <n v="3"/>
    <n v="5"/>
    <x v="7"/>
    <n v="2"/>
    <s v="Married"/>
    <n v="19081"/>
    <n v="10849"/>
    <n v="5"/>
    <s v="Y"/>
    <s v="No"/>
    <n v="11"/>
    <n v="3"/>
    <n v="1"/>
    <n v="80"/>
    <n v="1"/>
    <n v="25"/>
    <n v="2"/>
    <n v="3"/>
    <n v="4"/>
    <n v="2"/>
    <x v="0"/>
    <n v="3"/>
    <s v="OK"/>
    <s v="OK"/>
    <s v="OK"/>
    <s v="OK"/>
    <n v="0"/>
    <n v="0.5"/>
    <n v="0.5"/>
    <n v="0.75"/>
  </r>
  <r>
    <n v="35"/>
    <s v="No"/>
    <s v="Travel_Rarely"/>
    <n v="1361"/>
    <s v="Sales"/>
    <n v="17"/>
    <n v="4"/>
    <s v="Life Sciences"/>
    <n v="1"/>
    <n v="1218"/>
    <n v="3"/>
    <s v="Male"/>
    <n v="94"/>
    <n v="3"/>
    <n v="2"/>
    <x v="0"/>
    <n v="1"/>
    <s v="Married"/>
    <n v="8966"/>
    <n v="21026"/>
    <n v="3"/>
    <s v="Y"/>
    <s v="Yes"/>
    <n v="15"/>
    <n v="3"/>
    <n v="4"/>
    <n v="80"/>
    <n v="3"/>
    <n v="15"/>
    <n v="2"/>
    <n v="3"/>
    <n v="7"/>
    <n v="7"/>
    <x v="1"/>
    <n v="7"/>
    <s v="OK"/>
    <s v="OK"/>
    <s v="OK"/>
    <s v="OK"/>
    <n v="0.14285714285714285"/>
    <n v="1"/>
    <n v="0.2857142857142857"/>
    <n v="1"/>
  </r>
  <r>
    <n v="24"/>
    <s v="Yes"/>
    <s v="Travel_Rarely"/>
    <n v="984"/>
    <s v="Research &amp; Development"/>
    <n v="17"/>
    <n v="2"/>
    <s v="Life Sciences"/>
    <n v="1"/>
    <n v="1219"/>
    <n v="4"/>
    <s v="Female"/>
    <n v="97"/>
    <n v="3"/>
    <n v="1"/>
    <x v="2"/>
    <n v="2"/>
    <s v="Married"/>
    <n v="2210"/>
    <n v="3372"/>
    <n v="1"/>
    <s v="Y"/>
    <s v="No"/>
    <n v="13"/>
    <n v="3"/>
    <n v="1"/>
    <n v="80"/>
    <n v="1"/>
    <n v="1"/>
    <n v="3"/>
    <n v="1"/>
    <n v="1"/>
    <n v="0"/>
    <x v="0"/>
    <n v="0"/>
    <s v="OK"/>
    <s v="OK"/>
    <s v="OK"/>
    <s v="OK"/>
    <n v="0"/>
    <n v="0"/>
    <n v="3"/>
    <n v="0"/>
  </r>
  <r>
    <n v="33"/>
    <s v="No"/>
    <s v="Travel_Frequently"/>
    <n v="1146"/>
    <s v="Sales"/>
    <n v="25"/>
    <n v="3"/>
    <s v="Medical"/>
    <n v="1"/>
    <n v="1220"/>
    <n v="2"/>
    <s v="Female"/>
    <n v="82"/>
    <n v="3"/>
    <n v="2"/>
    <x v="0"/>
    <n v="3"/>
    <s v="Married"/>
    <n v="4539"/>
    <n v="4905"/>
    <n v="1"/>
    <s v="Y"/>
    <s v="No"/>
    <n v="12"/>
    <n v="3"/>
    <n v="1"/>
    <n v="80"/>
    <n v="1"/>
    <n v="10"/>
    <n v="3"/>
    <n v="2"/>
    <n v="10"/>
    <n v="7"/>
    <x v="0"/>
    <n v="1"/>
    <s v="OK"/>
    <s v="OK"/>
    <s v="OK"/>
    <s v="OK"/>
    <n v="0"/>
    <n v="0.7"/>
    <n v="0.3"/>
    <n v="0.1"/>
  </r>
  <r>
    <n v="36"/>
    <s v="No"/>
    <s v="Travel_Rarely"/>
    <n v="917"/>
    <s v="Research &amp; Development"/>
    <n v="6"/>
    <n v="4"/>
    <s v="Life Sciences"/>
    <n v="1"/>
    <n v="1221"/>
    <n v="3"/>
    <s v="Male"/>
    <n v="60"/>
    <n v="1"/>
    <n v="1"/>
    <x v="2"/>
    <n v="3"/>
    <s v="Divorced"/>
    <n v="2741"/>
    <n v="6865"/>
    <n v="1"/>
    <s v="Y"/>
    <s v="No"/>
    <n v="14"/>
    <n v="3"/>
    <n v="3"/>
    <n v="80"/>
    <n v="1"/>
    <n v="7"/>
    <n v="4"/>
    <n v="3"/>
    <n v="7"/>
    <n v="7"/>
    <x v="1"/>
    <n v="7"/>
    <s v="OK"/>
    <s v="OK"/>
    <s v="OK"/>
    <s v="OK"/>
    <n v="0.14285714285714285"/>
    <n v="1"/>
    <n v="0.5714285714285714"/>
    <n v="1"/>
  </r>
  <r>
    <n v="30"/>
    <s v="No"/>
    <s v="Travel_Rarely"/>
    <n v="853"/>
    <s v="Research &amp; Development"/>
    <n v="7"/>
    <n v="4"/>
    <s v="Life Sciences"/>
    <n v="1"/>
    <n v="1224"/>
    <n v="3"/>
    <s v="Male"/>
    <n v="49"/>
    <n v="3"/>
    <n v="2"/>
    <x v="2"/>
    <n v="3"/>
    <s v="Divorced"/>
    <n v="3491"/>
    <n v="11309"/>
    <n v="1"/>
    <s v="Y"/>
    <s v="No"/>
    <n v="13"/>
    <n v="3"/>
    <n v="1"/>
    <n v="80"/>
    <n v="3"/>
    <n v="10"/>
    <n v="4"/>
    <n v="2"/>
    <n v="10"/>
    <n v="7"/>
    <x v="6"/>
    <n v="9"/>
    <s v="OK"/>
    <s v="OK"/>
    <s v="OK"/>
    <s v="OK"/>
    <n v="0.8"/>
    <n v="0.7"/>
    <n v="0.4"/>
    <n v="0.9"/>
  </r>
  <r>
    <n v="44"/>
    <s v="No"/>
    <s v="Travel_Rarely"/>
    <n v="200"/>
    <s v="Research &amp; Development"/>
    <n v="29"/>
    <n v="4"/>
    <s v="Other"/>
    <n v="1"/>
    <n v="1225"/>
    <n v="4"/>
    <s v="Male"/>
    <n v="32"/>
    <n v="3"/>
    <n v="2"/>
    <x v="1"/>
    <n v="4"/>
    <s v="Single"/>
    <n v="4541"/>
    <n v="7744"/>
    <n v="1"/>
    <s v="Y"/>
    <s v="No"/>
    <n v="25"/>
    <n v="4"/>
    <n v="2"/>
    <n v="80"/>
    <n v="0"/>
    <n v="20"/>
    <n v="3"/>
    <n v="3"/>
    <n v="20"/>
    <n v="11"/>
    <x v="11"/>
    <n v="17"/>
    <s v="OK"/>
    <s v="OK"/>
    <s v="OK"/>
    <s v="OK"/>
    <n v="0.65"/>
    <n v="0.55000000000000004"/>
    <n v="0.15"/>
    <n v="0.85"/>
  </r>
  <r>
    <n v="20"/>
    <s v="No"/>
    <s v="Travel_Rarely"/>
    <n v="654"/>
    <s v="Sales"/>
    <n v="21"/>
    <n v="3"/>
    <s v="Marketing"/>
    <n v="1"/>
    <n v="1226"/>
    <n v="3"/>
    <s v="Male"/>
    <n v="43"/>
    <n v="4"/>
    <n v="1"/>
    <x v="6"/>
    <n v="4"/>
    <s v="Single"/>
    <n v="2678"/>
    <n v="5050"/>
    <n v="1"/>
    <s v="Y"/>
    <s v="No"/>
    <n v="17"/>
    <n v="3"/>
    <n v="4"/>
    <n v="80"/>
    <n v="0"/>
    <n v="2"/>
    <n v="2"/>
    <n v="3"/>
    <n v="2"/>
    <n v="1"/>
    <x v="3"/>
    <n v="2"/>
    <s v="OK"/>
    <s v="OK"/>
    <s v="OK"/>
    <s v="OK"/>
    <n v="1"/>
    <n v="0.5"/>
    <n v="1"/>
    <n v="1"/>
  </r>
  <r>
    <n v="46"/>
    <s v="No"/>
    <s v="Travel_Rarely"/>
    <n v="150"/>
    <s v="Research &amp; Development"/>
    <n v="2"/>
    <n v="4"/>
    <s v="Technical Degree"/>
    <n v="1"/>
    <n v="1228"/>
    <n v="4"/>
    <s v="Male"/>
    <n v="60"/>
    <n v="3"/>
    <n v="2"/>
    <x v="3"/>
    <n v="4"/>
    <s v="Divorced"/>
    <n v="7379"/>
    <n v="17433"/>
    <n v="2"/>
    <s v="Y"/>
    <s v="No"/>
    <n v="11"/>
    <n v="3"/>
    <n v="3"/>
    <n v="80"/>
    <n v="1"/>
    <n v="12"/>
    <n v="3"/>
    <n v="2"/>
    <n v="6"/>
    <n v="3"/>
    <x v="1"/>
    <n v="4"/>
    <s v="OK"/>
    <s v="OK"/>
    <s v="OK"/>
    <s v="OK"/>
    <n v="0.16666666666666666"/>
    <n v="0.5"/>
    <n v="0.5"/>
    <n v="0.66666666666666663"/>
  </r>
  <r>
    <n v="42"/>
    <s v="No"/>
    <s v="Non-Travel"/>
    <n v="179"/>
    <s v="Human Resources"/>
    <n v="2"/>
    <n v="5"/>
    <s v="Medical"/>
    <n v="1"/>
    <n v="1231"/>
    <n v="4"/>
    <s v="Male"/>
    <n v="79"/>
    <n v="4"/>
    <n v="2"/>
    <x v="8"/>
    <n v="1"/>
    <s v="Married"/>
    <n v="6272"/>
    <n v="12858"/>
    <n v="7"/>
    <s v="Y"/>
    <s v="No"/>
    <n v="16"/>
    <n v="3"/>
    <n v="1"/>
    <n v="80"/>
    <n v="1"/>
    <n v="10"/>
    <n v="3"/>
    <n v="4"/>
    <n v="4"/>
    <n v="3"/>
    <x v="0"/>
    <n v="3"/>
    <s v="OK"/>
    <s v="OK"/>
    <s v="OK"/>
    <s v="OK"/>
    <n v="0"/>
    <n v="0.75"/>
    <n v="0.75"/>
    <n v="0.75"/>
  </r>
  <r>
    <n v="60"/>
    <s v="No"/>
    <s v="Travel_Rarely"/>
    <n v="696"/>
    <s v="Sales"/>
    <n v="7"/>
    <n v="4"/>
    <s v="Marketing"/>
    <n v="1"/>
    <n v="1233"/>
    <n v="2"/>
    <s v="Male"/>
    <n v="52"/>
    <n v="4"/>
    <n v="2"/>
    <x v="0"/>
    <n v="4"/>
    <s v="Divorced"/>
    <n v="5220"/>
    <n v="10893"/>
    <n v="0"/>
    <s v="Y"/>
    <s v="Yes"/>
    <n v="18"/>
    <n v="3"/>
    <n v="2"/>
    <n v="80"/>
    <n v="1"/>
    <n v="12"/>
    <n v="3"/>
    <n v="3"/>
    <n v="11"/>
    <n v="7"/>
    <x v="1"/>
    <n v="9"/>
    <s v="OK"/>
    <s v="OK"/>
    <s v="OK"/>
    <s v="OK"/>
    <n v="9.0909090909090912E-2"/>
    <n v="0.63636363636363635"/>
    <n v="0.27272727272727271"/>
    <n v="0.81818181818181823"/>
  </r>
  <r>
    <n v="32"/>
    <s v="No"/>
    <s v="Travel_Frequently"/>
    <n v="116"/>
    <s v="Research &amp; Development"/>
    <n v="13"/>
    <n v="3"/>
    <s v="Other"/>
    <n v="1"/>
    <n v="1234"/>
    <n v="3"/>
    <s v="Female"/>
    <n v="77"/>
    <n v="2"/>
    <n v="1"/>
    <x v="2"/>
    <n v="2"/>
    <s v="Married"/>
    <n v="2743"/>
    <n v="7331"/>
    <n v="1"/>
    <s v="Y"/>
    <s v="No"/>
    <n v="20"/>
    <n v="4"/>
    <n v="3"/>
    <n v="80"/>
    <n v="1"/>
    <n v="2"/>
    <n v="2"/>
    <n v="3"/>
    <n v="2"/>
    <n v="2"/>
    <x v="3"/>
    <n v="2"/>
    <s v="OK"/>
    <s v="OK"/>
    <s v="OK"/>
    <s v="OK"/>
    <n v="1"/>
    <n v="1"/>
    <n v="1"/>
    <n v="1"/>
  </r>
  <r>
    <n v="32"/>
    <s v="No"/>
    <s v="Travel_Frequently"/>
    <n v="1316"/>
    <s v="Research &amp; Development"/>
    <n v="2"/>
    <n v="2"/>
    <s v="Life Sciences"/>
    <n v="1"/>
    <n v="1235"/>
    <n v="4"/>
    <s v="Female"/>
    <n v="38"/>
    <n v="3"/>
    <n v="2"/>
    <x v="1"/>
    <n v="3"/>
    <s v="Single"/>
    <n v="4998"/>
    <n v="2338"/>
    <n v="4"/>
    <s v="Y"/>
    <s v="Yes"/>
    <n v="14"/>
    <n v="3"/>
    <n v="4"/>
    <n v="80"/>
    <n v="0"/>
    <n v="10"/>
    <n v="2"/>
    <n v="3"/>
    <n v="8"/>
    <n v="7"/>
    <x v="0"/>
    <n v="7"/>
    <s v="OK"/>
    <s v="OK"/>
    <s v="OK"/>
    <s v="OK"/>
    <n v="0"/>
    <n v="0.875"/>
    <n v="0.25"/>
    <n v="0.875"/>
  </r>
  <r>
    <n v="36"/>
    <s v="No"/>
    <s v="Travel_Rarely"/>
    <n v="363"/>
    <s v="Research &amp; Development"/>
    <n v="1"/>
    <n v="3"/>
    <s v="Technical Degree"/>
    <n v="1"/>
    <n v="1237"/>
    <n v="3"/>
    <s v="Female"/>
    <n v="77"/>
    <n v="1"/>
    <n v="3"/>
    <x v="3"/>
    <n v="1"/>
    <s v="Divorced"/>
    <n v="10252"/>
    <n v="4235"/>
    <n v="2"/>
    <s v="Y"/>
    <s v="Yes"/>
    <n v="21"/>
    <n v="4"/>
    <n v="3"/>
    <n v="80"/>
    <n v="1"/>
    <n v="17"/>
    <n v="2"/>
    <n v="3"/>
    <n v="7"/>
    <n v="7"/>
    <x v="4"/>
    <n v="7"/>
    <s v="OK"/>
    <s v="OK"/>
    <s v="OK"/>
    <s v="OK"/>
    <n v="1"/>
    <n v="1"/>
    <n v="0.2857142857142857"/>
    <n v="1"/>
  </r>
  <r>
    <n v="33"/>
    <s v="No"/>
    <s v="Travel_Rarely"/>
    <n v="117"/>
    <s v="Research &amp; Development"/>
    <n v="9"/>
    <n v="3"/>
    <s v="Medical"/>
    <n v="1"/>
    <n v="1238"/>
    <n v="1"/>
    <s v="Male"/>
    <n v="60"/>
    <n v="3"/>
    <n v="1"/>
    <x v="1"/>
    <n v="4"/>
    <s v="Married"/>
    <n v="2781"/>
    <n v="6311"/>
    <n v="0"/>
    <s v="Y"/>
    <s v="No"/>
    <n v="13"/>
    <n v="3"/>
    <n v="2"/>
    <n v="80"/>
    <n v="1"/>
    <n v="15"/>
    <n v="5"/>
    <n v="3"/>
    <n v="14"/>
    <n v="10"/>
    <x v="5"/>
    <n v="10"/>
    <s v="OK"/>
    <s v="OK"/>
    <s v="OK"/>
    <s v="OK"/>
    <n v="0.2857142857142857"/>
    <n v="0.7142857142857143"/>
    <n v="0.35714285714285715"/>
    <n v="0.7142857142857143"/>
  </r>
  <r>
    <n v="40"/>
    <s v="No"/>
    <s v="Travel_Rarely"/>
    <n v="107"/>
    <s v="Sales"/>
    <n v="10"/>
    <n v="3"/>
    <s v="Technical Degree"/>
    <n v="1"/>
    <n v="1239"/>
    <n v="2"/>
    <s v="Female"/>
    <n v="84"/>
    <n v="2"/>
    <n v="2"/>
    <x v="0"/>
    <n v="2"/>
    <s v="Divorced"/>
    <n v="6852"/>
    <n v="11591"/>
    <n v="7"/>
    <s v="Y"/>
    <s v="No"/>
    <n v="12"/>
    <n v="3"/>
    <n v="2"/>
    <n v="80"/>
    <n v="1"/>
    <n v="7"/>
    <n v="2"/>
    <n v="4"/>
    <n v="5"/>
    <n v="1"/>
    <x v="1"/>
    <n v="3"/>
    <s v="OK"/>
    <s v="OK"/>
    <s v="OK"/>
    <s v="OK"/>
    <n v="0.2"/>
    <n v="0.2"/>
    <n v="0.4"/>
    <n v="0.6"/>
  </r>
  <r>
    <n v="25"/>
    <s v="No"/>
    <s v="Travel_Rarely"/>
    <n v="1356"/>
    <s v="Sales"/>
    <n v="10"/>
    <n v="4"/>
    <s v="Life Sciences"/>
    <n v="1"/>
    <n v="1240"/>
    <n v="3"/>
    <s v="Male"/>
    <n v="57"/>
    <n v="3"/>
    <n v="2"/>
    <x v="0"/>
    <n v="4"/>
    <s v="Single"/>
    <n v="4950"/>
    <n v="20623"/>
    <n v="0"/>
    <s v="Y"/>
    <s v="No"/>
    <n v="14"/>
    <n v="3"/>
    <n v="2"/>
    <n v="80"/>
    <n v="0"/>
    <n v="5"/>
    <n v="4"/>
    <n v="3"/>
    <n v="4"/>
    <n v="3"/>
    <x v="1"/>
    <n v="1"/>
    <s v="OK"/>
    <s v="OK"/>
    <s v="OK"/>
    <s v="OK"/>
    <n v="0.25"/>
    <n v="0.75"/>
    <n v="1"/>
    <n v="0.25"/>
  </r>
  <r>
    <n v="30"/>
    <s v="No"/>
    <s v="Travel_Rarely"/>
    <n v="1465"/>
    <s v="Research &amp; Development"/>
    <n v="1"/>
    <n v="3"/>
    <s v="Medical"/>
    <n v="1"/>
    <n v="1241"/>
    <n v="4"/>
    <s v="Male"/>
    <n v="63"/>
    <n v="3"/>
    <n v="1"/>
    <x v="1"/>
    <n v="2"/>
    <s v="Married"/>
    <n v="3579"/>
    <n v="9369"/>
    <n v="0"/>
    <s v="Y"/>
    <s v="Yes"/>
    <n v="21"/>
    <n v="4"/>
    <n v="1"/>
    <n v="80"/>
    <n v="1"/>
    <n v="12"/>
    <n v="2"/>
    <n v="3"/>
    <n v="11"/>
    <n v="9"/>
    <x v="8"/>
    <n v="7"/>
    <s v="OK"/>
    <s v="OK"/>
    <s v="OK"/>
    <s v="OK"/>
    <n v="0.45454545454545453"/>
    <n v="0.81818181818181823"/>
    <n v="0.18181818181818182"/>
    <n v="0.63636363636363635"/>
  </r>
  <r>
    <n v="42"/>
    <s v="No"/>
    <s v="Travel_Frequently"/>
    <n v="458"/>
    <s v="Research &amp; Development"/>
    <n v="26"/>
    <n v="5"/>
    <s v="Medical"/>
    <n v="1"/>
    <n v="1242"/>
    <n v="1"/>
    <s v="Female"/>
    <n v="60"/>
    <n v="3"/>
    <n v="3"/>
    <x v="7"/>
    <n v="1"/>
    <s v="Married"/>
    <n v="13191"/>
    <n v="23281"/>
    <n v="3"/>
    <s v="Y"/>
    <s v="Yes"/>
    <n v="17"/>
    <n v="3"/>
    <n v="3"/>
    <n v="80"/>
    <n v="0"/>
    <n v="20"/>
    <n v="6"/>
    <n v="3"/>
    <n v="1"/>
    <n v="0"/>
    <x v="0"/>
    <n v="0"/>
    <s v="OK"/>
    <s v="OK"/>
    <s v="OK"/>
    <s v="OK"/>
    <n v="0"/>
    <n v="0"/>
    <n v="6"/>
    <n v="0"/>
  </r>
  <r>
    <n v="35"/>
    <s v="No"/>
    <s v="Non-Travel"/>
    <n v="1212"/>
    <s v="Sales"/>
    <n v="8"/>
    <n v="2"/>
    <s v="Marketing"/>
    <n v="1"/>
    <n v="1243"/>
    <n v="3"/>
    <s v="Female"/>
    <n v="78"/>
    <n v="2"/>
    <n v="3"/>
    <x v="0"/>
    <n v="4"/>
    <s v="Married"/>
    <n v="10377"/>
    <n v="13755"/>
    <n v="4"/>
    <s v="Y"/>
    <s v="Yes"/>
    <n v="11"/>
    <n v="3"/>
    <n v="2"/>
    <n v="80"/>
    <n v="1"/>
    <n v="16"/>
    <n v="6"/>
    <n v="2"/>
    <n v="13"/>
    <n v="2"/>
    <x v="5"/>
    <n v="12"/>
    <s v="OK"/>
    <s v="OK"/>
    <s v="OK"/>
    <s v="OK"/>
    <n v="0.30769230769230771"/>
    <n v="0.15384615384615385"/>
    <n v="0.46153846153846156"/>
    <n v="0.92307692307692313"/>
  </r>
  <r>
    <n v="27"/>
    <s v="No"/>
    <s v="Travel_Rarely"/>
    <n v="1103"/>
    <s v="Research &amp; Development"/>
    <n v="14"/>
    <n v="3"/>
    <s v="Life Sciences"/>
    <n v="1"/>
    <n v="1244"/>
    <n v="1"/>
    <s v="Male"/>
    <n v="42"/>
    <n v="3"/>
    <n v="1"/>
    <x v="1"/>
    <n v="1"/>
    <s v="Married"/>
    <n v="2235"/>
    <n v="14377"/>
    <n v="1"/>
    <s v="Y"/>
    <s v="Yes"/>
    <n v="14"/>
    <n v="3"/>
    <n v="4"/>
    <n v="80"/>
    <n v="2"/>
    <n v="9"/>
    <n v="3"/>
    <n v="2"/>
    <n v="9"/>
    <n v="7"/>
    <x v="7"/>
    <n v="8"/>
    <s v="OK"/>
    <s v="OK"/>
    <s v="OK"/>
    <s v="OK"/>
    <n v="0.66666666666666663"/>
    <n v="0.77777777777777779"/>
    <n v="0.33333333333333331"/>
    <n v="0.88888888888888884"/>
  </r>
  <r>
    <n v="54"/>
    <s v="No"/>
    <s v="Travel_Frequently"/>
    <n v="966"/>
    <s v="Research &amp; Development"/>
    <n v="1"/>
    <n v="4"/>
    <s v="Life Sciences"/>
    <n v="1"/>
    <n v="1245"/>
    <n v="4"/>
    <s v="Female"/>
    <n v="53"/>
    <n v="3"/>
    <n v="3"/>
    <x v="3"/>
    <n v="3"/>
    <s v="Divorced"/>
    <n v="10502"/>
    <n v="9659"/>
    <n v="7"/>
    <s v="Y"/>
    <s v="No"/>
    <n v="17"/>
    <n v="3"/>
    <n v="1"/>
    <n v="80"/>
    <n v="1"/>
    <n v="33"/>
    <n v="2"/>
    <n v="1"/>
    <n v="5"/>
    <n v="4"/>
    <x v="1"/>
    <n v="4"/>
    <s v="OK"/>
    <s v="OK"/>
    <s v="OK"/>
    <s v="OK"/>
    <n v="0.2"/>
    <n v="0.8"/>
    <n v="0.4"/>
    <n v="0.8"/>
  </r>
  <r>
    <n v="44"/>
    <s v="No"/>
    <s v="Travel_Rarely"/>
    <n v="1117"/>
    <s v="Research &amp; Development"/>
    <n v="2"/>
    <n v="1"/>
    <s v="Life Sciences"/>
    <n v="1"/>
    <n v="1246"/>
    <n v="1"/>
    <s v="Female"/>
    <n v="72"/>
    <n v="4"/>
    <n v="1"/>
    <x v="1"/>
    <n v="4"/>
    <s v="Married"/>
    <n v="2011"/>
    <n v="19982"/>
    <n v="1"/>
    <s v="Y"/>
    <s v="No"/>
    <n v="13"/>
    <n v="3"/>
    <n v="4"/>
    <n v="80"/>
    <n v="1"/>
    <n v="10"/>
    <n v="5"/>
    <n v="3"/>
    <n v="10"/>
    <n v="5"/>
    <x v="4"/>
    <n v="7"/>
    <s v="OK"/>
    <s v="OK"/>
    <s v="OK"/>
    <s v="OK"/>
    <n v="0.7"/>
    <n v="0.5"/>
    <n v="0.5"/>
    <n v="0.7"/>
  </r>
  <r>
    <n v="19"/>
    <s v="Yes"/>
    <s v="Non-Travel"/>
    <n v="504"/>
    <s v="Research &amp; Development"/>
    <n v="10"/>
    <n v="3"/>
    <s v="Medical"/>
    <n v="1"/>
    <n v="1248"/>
    <n v="1"/>
    <s v="Female"/>
    <n v="96"/>
    <n v="2"/>
    <n v="1"/>
    <x v="1"/>
    <n v="2"/>
    <s v="Single"/>
    <n v="1859"/>
    <n v="6148"/>
    <n v="1"/>
    <s v="Y"/>
    <s v="Yes"/>
    <n v="25"/>
    <n v="4"/>
    <n v="2"/>
    <n v="80"/>
    <n v="0"/>
    <n v="1"/>
    <n v="2"/>
    <n v="4"/>
    <n v="1"/>
    <n v="1"/>
    <x v="0"/>
    <n v="0"/>
    <s v="OK"/>
    <s v="OK"/>
    <s v="OK"/>
    <s v="OK"/>
    <n v="0"/>
    <n v="1"/>
    <n v="2"/>
    <n v="0"/>
  </r>
  <r>
    <n v="29"/>
    <s v="No"/>
    <s v="Travel_Rarely"/>
    <n v="1010"/>
    <s v="Research &amp; Development"/>
    <n v="1"/>
    <n v="3"/>
    <s v="Life Sciences"/>
    <n v="1"/>
    <n v="1249"/>
    <n v="1"/>
    <s v="Female"/>
    <n v="97"/>
    <n v="3"/>
    <n v="1"/>
    <x v="1"/>
    <n v="4"/>
    <s v="Divorced"/>
    <n v="3760"/>
    <n v="5598"/>
    <n v="1"/>
    <s v="Y"/>
    <s v="No"/>
    <n v="15"/>
    <n v="3"/>
    <n v="1"/>
    <n v="80"/>
    <n v="3"/>
    <n v="3"/>
    <n v="5"/>
    <n v="3"/>
    <n v="3"/>
    <n v="2"/>
    <x v="1"/>
    <n v="2"/>
    <s v="OK"/>
    <s v="OK"/>
    <s v="OK"/>
    <s v="OK"/>
    <n v="0.33333333333333331"/>
    <n v="0.66666666666666663"/>
    <n v="1.6666666666666667"/>
    <n v="0.66666666666666663"/>
  </r>
  <r>
    <n v="54"/>
    <s v="No"/>
    <s v="Travel_Rarely"/>
    <n v="685"/>
    <s v="Research &amp; Development"/>
    <n v="3"/>
    <n v="3"/>
    <s v="Life Sciences"/>
    <n v="1"/>
    <n v="1250"/>
    <n v="4"/>
    <s v="Male"/>
    <n v="85"/>
    <n v="3"/>
    <n v="4"/>
    <x v="7"/>
    <n v="4"/>
    <s v="Married"/>
    <n v="17779"/>
    <n v="23474"/>
    <n v="3"/>
    <s v="Y"/>
    <s v="No"/>
    <n v="14"/>
    <n v="3"/>
    <n v="1"/>
    <n v="80"/>
    <n v="0"/>
    <n v="36"/>
    <n v="2"/>
    <n v="3"/>
    <n v="10"/>
    <n v="9"/>
    <x v="0"/>
    <n v="9"/>
    <s v="OK"/>
    <s v="OK"/>
    <s v="OK"/>
    <s v="OK"/>
    <n v="0"/>
    <n v="0.9"/>
    <n v="0.2"/>
    <n v="0.9"/>
  </r>
  <r>
    <n v="31"/>
    <s v="No"/>
    <s v="Travel_Rarely"/>
    <n v="1332"/>
    <s v="Research &amp; Development"/>
    <n v="11"/>
    <n v="2"/>
    <s v="Medical"/>
    <n v="1"/>
    <n v="1251"/>
    <n v="3"/>
    <s v="Male"/>
    <n v="80"/>
    <n v="3"/>
    <n v="2"/>
    <x v="4"/>
    <n v="1"/>
    <s v="Married"/>
    <n v="6833"/>
    <n v="17089"/>
    <n v="1"/>
    <s v="Y"/>
    <s v="Yes"/>
    <n v="12"/>
    <n v="3"/>
    <n v="4"/>
    <n v="80"/>
    <n v="0"/>
    <n v="6"/>
    <n v="2"/>
    <n v="2"/>
    <n v="6"/>
    <n v="5"/>
    <x v="0"/>
    <n v="1"/>
    <s v="OK"/>
    <s v="OK"/>
    <s v="OK"/>
    <s v="OK"/>
    <n v="0"/>
    <n v="0.83333333333333337"/>
    <n v="0.33333333333333331"/>
    <n v="0.16666666666666666"/>
  </r>
  <r>
    <n v="31"/>
    <s v="No"/>
    <s v="Travel_Rarely"/>
    <n v="1062"/>
    <s v="Research &amp; Development"/>
    <n v="24"/>
    <n v="3"/>
    <s v="Medical"/>
    <n v="1"/>
    <n v="1252"/>
    <n v="3"/>
    <s v="Female"/>
    <n v="96"/>
    <n v="2"/>
    <n v="2"/>
    <x v="4"/>
    <n v="1"/>
    <s v="Single"/>
    <n v="6812"/>
    <n v="17198"/>
    <n v="1"/>
    <s v="Y"/>
    <s v="No"/>
    <n v="19"/>
    <n v="3"/>
    <n v="2"/>
    <n v="80"/>
    <n v="0"/>
    <n v="10"/>
    <n v="2"/>
    <n v="3"/>
    <n v="10"/>
    <n v="9"/>
    <x v="1"/>
    <n v="8"/>
    <s v="OK"/>
    <s v="OK"/>
    <s v="OK"/>
    <s v="OK"/>
    <n v="0.1"/>
    <n v="0.9"/>
    <n v="0.2"/>
    <n v="0.8"/>
  </r>
  <r>
    <n v="59"/>
    <s v="No"/>
    <s v="Travel_Rarely"/>
    <n v="326"/>
    <s v="Sales"/>
    <n v="3"/>
    <n v="3"/>
    <s v="Life Sciences"/>
    <n v="1"/>
    <n v="1254"/>
    <n v="3"/>
    <s v="Female"/>
    <n v="48"/>
    <n v="2"/>
    <n v="2"/>
    <x v="0"/>
    <n v="4"/>
    <s v="Single"/>
    <n v="5171"/>
    <n v="16490"/>
    <n v="5"/>
    <s v="Y"/>
    <s v="No"/>
    <n v="17"/>
    <n v="3"/>
    <n v="4"/>
    <n v="80"/>
    <n v="0"/>
    <n v="13"/>
    <n v="2"/>
    <n v="3"/>
    <n v="6"/>
    <n v="1"/>
    <x v="0"/>
    <n v="5"/>
    <s v="OK"/>
    <s v="OK"/>
    <s v="OK"/>
    <s v="OK"/>
    <n v="0"/>
    <n v="0.16666666666666666"/>
    <n v="0.33333333333333331"/>
    <n v="0.83333333333333337"/>
  </r>
  <r>
    <n v="43"/>
    <s v="No"/>
    <s v="Travel_Rarely"/>
    <n v="920"/>
    <s v="Research &amp; Development"/>
    <n v="3"/>
    <n v="3"/>
    <s v="Life Sciences"/>
    <n v="1"/>
    <n v="1255"/>
    <n v="3"/>
    <s v="Male"/>
    <n v="96"/>
    <n v="1"/>
    <n v="5"/>
    <x v="7"/>
    <n v="4"/>
    <s v="Married"/>
    <n v="19740"/>
    <n v="18625"/>
    <n v="3"/>
    <s v="Y"/>
    <s v="No"/>
    <n v="14"/>
    <n v="3"/>
    <n v="2"/>
    <n v="80"/>
    <n v="1"/>
    <n v="25"/>
    <n v="2"/>
    <n v="3"/>
    <n v="8"/>
    <n v="7"/>
    <x v="0"/>
    <n v="7"/>
    <s v="OK"/>
    <s v="OK"/>
    <s v="OK"/>
    <s v="OK"/>
    <n v="0"/>
    <n v="0.875"/>
    <n v="0.25"/>
    <n v="0.875"/>
  </r>
  <r>
    <n v="49"/>
    <s v="No"/>
    <s v="Travel_Rarely"/>
    <n v="1098"/>
    <s v="Research &amp; Development"/>
    <n v="4"/>
    <n v="2"/>
    <s v="Medical"/>
    <n v="1"/>
    <n v="1256"/>
    <n v="1"/>
    <s v="Male"/>
    <n v="85"/>
    <n v="2"/>
    <n v="5"/>
    <x v="5"/>
    <n v="3"/>
    <s v="Married"/>
    <n v="18711"/>
    <n v="12124"/>
    <n v="2"/>
    <s v="Y"/>
    <s v="No"/>
    <n v="13"/>
    <n v="3"/>
    <n v="3"/>
    <n v="80"/>
    <n v="1"/>
    <n v="23"/>
    <n v="2"/>
    <n v="4"/>
    <n v="1"/>
    <n v="0"/>
    <x v="0"/>
    <n v="0"/>
    <s v="OK"/>
    <s v="OK"/>
    <s v="OK"/>
    <s v="OK"/>
    <n v="0"/>
    <n v="0"/>
    <n v="2"/>
    <n v="0"/>
  </r>
  <r>
    <n v="36"/>
    <s v="No"/>
    <s v="Travel_Frequently"/>
    <n v="469"/>
    <s v="Research &amp; Development"/>
    <n v="3"/>
    <n v="3"/>
    <s v="Technical Degree"/>
    <n v="1"/>
    <n v="1257"/>
    <n v="3"/>
    <s v="Male"/>
    <n v="46"/>
    <n v="3"/>
    <n v="1"/>
    <x v="1"/>
    <n v="2"/>
    <s v="Married"/>
    <n v="3692"/>
    <n v="9256"/>
    <n v="1"/>
    <s v="Y"/>
    <s v="No"/>
    <n v="12"/>
    <n v="3"/>
    <n v="3"/>
    <n v="80"/>
    <n v="0"/>
    <n v="12"/>
    <n v="2"/>
    <n v="2"/>
    <n v="11"/>
    <n v="10"/>
    <x v="0"/>
    <n v="7"/>
    <s v="OK"/>
    <s v="OK"/>
    <s v="OK"/>
    <s v="OK"/>
    <n v="0"/>
    <n v="0.90909090909090906"/>
    <n v="0.18181818181818182"/>
    <n v="0.63636363636363635"/>
  </r>
  <r>
    <n v="48"/>
    <s v="No"/>
    <s v="Travel_Rarely"/>
    <n v="969"/>
    <s v="Research &amp; Development"/>
    <n v="2"/>
    <n v="2"/>
    <s v="Technical Degree"/>
    <n v="1"/>
    <n v="1258"/>
    <n v="4"/>
    <s v="Male"/>
    <n v="76"/>
    <n v="4"/>
    <n v="1"/>
    <x v="2"/>
    <n v="2"/>
    <s v="Single"/>
    <n v="2559"/>
    <n v="16620"/>
    <n v="5"/>
    <s v="Y"/>
    <s v="No"/>
    <n v="11"/>
    <n v="3"/>
    <n v="3"/>
    <n v="80"/>
    <n v="0"/>
    <n v="7"/>
    <n v="4"/>
    <n v="2"/>
    <n v="1"/>
    <n v="0"/>
    <x v="0"/>
    <n v="0"/>
    <s v="OK"/>
    <s v="OK"/>
    <s v="OK"/>
    <s v="OK"/>
    <n v="0"/>
    <n v="0"/>
    <n v="4"/>
    <n v="0"/>
  </r>
  <r>
    <n v="27"/>
    <s v="No"/>
    <s v="Travel_Rarely"/>
    <n v="1167"/>
    <s v="Research &amp; Development"/>
    <n v="4"/>
    <n v="2"/>
    <s v="Life Sciences"/>
    <n v="1"/>
    <n v="1259"/>
    <n v="1"/>
    <s v="Male"/>
    <n v="76"/>
    <n v="3"/>
    <n v="1"/>
    <x v="1"/>
    <n v="3"/>
    <s v="Divorced"/>
    <n v="2517"/>
    <n v="3208"/>
    <n v="1"/>
    <s v="Y"/>
    <s v="No"/>
    <n v="11"/>
    <n v="3"/>
    <n v="2"/>
    <n v="80"/>
    <n v="3"/>
    <n v="5"/>
    <n v="2"/>
    <n v="3"/>
    <n v="5"/>
    <n v="3"/>
    <x v="0"/>
    <n v="3"/>
    <s v="OK"/>
    <s v="OK"/>
    <s v="OK"/>
    <s v="OK"/>
    <n v="0"/>
    <n v="0.6"/>
    <n v="0.4"/>
    <n v="0.6"/>
  </r>
  <r>
    <n v="29"/>
    <s v="No"/>
    <s v="Travel_Rarely"/>
    <n v="1329"/>
    <s v="Research &amp; Development"/>
    <n v="7"/>
    <n v="3"/>
    <s v="Life Sciences"/>
    <n v="1"/>
    <n v="1260"/>
    <n v="3"/>
    <s v="Male"/>
    <n v="82"/>
    <n v="3"/>
    <n v="2"/>
    <x v="4"/>
    <n v="4"/>
    <s v="Divorced"/>
    <n v="6623"/>
    <n v="4204"/>
    <n v="1"/>
    <s v="Y"/>
    <s v="Yes"/>
    <n v="11"/>
    <n v="3"/>
    <n v="2"/>
    <n v="80"/>
    <n v="2"/>
    <n v="6"/>
    <n v="2"/>
    <n v="3"/>
    <n v="6"/>
    <n v="0"/>
    <x v="1"/>
    <n v="0"/>
    <s v="OK"/>
    <s v="OK"/>
    <s v="OK"/>
    <s v="OK"/>
    <n v="0.16666666666666666"/>
    <n v="0"/>
    <n v="0.33333333333333331"/>
    <n v="0"/>
  </r>
  <r>
    <n v="48"/>
    <s v="No"/>
    <s v="Travel_Rarely"/>
    <n v="715"/>
    <s v="Research &amp; Development"/>
    <n v="1"/>
    <n v="3"/>
    <s v="Life Sciences"/>
    <n v="1"/>
    <n v="1263"/>
    <n v="4"/>
    <s v="Male"/>
    <n v="76"/>
    <n v="2"/>
    <n v="5"/>
    <x v="7"/>
    <n v="4"/>
    <s v="Single"/>
    <n v="18265"/>
    <n v="8733"/>
    <n v="6"/>
    <s v="Y"/>
    <s v="No"/>
    <n v="12"/>
    <n v="3"/>
    <n v="3"/>
    <n v="80"/>
    <n v="0"/>
    <n v="25"/>
    <n v="3"/>
    <n v="4"/>
    <n v="1"/>
    <n v="0"/>
    <x v="0"/>
    <n v="0"/>
    <s v="OK"/>
    <s v="OK"/>
    <s v="OK"/>
    <s v="OK"/>
    <n v="0"/>
    <n v="0"/>
    <n v="3"/>
    <n v="0"/>
  </r>
  <r>
    <n v="29"/>
    <s v="No"/>
    <s v="Travel_Rarely"/>
    <n v="694"/>
    <s v="Research &amp; Development"/>
    <n v="1"/>
    <n v="3"/>
    <s v="Life Sciences"/>
    <n v="1"/>
    <n v="1264"/>
    <n v="4"/>
    <s v="Female"/>
    <n v="87"/>
    <n v="2"/>
    <n v="4"/>
    <x v="7"/>
    <n v="4"/>
    <s v="Divorced"/>
    <n v="16124"/>
    <n v="3423"/>
    <n v="3"/>
    <s v="Y"/>
    <s v="No"/>
    <n v="14"/>
    <n v="3"/>
    <n v="2"/>
    <n v="80"/>
    <n v="2"/>
    <n v="9"/>
    <n v="2"/>
    <n v="2"/>
    <n v="7"/>
    <n v="7"/>
    <x v="1"/>
    <n v="7"/>
    <s v="OK"/>
    <s v="OK"/>
    <s v="OK"/>
    <s v="OK"/>
    <n v="0.14285714285714285"/>
    <n v="1"/>
    <n v="0.2857142857142857"/>
    <n v="1"/>
  </r>
  <r>
    <n v="34"/>
    <s v="No"/>
    <s v="Travel_Rarely"/>
    <n v="1320"/>
    <s v="Research &amp; Development"/>
    <n v="20"/>
    <n v="3"/>
    <s v="Technical Degree"/>
    <n v="1"/>
    <n v="1265"/>
    <n v="3"/>
    <s v="Female"/>
    <n v="89"/>
    <n v="4"/>
    <n v="1"/>
    <x v="1"/>
    <n v="3"/>
    <s v="Married"/>
    <n v="2585"/>
    <n v="21643"/>
    <n v="0"/>
    <s v="Y"/>
    <s v="No"/>
    <n v="17"/>
    <n v="3"/>
    <n v="4"/>
    <n v="80"/>
    <n v="0"/>
    <n v="2"/>
    <n v="5"/>
    <n v="2"/>
    <n v="1"/>
    <n v="0"/>
    <x v="0"/>
    <n v="0"/>
    <s v="OK"/>
    <s v="OK"/>
    <s v="OK"/>
    <s v="OK"/>
    <n v="0"/>
    <n v="0"/>
    <n v="5"/>
    <n v="0"/>
  </r>
  <r>
    <n v="44"/>
    <s v="No"/>
    <s v="Travel_Rarely"/>
    <n v="1099"/>
    <s v="Sales"/>
    <n v="5"/>
    <n v="3"/>
    <s v="Marketing"/>
    <n v="1"/>
    <n v="1267"/>
    <n v="2"/>
    <s v="Male"/>
    <n v="88"/>
    <n v="3"/>
    <n v="5"/>
    <x v="5"/>
    <n v="2"/>
    <s v="Married"/>
    <n v="18213"/>
    <n v="8751"/>
    <n v="7"/>
    <s v="Y"/>
    <s v="No"/>
    <n v="11"/>
    <n v="3"/>
    <n v="3"/>
    <n v="80"/>
    <n v="1"/>
    <n v="26"/>
    <n v="5"/>
    <n v="3"/>
    <n v="22"/>
    <n v="9"/>
    <x v="2"/>
    <n v="10"/>
    <s v="OK"/>
    <s v="OK"/>
    <s v="OK"/>
    <s v="OK"/>
    <n v="0.13636363636363635"/>
    <n v="0.40909090909090912"/>
    <n v="0.22727272727272727"/>
    <n v="0.45454545454545453"/>
  </r>
  <r>
    <n v="33"/>
    <s v="No"/>
    <s v="Travel_Rarely"/>
    <n v="536"/>
    <s v="Sales"/>
    <n v="10"/>
    <n v="5"/>
    <s v="Marketing"/>
    <n v="1"/>
    <n v="1268"/>
    <n v="4"/>
    <s v="Male"/>
    <n v="82"/>
    <n v="4"/>
    <n v="3"/>
    <x v="0"/>
    <n v="3"/>
    <s v="Divorced"/>
    <n v="8380"/>
    <n v="21708"/>
    <n v="0"/>
    <s v="Y"/>
    <s v="Yes"/>
    <n v="14"/>
    <n v="3"/>
    <n v="4"/>
    <n v="80"/>
    <n v="2"/>
    <n v="10"/>
    <n v="3"/>
    <n v="3"/>
    <n v="9"/>
    <n v="8"/>
    <x v="0"/>
    <n v="8"/>
    <s v="OK"/>
    <s v="OK"/>
    <s v="OK"/>
    <s v="OK"/>
    <n v="0"/>
    <n v="0.88888888888888884"/>
    <n v="0.33333333333333331"/>
    <n v="0.88888888888888884"/>
  </r>
  <r>
    <n v="19"/>
    <s v="No"/>
    <s v="Travel_Rarely"/>
    <n v="265"/>
    <s v="Research &amp; Development"/>
    <n v="25"/>
    <n v="3"/>
    <s v="Life Sciences"/>
    <n v="1"/>
    <n v="1269"/>
    <n v="2"/>
    <s v="Female"/>
    <n v="57"/>
    <n v="4"/>
    <n v="1"/>
    <x v="1"/>
    <n v="4"/>
    <s v="Single"/>
    <n v="2994"/>
    <n v="21221"/>
    <n v="1"/>
    <s v="Y"/>
    <s v="Yes"/>
    <n v="12"/>
    <n v="3"/>
    <n v="4"/>
    <n v="80"/>
    <n v="0"/>
    <n v="1"/>
    <n v="2"/>
    <n v="3"/>
    <n v="1"/>
    <n v="0"/>
    <x v="0"/>
    <n v="1"/>
    <s v="OK"/>
    <s v="OK"/>
    <s v="OK"/>
    <s v="OK"/>
    <n v="0"/>
    <n v="0"/>
    <n v="2"/>
    <n v="1"/>
  </r>
  <r>
    <n v="23"/>
    <s v="No"/>
    <s v="Travel_Rarely"/>
    <n v="373"/>
    <s v="Research &amp; Development"/>
    <n v="1"/>
    <n v="2"/>
    <s v="Life Sciences"/>
    <n v="1"/>
    <n v="1270"/>
    <n v="4"/>
    <s v="Male"/>
    <n v="47"/>
    <n v="3"/>
    <n v="1"/>
    <x v="1"/>
    <n v="3"/>
    <s v="Married"/>
    <n v="1223"/>
    <n v="16901"/>
    <n v="1"/>
    <s v="Y"/>
    <s v="No"/>
    <n v="22"/>
    <n v="4"/>
    <n v="4"/>
    <n v="80"/>
    <n v="1"/>
    <n v="1"/>
    <n v="2"/>
    <n v="3"/>
    <n v="1"/>
    <n v="0"/>
    <x v="0"/>
    <n v="1"/>
    <s v="OK"/>
    <s v="OK"/>
    <s v="OK"/>
    <s v="OK"/>
    <n v="0"/>
    <n v="0"/>
    <n v="2"/>
    <n v="1"/>
  </r>
  <r>
    <n v="25"/>
    <s v="Yes"/>
    <s v="Travel_Frequently"/>
    <n v="599"/>
    <s v="Sales"/>
    <n v="24"/>
    <n v="1"/>
    <s v="Life Sciences"/>
    <n v="1"/>
    <n v="1273"/>
    <n v="3"/>
    <s v="Male"/>
    <n v="73"/>
    <n v="1"/>
    <n v="1"/>
    <x v="6"/>
    <n v="4"/>
    <s v="Single"/>
    <n v="1118"/>
    <n v="8040"/>
    <n v="1"/>
    <s v="Y"/>
    <s v="Yes"/>
    <n v="14"/>
    <n v="3"/>
    <n v="4"/>
    <n v="80"/>
    <n v="0"/>
    <n v="1"/>
    <n v="4"/>
    <n v="3"/>
    <n v="1"/>
    <n v="0"/>
    <x v="1"/>
    <n v="0"/>
    <s v="OK"/>
    <s v="OK"/>
    <s v="OK"/>
    <s v="OK"/>
    <n v="1"/>
    <n v="0"/>
    <n v="4"/>
    <n v="0"/>
  </r>
  <r>
    <n v="26"/>
    <s v="No"/>
    <s v="Travel_Rarely"/>
    <n v="583"/>
    <s v="Research &amp; Development"/>
    <n v="4"/>
    <n v="2"/>
    <s v="Life Sciences"/>
    <n v="1"/>
    <n v="1275"/>
    <n v="3"/>
    <s v="Male"/>
    <n v="53"/>
    <n v="3"/>
    <n v="1"/>
    <x v="1"/>
    <n v="4"/>
    <s v="Single"/>
    <n v="2875"/>
    <n v="9973"/>
    <n v="1"/>
    <s v="Y"/>
    <s v="Yes"/>
    <n v="20"/>
    <n v="4"/>
    <n v="2"/>
    <n v="80"/>
    <n v="0"/>
    <n v="8"/>
    <n v="2"/>
    <n v="2"/>
    <n v="8"/>
    <n v="5"/>
    <x v="3"/>
    <n v="2"/>
    <s v="OK"/>
    <s v="OK"/>
    <s v="OK"/>
    <s v="OK"/>
    <n v="0.25"/>
    <n v="0.625"/>
    <n v="0.25"/>
    <n v="0.25"/>
  </r>
  <r>
    <n v="45"/>
    <s v="Yes"/>
    <s v="Travel_Rarely"/>
    <n v="1449"/>
    <s v="Sales"/>
    <n v="2"/>
    <n v="3"/>
    <s v="Marketing"/>
    <n v="1"/>
    <n v="1277"/>
    <n v="1"/>
    <s v="Female"/>
    <n v="94"/>
    <n v="1"/>
    <n v="5"/>
    <x v="5"/>
    <n v="2"/>
    <s v="Single"/>
    <n v="18824"/>
    <n v="2493"/>
    <n v="2"/>
    <s v="Y"/>
    <s v="Yes"/>
    <n v="16"/>
    <n v="3"/>
    <n v="1"/>
    <n v="80"/>
    <n v="0"/>
    <n v="26"/>
    <n v="2"/>
    <n v="3"/>
    <n v="24"/>
    <n v="10"/>
    <x v="1"/>
    <n v="11"/>
    <s v="OK"/>
    <s v="OK"/>
    <s v="OK"/>
    <s v="OK"/>
    <n v="4.1666666666666664E-2"/>
    <n v="0.41666666666666669"/>
    <n v="8.3333333333333329E-2"/>
    <n v="0.45833333333333331"/>
  </r>
  <r>
    <n v="55"/>
    <s v="No"/>
    <s v="Non-Travel"/>
    <n v="177"/>
    <s v="Research &amp; Development"/>
    <n v="8"/>
    <n v="1"/>
    <s v="Medical"/>
    <n v="1"/>
    <n v="1278"/>
    <n v="4"/>
    <s v="Male"/>
    <n v="37"/>
    <n v="2"/>
    <n v="4"/>
    <x v="4"/>
    <n v="2"/>
    <s v="Divorced"/>
    <n v="13577"/>
    <n v="25592"/>
    <n v="1"/>
    <s v="Y"/>
    <s v="Yes"/>
    <n v="15"/>
    <n v="3"/>
    <n v="4"/>
    <n v="80"/>
    <n v="1"/>
    <n v="34"/>
    <n v="3"/>
    <n v="3"/>
    <n v="33"/>
    <n v="9"/>
    <x v="9"/>
    <n v="0"/>
    <s v="OK"/>
    <s v="OK"/>
    <s v="OK"/>
    <s v="OK"/>
    <n v="0.45454545454545453"/>
    <n v="0.27272727272727271"/>
    <n v="9.0909090909090912E-2"/>
    <n v="0"/>
  </r>
  <r>
    <n v="21"/>
    <s v="Yes"/>
    <s v="Travel_Frequently"/>
    <n v="251"/>
    <s v="Research &amp; Development"/>
    <n v="10"/>
    <n v="2"/>
    <s v="Life Sciences"/>
    <n v="1"/>
    <n v="1279"/>
    <n v="1"/>
    <s v="Female"/>
    <n v="45"/>
    <n v="2"/>
    <n v="1"/>
    <x v="2"/>
    <n v="3"/>
    <s v="Single"/>
    <n v="2625"/>
    <n v="25308"/>
    <n v="1"/>
    <s v="Y"/>
    <s v="No"/>
    <n v="20"/>
    <n v="4"/>
    <n v="3"/>
    <n v="80"/>
    <n v="0"/>
    <n v="2"/>
    <n v="2"/>
    <n v="1"/>
    <n v="2"/>
    <n v="2"/>
    <x v="3"/>
    <n v="2"/>
    <s v="OK"/>
    <s v="OK"/>
    <s v="OK"/>
    <s v="OK"/>
    <n v="1"/>
    <n v="1"/>
    <n v="1"/>
    <n v="1"/>
  </r>
  <r>
    <n v="46"/>
    <s v="No"/>
    <s v="Travel_Rarely"/>
    <n v="168"/>
    <s v="Sales"/>
    <n v="4"/>
    <n v="2"/>
    <s v="Marketing"/>
    <n v="1"/>
    <n v="1280"/>
    <n v="4"/>
    <s v="Female"/>
    <n v="33"/>
    <n v="2"/>
    <n v="5"/>
    <x v="5"/>
    <n v="2"/>
    <s v="Married"/>
    <n v="18789"/>
    <n v="9946"/>
    <n v="2"/>
    <s v="Y"/>
    <s v="No"/>
    <n v="14"/>
    <n v="3"/>
    <n v="3"/>
    <n v="80"/>
    <n v="1"/>
    <n v="26"/>
    <n v="2"/>
    <n v="3"/>
    <n v="11"/>
    <n v="4"/>
    <x v="0"/>
    <n v="8"/>
    <s v="OK"/>
    <s v="OK"/>
    <s v="OK"/>
    <s v="OK"/>
    <n v="0"/>
    <n v="0.36363636363636365"/>
    <n v="0.18181818181818182"/>
    <n v="0.72727272727272729"/>
  </r>
  <r>
    <n v="34"/>
    <s v="No"/>
    <s v="Travel_Rarely"/>
    <n v="131"/>
    <s v="Sales"/>
    <n v="2"/>
    <n v="3"/>
    <s v="Marketing"/>
    <n v="1"/>
    <n v="1281"/>
    <n v="3"/>
    <s v="Female"/>
    <n v="86"/>
    <n v="3"/>
    <n v="2"/>
    <x v="0"/>
    <n v="1"/>
    <s v="Single"/>
    <n v="4538"/>
    <n v="6039"/>
    <n v="0"/>
    <s v="Y"/>
    <s v="Yes"/>
    <n v="12"/>
    <n v="3"/>
    <n v="4"/>
    <n v="80"/>
    <n v="0"/>
    <n v="4"/>
    <n v="3"/>
    <n v="3"/>
    <n v="3"/>
    <n v="2"/>
    <x v="0"/>
    <n v="2"/>
    <s v="OK"/>
    <s v="OK"/>
    <s v="OK"/>
    <s v="OK"/>
    <n v="0"/>
    <n v="0.66666666666666663"/>
    <n v="1"/>
    <n v="0.66666666666666663"/>
  </r>
  <r>
    <n v="51"/>
    <s v="No"/>
    <s v="Travel_Frequently"/>
    <n v="237"/>
    <s v="Sales"/>
    <n v="9"/>
    <n v="3"/>
    <s v="Life Sciences"/>
    <n v="1"/>
    <n v="1282"/>
    <n v="4"/>
    <s v="Male"/>
    <n v="83"/>
    <n v="3"/>
    <n v="5"/>
    <x v="5"/>
    <n v="2"/>
    <s v="Divorced"/>
    <n v="19847"/>
    <n v="19196"/>
    <n v="4"/>
    <s v="Y"/>
    <s v="Yes"/>
    <n v="24"/>
    <n v="4"/>
    <n v="1"/>
    <n v="80"/>
    <n v="1"/>
    <n v="31"/>
    <n v="5"/>
    <n v="2"/>
    <n v="29"/>
    <n v="10"/>
    <x v="14"/>
    <n v="10"/>
    <s v="OK"/>
    <s v="OK"/>
    <s v="OK"/>
    <s v="OK"/>
    <n v="0.37931034482758619"/>
    <n v="0.34482758620689657"/>
    <n v="0.17241379310344829"/>
    <n v="0.34482758620689657"/>
  </r>
  <r>
    <n v="59"/>
    <s v="No"/>
    <s v="Travel_Rarely"/>
    <n v="1429"/>
    <s v="Research &amp; Development"/>
    <n v="18"/>
    <n v="4"/>
    <s v="Medical"/>
    <n v="1"/>
    <n v="1283"/>
    <n v="4"/>
    <s v="Male"/>
    <n v="67"/>
    <n v="3"/>
    <n v="3"/>
    <x v="3"/>
    <n v="4"/>
    <s v="Single"/>
    <n v="10512"/>
    <n v="20002"/>
    <n v="6"/>
    <s v="Y"/>
    <s v="No"/>
    <n v="12"/>
    <n v="3"/>
    <n v="4"/>
    <n v="80"/>
    <n v="0"/>
    <n v="25"/>
    <n v="6"/>
    <n v="2"/>
    <n v="9"/>
    <n v="7"/>
    <x v="8"/>
    <n v="4"/>
    <s v="OK"/>
    <s v="OK"/>
    <s v="OK"/>
    <s v="OK"/>
    <n v="0.55555555555555558"/>
    <n v="0.77777777777777779"/>
    <n v="0.66666666666666663"/>
    <n v="0.44444444444444442"/>
  </r>
  <r>
    <n v="34"/>
    <s v="No"/>
    <s v="Travel_Frequently"/>
    <n v="135"/>
    <s v="Research &amp; Development"/>
    <n v="19"/>
    <n v="3"/>
    <s v="Medical"/>
    <n v="1"/>
    <n v="1285"/>
    <n v="3"/>
    <s v="Female"/>
    <n v="46"/>
    <n v="3"/>
    <n v="2"/>
    <x v="2"/>
    <n v="2"/>
    <s v="Divorced"/>
    <n v="4444"/>
    <n v="22534"/>
    <n v="4"/>
    <s v="Y"/>
    <s v="No"/>
    <n v="13"/>
    <n v="3"/>
    <n v="3"/>
    <n v="80"/>
    <n v="2"/>
    <n v="15"/>
    <n v="2"/>
    <n v="4"/>
    <n v="11"/>
    <n v="8"/>
    <x v="8"/>
    <n v="10"/>
    <s v="OK"/>
    <s v="OK"/>
    <s v="OK"/>
    <s v="OK"/>
    <n v="0.45454545454545453"/>
    <n v="0.72727272727272729"/>
    <n v="0.18181818181818182"/>
    <n v="0.90909090909090906"/>
  </r>
  <r>
    <n v="28"/>
    <s v="No"/>
    <s v="Travel_Frequently"/>
    <n v="791"/>
    <s v="Research &amp; Development"/>
    <n v="1"/>
    <n v="4"/>
    <s v="Medical"/>
    <n v="1"/>
    <n v="1286"/>
    <n v="4"/>
    <s v="Male"/>
    <n v="44"/>
    <n v="3"/>
    <n v="1"/>
    <x v="2"/>
    <n v="3"/>
    <s v="Single"/>
    <n v="2154"/>
    <n v="6842"/>
    <n v="0"/>
    <s v="Y"/>
    <s v="Yes"/>
    <n v="11"/>
    <n v="3"/>
    <n v="3"/>
    <n v="80"/>
    <n v="0"/>
    <n v="5"/>
    <n v="2"/>
    <n v="2"/>
    <n v="4"/>
    <n v="2"/>
    <x v="0"/>
    <n v="2"/>
    <s v="OK"/>
    <s v="OK"/>
    <s v="OK"/>
    <s v="OK"/>
    <n v="0"/>
    <n v="0.5"/>
    <n v="0.5"/>
    <n v="0.5"/>
  </r>
  <r>
    <n v="44"/>
    <s v="No"/>
    <s v="Travel_Rarely"/>
    <n v="1199"/>
    <s v="Research &amp; Development"/>
    <n v="4"/>
    <n v="2"/>
    <s v="Life Sciences"/>
    <n v="1"/>
    <n v="1288"/>
    <n v="3"/>
    <s v="Male"/>
    <n v="92"/>
    <n v="4"/>
    <n v="5"/>
    <x v="5"/>
    <n v="1"/>
    <s v="Divorced"/>
    <n v="19190"/>
    <n v="17477"/>
    <n v="1"/>
    <s v="Y"/>
    <s v="No"/>
    <n v="14"/>
    <n v="3"/>
    <n v="4"/>
    <n v="80"/>
    <n v="2"/>
    <n v="26"/>
    <n v="4"/>
    <n v="2"/>
    <n v="25"/>
    <n v="9"/>
    <x v="15"/>
    <n v="13"/>
    <s v="OK"/>
    <s v="OK"/>
    <s v="OK"/>
    <s v="OK"/>
    <n v="0.56000000000000005"/>
    <n v="0.36"/>
    <n v="0.16"/>
    <n v="0.52"/>
  </r>
  <r>
    <n v="34"/>
    <s v="No"/>
    <s v="Travel_Frequently"/>
    <n v="648"/>
    <s v="Human Resources"/>
    <n v="11"/>
    <n v="3"/>
    <s v="Life Sciences"/>
    <n v="1"/>
    <n v="1289"/>
    <n v="3"/>
    <s v="Male"/>
    <n v="56"/>
    <n v="2"/>
    <n v="2"/>
    <x v="8"/>
    <n v="2"/>
    <s v="Married"/>
    <n v="4490"/>
    <n v="21833"/>
    <n v="4"/>
    <s v="Y"/>
    <s v="No"/>
    <n v="11"/>
    <n v="3"/>
    <n v="4"/>
    <n v="80"/>
    <n v="2"/>
    <n v="14"/>
    <n v="5"/>
    <n v="4"/>
    <n v="10"/>
    <n v="9"/>
    <x v="1"/>
    <n v="8"/>
    <s v="OK"/>
    <s v="OK"/>
    <s v="OK"/>
    <s v="OK"/>
    <n v="0.1"/>
    <n v="0.9"/>
    <n v="0.5"/>
    <n v="0.8"/>
  </r>
  <r>
    <n v="35"/>
    <s v="No"/>
    <s v="Travel_Rarely"/>
    <n v="735"/>
    <s v="Research &amp; Development"/>
    <n v="6"/>
    <n v="1"/>
    <s v="Life Sciences"/>
    <n v="1"/>
    <n v="1291"/>
    <n v="3"/>
    <s v="Male"/>
    <n v="66"/>
    <n v="3"/>
    <n v="1"/>
    <x v="1"/>
    <n v="3"/>
    <s v="Married"/>
    <n v="3506"/>
    <n v="6020"/>
    <n v="0"/>
    <s v="Y"/>
    <s v="Yes"/>
    <n v="14"/>
    <n v="3"/>
    <n v="4"/>
    <n v="80"/>
    <n v="0"/>
    <n v="4"/>
    <n v="3"/>
    <n v="3"/>
    <n v="3"/>
    <n v="2"/>
    <x v="3"/>
    <n v="2"/>
    <s v="OK"/>
    <s v="OK"/>
    <s v="OK"/>
    <s v="OK"/>
    <n v="0.66666666666666663"/>
    <n v="0.66666666666666663"/>
    <n v="1"/>
    <n v="0.66666666666666663"/>
  </r>
  <r>
    <n v="42"/>
    <s v="No"/>
    <s v="Travel_Rarely"/>
    <n v="603"/>
    <s v="Research &amp; Development"/>
    <n v="7"/>
    <n v="4"/>
    <s v="Medical"/>
    <n v="1"/>
    <n v="1292"/>
    <n v="2"/>
    <s v="Female"/>
    <n v="78"/>
    <n v="4"/>
    <n v="2"/>
    <x v="1"/>
    <n v="2"/>
    <s v="Married"/>
    <n v="2372"/>
    <n v="5628"/>
    <n v="6"/>
    <s v="Y"/>
    <s v="Yes"/>
    <n v="16"/>
    <n v="3"/>
    <n v="4"/>
    <n v="80"/>
    <n v="0"/>
    <n v="18"/>
    <n v="2"/>
    <n v="3"/>
    <n v="1"/>
    <n v="0"/>
    <x v="0"/>
    <n v="0"/>
    <s v="OK"/>
    <s v="OK"/>
    <s v="OK"/>
    <s v="OK"/>
    <n v="0"/>
    <n v="0"/>
    <n v="2"/>
    <n v="0"/>
  </r>
  <r>
    <n v="43"/>
    <s v="No"/>
    <s v="Travel_Rarely"/>
    <n v="531"/>
    <s v="Sales"/>
    <n v="4"/>
    <n v="4"/>
    <s v="Marketing"/>
    <n v="1"/>
    <n v="1293"/>
    <n v="4"/>
    <s v="Female"/>
    <n v="56"/>
    <n v="2"/>
    <n v="3"/>
    <x v="0"/>
    <n v="4"/>
    <s v="Single"/>
    <n v="10231"/>
    <n v="20364"/>
    <n v="3"/>
    <s v="Y"/>
    <s v="No"/>
    <n v="14"/>
    <n v="3"/>
    <n v="4"/>
    <n v="80"/>
    <n v="0"/>
    <n v="23"/>
    <n v="3"/>
    <n v="4"/>
    <n v="21"/>
    <n v="7"/>
    <x v="9"/>
    <n v="17"/>
    <s v="OK"/>
    <s v="OK"/>
    <s v="OK"/>
    <s v="OK"/>
    <n v="0.7142857142857143"/>
    <n v="0.33333333333333331"/>
    <n v="0.14285714285714285"/>
    <n v="0.80952380952380953"/>
  </r>
  <r>
    <n v="36"/>
    <s v="No"/>
    <s v="Travel_Rarely"/>
    <n v="429"/>
    <s v="Research &amp; Development"/>
    <n v="2"/>
    <n v="4"/>
    <s v="Life Sciences"/>
    <n v="1"/>
    <n v="1294"/>
    <n v="3"/>
    <s v="Female"/>
    <n v="53"/>
    <n v="3"/>
    <n v="2"/>
    <x v="3"/>
    <n v="2"/>
    <s v="Single"/>
    <n v="5410"/>
    <n v="2323"/>
    <n v="9"/>
    <s v="Y"/>
    <s v="Yes"/>
    <n v="11"/>
    <n v="3"/>
    <n v="4"/>
    <n v="80"/>
    <n v="0"/>
    <n v="18"/>
    <n v="2"/>
    <n v="3"/>
    <n v="16"/>
    <n v="14"/>
    <x v="8"/>
    <n v="12"/>
    <s v="OK"/>
    <s v="OK"/>
    <s v="OK"/>
    <s v="OK"/>
    <n v="0.3125"/>
    <n v="0.875"/>
    <n v="0.125"/>
    <n v="0.75"/>
  </r>
  <r>
    <n v="44"/>
    <s v="Yes"/>
    <s v="Travel_Rarely"/>
    <n v="621"/>
    <s v="Research &amp; Development"/>
    <n v="15"/>
    <n v="3"/>
    <s v="Medical"/>
    <n v="1"/>
    <n v="1295"/>
    <n v="1"/>
    <s v="Female"/>
    <n v="73"/>
    <n v="3"/>
    <n v="3"/>
    <x v="4"/>
    <n v="4"/>
    <s v="Married"/>
    <n v="7978"/>
    <n v="14075"/>
    <n v="1"/>
    <s v="Y"/>
    <s v="No"/>
    <n v="11"/>
    <n v="3"/>
    <n v="4"/>
    <n v="80"/>
    <n v="1"/>
    <n v="10"/>
    <n v="2"/>
    <n v="3"/>
    <n v="10"/>
    <n v="7"/>
    <x v="0"/>
    <n v="5"/>
    <s v="OK"/>
    <s v="OK"/>
    <s v="OK"/>
    <s v="OK"/>
    <n v="0"/>
    <n v="0.7"/>
    <n v="0.2"/>
    <n v="0.5"/>
  </r>
  <r>
    <n v="28"/>
    <s v="No"/>
    <s v="Travel_Frequently"/>
    <n v="193"/>
    <s v="Research &amp; Development"/>
    <n v="2"/>
    <n v="3"/>
    <s v="Life Sciences"/>
    <n v="1"/>
    <n v="1296"/>
    <n v="4"/>
    <s v="Male"/>
    <n v="52"/>
    <n v="2"/>
    <n v="1"/>
    <x v="2"/>
    <n v="4"/>
    <s v="Married"/>
    <n v="3867"/>
    <n v="14222"/>
    <n v="1"/>
    <s v="Y"/>
    <s v="Yes"/>
    <n v="12"/>
    <n v="3"/>
    <n v="2"/>
    <n v="80"/>
    <n v="1"/>
    <n v="2"/>
    <n v="2"/>
    <n v="3"/>
    <n v="2"/>
    <n v="2"/>
    <x v="3"/>
    <n v="2"/>
    <s v="OK"/>
    <s v="OK"/>
    <s v="OK"/>
    <s v="OK"/>
    <n v="1"/>
    <n v="1"/>
    <n v="1"/>
    <n v="1"/>
  </r>
  <r>
    <n v="51"/>
    <s v="No"/>
    <s v="Travel_Frequently"/>
    <n v="968"/>
    <s v="Research &amp; Development"/>
    <n v="6"/>
    <n v="2"/>
    <s v="Medical"/>
    <n v="1"/>
    <n v="1297"/>
    <n v="2"/>
    <s v="Female"/>
    <n v="40"/>
    <n v="2"/>
    <n v="1"/>
    <x v="2"/>
    <n v="3"/>
    <s v="Single"/>
    <n v="2838"/>
    <n v="4257"/>
    <n v="0"/>
    <s v="Y"/>
    <s v="No"/>
    <n v="14"/>
    <n v="3"/>
    <n v="2"/>
    <n v="80"/>
    <n v="0"/>
    <n v="8"/>
    <n v="6"/>
    <n v="2"/>
    <n v="7"/>
    <n v="0"/>
    <x v="4"/>
    <n v="7"/>
    <s v="OK"/>
    <s v="OK"/>
    <s v="OK"/>
    <s v="OK"/>
    <n v="1"/>
    <n v="0"/>
    <n v="0.8571428571428571"/>
    <n v="1"/>
  </r>
  <r>
    <n v="30"/>
    <s v="No"/>
    <s v="Non-Travel"/>
    <n v="879"/>
    <s v="Research &amp; Development"/>
    <n v="9"/>
    <n v="2"/>
    <s v="Medical"/>
    <n v="1"/>
    <n v="1298"/>
    <n v="3"/>
    <s v="Female"/>
    <n v="72"/>
    <n v="3"/>
    <n v="2"/>
    <x v="3"/>
    <n v="3"/>
    <s v="Single"/>
    <n v="4695"/>
    <n v="12858"/>
    <n v="7"/>
    <s v="Y"/>
    <s v="Yes"/>
    <n v="18"/>
    <n v="3"/>
    <n v="3"/>
    <n v="80"/>
    <n v="0"/>
    <n v="10"/>
    <n v="3"/>
    <n v="3"/>
    <n v="8"/>
    <n v="4"/>
    <x v="1"/>
    <n v="7"/>
    <s v="OK"/>
    <s v="OK"/>
    <s v="OK"/>
    <s v="OK"/>
    <n v="0.125"/>
    <n v="0.5"/>
    <n v="0.375"/>
    <n v="0.875"/>
  </r>
  <r>
    <n v="29"/>
    <s v="Yes"/>
    <s v="Travel_Rarely"/>
    <n v="806"/>
    <s v="Research &amp; Development"/>
    <n v="7"/>
    <n v="3"/>
    <s v="Technical Degree"/>
    <n v="1"/>
    <n v="1299"/>
    <n v="2"/>
    <s v="Female"/>
    <n v="39"/>
    <n v="3"/>
    <n v="1"/>
    <x v="2"/>
    <n v="3"/>
    <s v="Divorced"/>
    <n v="3339"/>
    <n v="17285"/>
    <n v="3"/>
    <s v="Y"/>
    <s v="Yes"/>
    <n v="13"/>
    <n v="3"/>
    <n v="1"/>
    <n v="80"/>
    <n v="2"/>
    <n v="10"/>
    <n v="2"/>
    <n v="3"/>
    <n v="7"/>
    <n v="7"/>
    <x v="4"/>
    <n v="7"/>
    <s v="OK"/>
    <s v="OK"/>
    <s v="OK"/>
    <s v="OK"/>
    <n v="1"/>
    <n v="1"/>
    <n v="0.2857142857142857"/>
    <n v="1"/>
  </r>
  <r>
    <n v="28"/>
    <s v="No"/>
    <s v="Travel_Rarely"/>
    <n v="640"/>
    <s v="Research &amp; Development"/>
    <n v="1"/>
    <n v="3"/>
    <s v="Technical Degree"/>
    <n v="1"/>
    <n v="1301"/>
    <n v="4"/>
    <s v="Male"/>
    <n v="84"/>
    <n v="3"/>
    <n v="1"/>
    <x v="1"/>
    <n v="1"/>
    <s v="Single"/>
    <n v="2080"/>
    <n v="4732"/>
    <n v="2"/>
    <s v="Y"/>
    <s v="No"/>
    <n v="11"/>
    <n v="3"/>
    <n v="2"/>
    <n v="80"/>
    <n v="0"/>
    <n v="5"/>
    <n v="2"/>
    <n v="2"/>
    <n v="3"/>
    <n v="2"/>
    <x v="1"/>
    <n v="2"/>
    <s v="OK"/>
    <s v="OK"/>
    <s v="OK"/>
    <s v="OK"/>
    <n v="0.33333333333333331"/>
    <n v="0.66666666666666663"/>
    <n v="0.66666666666666663"/>
    <n v="0.66666666666666663"/>
  </r>
  <r>
    <n v="25"/>
    <s v="No"/>
    <s v="Travel_Rarely"/>
    <n v="266"/>
    <s v="Research &amp; Development"/>
    <n v="1"/>
    <n v="3"/>
    <s v="Medical"/>
    <n v="1"/>
    <n v="1303"/>
    <n v="4"/>
    <s v="Female"/>
    <n v="40"/>
    <n v="3"/>
    <n v="1"/>
    <x v="1"/>
    <n v="2"/>
    <s v="Single"/>
    <n v="2096"/>
    <n v="18830"/>
    <n v="1"/>
    <s v="Y"/>
    <s v="No"/>
    <n v="18"/>
    <n v="3"/>
    <n v="4"/>
    <n v="80"/>
    <n v="0"/>
    <n v="2"/>
    <n v="3"/>
    <n v="2"/>
    <n v="2"/>
    <n v="2"/>
    <x v="3"/>
    <n v="1"/>
    <s v="OK"/>
    <s v="OK"/>
    <s v="OK"/>
    <s v="OK"/>
    <n v="1"/>
    <n v="1"/>
    <n v="1.5"/>
    <n v="0.5"/>
  </r>
  <r>
    <n v="32"/>
    <s v="No"/>
    <s v="Travel_Rarely"/>
    <n v="604"/>
    <s v="Sales"/>
    <n v="8"/>
    <n v="3"/>
    <s v="Medical"/>
    <n v="1"/>
    <n v="1304"/>
    <n v="3"/>
    <s v="Male"/>
    <n v="56"/>
    <n v="4"/>
    <n v="2"/>
    <x v="0"/>
    <n v="4"/>
    <s v="Married"/>
    <n v="6209"/>
    <n v="11693"/>
    <n v="1"/>
    <s v="Y"/>
    <s v="No"/>
    <n v="15"/>
    <n v="3"/>
    <n v="3"/>
    <n v="80"/>
    <n v="2"/>
    <n v="10"/>
    <n v="4"/>
    <n v="4"/>
    <n v="10"/>
    <n v="7"/>
    <x v="0"/>
    <n v="8"/>
    <s v="OK"/>
    <s v="OK"/>
    <s v="OK"/>
    <s v="OK"/>
    <n v="0"/>
    <n v="0.7"/>
    <n v="0.4"/>
    <n v="0.8"/>
  </r>
  <r>
    <n v="45"/>
    <s v="No"/>
    <s v="Travel_Frequently"/>
    <n v="364"/>
    <s v="Research &amp; Development"/>
    <n v="25"/>
    <n v="3"/>
    <s v="Medical"/>
    <n v="1"/>
    <n v="1306"/>
    <n v="2"/>
    <s v="Female"/>
    <n v="83"/>
    <n v="3"/>
    <n v="5"/>
    <x v="5"/>
    <n v="2"/>
    <s v="Single"/>
    <n v="18061"/>
    <n v="13035"/>
    <n v="3"/>
    <s v="Y"/>
    <s v="No"/>
    <n v="22"/>
    <n v="4"/>
    <n v="3"/>
    <n v="80"/>
    <n v="0"/>
    <n v="22"/>
    <n v="4"/>
    <n v="3"/>
    <n v="0"/>
    <n v="0"/>
    <x v="0"/>
    <n v="0"/>
    <s v="OK"/>
    <s v="OK"/>
    <s v="OK"/>
    <s v="OK"/>
    <n v="0"/>
    <n v="0"/>
    <n v="0"/>
    <n v="0"/>
  </r>
  <r>
    <n v="39"/>
    <s v="No"/>
    <s v="Travel_Rarely"/>
    <n v="412"/>
    <s v="Research &amp; Development"/>
    <n v="13"/>
    <n v="4"/>
    <s v="Medical"/>
    <n v="1"/>
    <n v="1307"/>
    <n v="3"/>
    <s v="Female"/>
    <n v="94"/>
    <n v="2"/>
    <n v="4"/>
    <x v="5"/>
    <n v="2"/>
    <s v="Divorced"/>
    <n v="17123"/>
    <n v="17334"/>
    <n v="6"/>
    <s v="Y"/>
    <s v="Yes"/>
    <n v="13"/>
    <n v="3"/>
    <n v="4"/>
    <n v="80"/>
    <n v="2"/>
    <n v="21"/>
    <n v="4"/>
    <n v="3"/>
    <n v="19"/>
    <n v="9"/>
    <x v="9"/>
    <n v="2"/>
    <s v="OK"/>
    <s v="OK"/>
    <s v="OK"/>
    <s v="OK"/>
    <n v="0.78947368421052633"/>
    <n v="0.47368421052631576"/>
    <n v="0.21052631578947367"/>
    <n v="0.10526315789473684"/>
  </r>
  <r>
    <n v="58"/>
    <s v="No"/>
    <s v="Travel_Rarely"/>
    <n v="848"/>
    <s v="Research &amp; Development"/>
    <n v="23"/>
    <n v="4"/>
    <s v="Life Sciences"/>
    <n v="1"/>
    <n v="1308"/>
    <n v="1"/>
    <s v="Male"/>
    <n v="88"/>
    <n v="3"/>
    <n v="1"/>
    <x v="1"/>
    <n v="3"/>
    <s v="Divorced"/>
    <n v="2372"/>
    <n v="26076"/>
    <n v="1"/>
    <s v="Y"/>
    <s v="No"/>
    <n v="12"/>
    <n v="3"/>
    <n v="4"/>
    <n v="80"/>
    <n v="2"/>
    <n v="2"/>
    <n v="3"/>
    <n v="3"/>
    <n v="2"/>
    <n v="2"/>
    <x v="3"/>
    <n v="2"/>
    <s v="OK"/>
    <s v="OK"/>
    <s v="OK"/>
    <s v="OK"/>
    <n v="1"/>
    <n v="1"/>
    <n v="1.5"/>
    <n v="1"/>
  </r>
  <r>
    <n v="32"/>
    <s v="Yes"/>
    <s v="Travel_Rarely"/>
    <n v="1089"/>
    <s v="Research &amp; Development"/>
    <n v="7"/>
    <n v="2"/>
    <s v="Life Sciences"/>
    <n v="1"/>
    <n v="1309"/>
    <n v="4"/>
    <s v="Male"/>
    <n v="79"/>
    <n v="3"/>
    <n v="2"/>
    <x v="2"/>
    <n v="3"/>
    <s v="Married"/>
    <n v="4883"/>
    <n v="22845"/>
    <n v="1"/>
    <s v="Y"/>
    <s v="No"/>
    <n v="18"/>
    <n v="3"/>
    <n v="1"/>
    <n v="80"/>
    <n v="1"/>
    <n v="10"/>
    <n v="3"/>
    <n v="3"/>
    <n v="10"/>
    <n v="4"/>
    <x v="1"/>
    <n v="1"/>
    <s v="OK"/>
    <s v="OK"/>
    <s v="OK"/>
    <s v="OK"/>
    <n v="0.1"/>
    <n v="0.4"/>
    <n v="0.3"/>
    <n v="0.1"/>
  </r>
  <r>
    <n v="39"/>
    <s v="Yes"/>
    <s v="Travel_Rarely"/>
    <n v="360"/>
    <s v="Research &amp; Development"/>
    <n v="23"/>
    <n v="3"/>
    <s v="Medical"/>
    <n v="1"/>
    <n v="1310"/>
    <n v="3"/>
    <s v="Male"/>
    <n v="93"/>
    <n v="3"/>
    <n v="1"/>
    <x v="1"/>
    <n v="1"/>
    <s v="Single"/>
    <n v="3904"/>
    <n v="22154"/>
    <n v="0"/>
    <s v="Y"/>
    <s v="No"/>
    <n v="13"/>
    <n v="3"/>
    <n v="1"/>
    <n v="80"/>
    <n v="0"/>
    <n v="6"/>
    <n v="2"/>
    <n v="3"/>
    <n v="5"/>
    <n v="2"/>
    <x v="0"/>
    <n v="3"/>
    <s v="OK"/>
    <s v="OK"/>
    <s v="OK"/>
    <s v="OK"/>
    <n v="0"/>
    <n v="0.4"/>
    <n v="0.4"/>
    <n v="0.6"/>
  </r>
  <r>
    <n v="30"/>
    <s v="No"/>
    <s v="Travel_Rarely"/>
    <n v="1138"/>
    <s v="Research &amp; Development"/>
    <n v="6"/>
    <n v="3"/>
    <s v="Technical Degree"/>
    <n v="1"/>
    <n v="1311"/>
    <n v="1"/>
    <s v="Female"/>
    <n v="48"/>
    <n v="2"/>
    <n v="2"/>
    <x v="2"/>
    <n v="4"/>
    <s v="Married"/>
    <n v="4627"/>
    <n v="23631"/>
    <n v="0"/>
    <s v="Y"/>
    <s v="No"/>
    <n v="12"/>
    <n v="3"/>
    <n v="1"/>
    <n v="80"/>
    <n v="1"/>
    <n v="10"/>
    <n v="6"/>
    <n v="3"/>
    <n v="9"/>
    <n v="2"/>
    <x v="7"/>
    <n v="7"/>
    <s v="OK"/>
    <s v="OK"/>
    <s v="OK"/>
    <s v="OK"/>
    <n v="0.66666666666666663"/>
    <n v="0.22222222222222221"/>
    <n v="0.66666666666666663"/>
    <n v="0.77777777777777779"/>
  </r>
  <r>
    <n v="36"/>
    <s v="No"/>
    <s v="Travel_Rarely"/>
    <n v="325"/>
    <s v="Research &amp; Development"/>
    <n v="10"/>
    <n v="4"/>
    <s v="Technical Degree"/>
    <n v="1"/>
    <n v="1312"/>
    <n v="4"/>
    <s v="Female"/>
    <n v="63"/>
    <n v="3"/>
    <n v="3"/>
    <x v="4"/>
    <n v="3"/>
    <s v="Married"/>
    <n v="7094"/>
    <n v="5747"/>
    <n v="3"/>
    <s v="Y"/>
    <s v="No"/>
    <n v="12"/>
    <n v="3"/>
    <n v="1"/>
    <n v="80"/>
    <n v="0"/>
    <n v="10"/>
    <n v="0"/>
    <n v="3"/>
    <n v="7"/>
    <n v="7"/>
    <x v="1"/>
    <n v="7"/>
    <s v="OK"/>
    <s v="OK"/>
    <s v="OK"/>
    <s v="OK"/>
    <n v="0.14285714285714285"/>
    <n v="1"/>
    <n v="0"/>
    <n v="1"/>
  </r>
  <r>
    <n v="46"/>
    <s v="No"/>
    <s v="Travel_Rarely"/>
    <n v="991"/>
    <s v="Human Resources"/>
    <n v="1"/>
    <n v="2"/>
    <s v="Life Sciences"/>
    <n v="1"/>
    <n v="1314"/>
    <n v="4"/>
    <s v="Female"/>
    <n v="44"/>
    <n v="3"/>
    <n v="1"/>
    <x v="8"/>
    <n v="1"/>
    <s v="Single"/>
    <n v="3423"/>
    <n v="22957"/>
    <n v="6"/>
    <s v="Y"/>
    <s v="No"/>
    <n v="12"/>
    <n v="3"/>
    <n v="3"/>
    <n v="80"/>
    <n v="0"/>
    <n v="10"/>
    <n v="3"/>
    <n v="4"/>
    <n v="7"/>
    <n v="6"/>
    <x v="8"/>
    <n v="7"/>
    <s v="OK"/>
    <s v="OK"/>
    <s v="OK"/>
    <s v="OK"/>
    <n v="0.7142857142857143"/>
    <n v="0.8571428571428571"/>
    <n v="0.42857142857142855"/>
    <n v="1"/>
  </r>
  <r>
    <n v="28"/>
    <s v="No"/>
    <s v="Non-Travel"/>
    <n v="1476"/>
    <s v="Research &amp; Development"/>
    <n v="1"/>
    <n v="3"/>
    <s v="Life Sciences"/>
    <n v="1"/>
    <n v="1315"/>
    <n v="3"/>
    <s v="Female"/>
    <n v="55"/>
    <n v="1"/>
    <n v="2"/>
    <x v="2"/>
    <n v="4"/>
    <s v="Married"/>
    <n v="6674"/>
    <n v="16392"/>
    <n v="0"/>
    <s v="Y"/>
    <s v="No"/>
    <n v="11"/>
    <n v="3"/>
    <n v="1"/>
    <n v="80"/>
    <n v="3"/>
    <n v="10"/>
    <n v="6"/>
    <n v="3"/>
    <n v="9"/>
    <n v="8"/>
    <x v="4"/>
    <n v="5"/>
    <s v="OK"/>
    <s v="OK"/>
    <s v="OK"/>
    <s v="OK"/>
    <n v="0.77777777777777779"/>
    <n v="0.88888888888888884"/>
    <n v="0.66666666666666663"/>
    <n v="0.55555555555555558"/>
  </r>
  <r>
    <n v="50"/>
    <s v="No"/>
    <s v="Travel_Rarely"/>
    <n v="1322"/>
    <s v="Research &amp; Development"/>
    <n v="28"/>
    <n v="3"/>
    <s v="Life Sciences"/>
    <n v="1"/>
    <n v="1317"/>
    <n v="4"/>
    <s v="Female"/>
    <n v="43"/>
    <n v="3"/>
    <n v="4"/>
    <x v="7"/>
    <n v="1"/>
    <s v="Married"/>
    <n v="16880"/>
    <n v="22422"/>
    <n v="4"/>
    <s v="Y"/>
    <s v="Yes"/>
    <n v="11"/>
    <n v="3"/>
    <n v="2"/>
    <n v="80"/>
    <n v="0"/>
    <n v="25"/>
    <n v="2"/>
    <n v="3"/>
    <n v="3"/>
    <n v="2"/>
    <x v="1"/>
    <n v="2"/>
    <s v="OK"/>
    <s v="OK"/>
    <s v="OK"/>
    <s v="OK"/>
    <n v="0.33333333333333331"/>
    <n v="0.66666666666666663"/>
    <n v="0.66666666666666663"/>
    <n v="0.66666666666666663"/>
  </r>
  <r>
    <n v="40"/>
    <s v="Yes"/>
    <s v="Travel_Rarely"/>
    <n v="299"/>
    <s v="Sales"/>
    <n v="25"/>
    <n v="4"/>
    <s v="Marketing"/>
    <n v="1"/>
    <n v="1318"/>
    <n v="4"/>
    <s v="Male"/>
    <n v="57"/>
    <n v="2"/>
    <n v="3"/>
    <x v="0"/>
    <n v="2"/>
    <s v="Single"/>
    <n v="9094"/>
    <n v="17235"/>
    <n v="2"/>
    <s v="Y"/>
    <s v="Yes"/>
    <n v="12"/>
    <n v="3"/>
    <n v="3"/>
    <n v="80"/>
    <n v="0"/>
    <n v="9"/>
    <n v="2"/>
    <n v="3"/>
    <n v="5"/>
    <n v="4"/>
    <x v="1"/>
    <n v="0"/>
    <s v="OK"/>
    <s v="OK"/>
    <s v="OK"/>
    <s v="OK"/>
    <n v="0.2"/>
    <n v="0.8"/>
    <n v="0.4"/>
    <n v="0"/>
  </r>
  <r>
    <n v="52"/>
    <s v="Yes"/>
    <s v="Travel_Rarely"/>
    <n v="1030"/>
    <s v="Sales"/>
    <n v="5"/>
    <n v="3"/>
    <s v="Life Sciences"/>
    <n v="1"/>
    <n v="1319"/>
    <n v="2"/>
    <s v="Male"/>
    <n v="64"/>
    <n v="3"/>
    <n v="3"/>
    <x v="0"/>
    <n v="2"/>
    <s v="Single"/>
    <n v="8446"/>
    <n v="21534"/>
    <n v="9"/>
    <s v="Y"/>
    <s v="Yes"/>
    <n v="19"/>
    <n v="3"/>
    <n v="3"/>
    <n v="80"/>
    <n v="0"/>
    <n v="10"/>
    <n v="2"/>
    <n v="2"/>
    <n v="8"/>
    <n v="7"/>
    <x v="4"/>
    <n v="7"/>
    <s v="OK"/>
    <s v="OK"/>
    <s v="OK"/>
    <s v="OK"/>
    <n v="0.875"/>
    <n v="0.875"/>
    <n v="0.25"/>
    <n v="0.875"/>
  </r>
  <r>
    <n v="30"/>
    <s v="No"/>
    <s v="Travel_Rarely"/>
    <n v="634"/>
    <s v="Research &amp; Development"/>
    <n v="17"/>
    <n v="4"/>
    <s v="Medical"/>
    <n v="1"/>
    <n v="1321"/>
    <n v="2"/>
    <s v="Female"/>
    <n v="95"/>
    <n v="3"/>
    <n v="3"/>
    <x v="5"/>
    <n v="1"/>
    <s v="Married"/>
    <n v="11916"/>
    <n v="25927"/>
    <n v="1"/>
    <s v="Y"/>
    <s v="Yes"/>
    <n v="23"/>
    <n v="4"/>
    <n v="4"/>
    <n v="80"/>
    <n v="2"/>
    <n v="9"/>
    <n v="2"/>
    <n v="3"/>
    <n v="9"/>
    <n v="1"/>
    <x v="0"/>
    <n v="8"/>
    <s v="OK"/>
    <s v="OK"/>
    <s v="OK"/>
    <s v="OK"/>
    <n v="0"/>
    <n v="0.1111111111111111"/>
    <n v="0.22222222222222221"/>
    <n v="0.88888888888888884"/>
  </r>
  <r>
    <n v="39"/>
    <s v="No"/>
    <s v="Travel_Rarely"/>
    <n v="524"/>
    <s v="Research &amp; Development"/>
    <n v="18"/>
    <n v="2"/>
    <s v="Life Sciences"/>
    <n v="1"/>
    <n v="1322"/>
    <n v="1"/>
    <s v="Male"/>
    <n v="32"/>
    <n v="3"/>
    <n v="2"/>
    <x v="3"/>
    <n v="3"/>
    <s v="Single"/>
    <n v="4534"/>
    <n v="13352"/>
    <n v="0"/>
    <s v="Y"/>
    <s v="No"/>
    <n v="11"/>
    <n v="3"/>
    <n v="1"/>
    <n v="80"/>
    <n v="0"/>
    <n v="9"/>
    <n v="6"/>
    <n v="3"/>
    <n v="8"/>
    <n v="7"/>
    <x v="1"/>
    <n v="7"/>
    <s v="OK"/>
    <s v="OK"/>
    <s v="OK"/>
    <s v="OK"/>
    <n v="0.125"/>
    <n v="0.875"/>
    <n v="0.75"/>
    <n v="0.875"/>
  </r>
  <r>
    <n v="31"/>
    <s v="No"/>
    <s v="Non-Travel"/>
    <n v="587"/>
    <s v="Sales"/>
    <n v="2"/>
    <n v="4"/>
    <s v="Life Sciences"/>
    <n v="1"/>
    <n v="1324"/>
    <n v="4"/>
    <s v="Female"/>
    <n v="57"/>
    <n v="3"/>
    <n v="3"/>
    <x v="0"/>
    <n v="3"/>
    <s v="Divorced"/>
    <n v="9852"/>
    <n v="8935"/>
    <n v="1"/>
    <s v="Y"/>
    <s v="Yes"/>
    <n v="19"/>
    <n v="3"/>
    <n v="1"/>
    <n v="80"/>
    <n v="1"/>
    <n v="10"/>
    <n v="5"/>
    <n v="2"/>
    <n v="10"/>
    <n v="8"/>
    <x v="10"/>
    <n v="6"/>
    <s v="OK"/>
    <s v="OK"/>
    <s v="OK"/>
    <s v="OK"/>
    <n v="0.9"/>
    <n v="0.8"/>
    <n v="0.5"/>
    <n v="0.6"/>
  </r>
  <r>
    <n v="41"/>
    <s v="No"/>
    <s v="Non-Travel"/>
    <n v="256"/>
    <s v="Sales"/>
    <n v="10"/>
    <n v="2"/>
    <s v="Medical"/>
    <n v="1"/>
    <n v="1329"/>
    <n v="3"/>
    <s v="Male"/>
    <n v="40"/>
    <n v="1"/>
    <n v="2"/>
    <x v="0"/>
    <n v="2"/>
    <s v="Single"/>
    <n v="6151"/>
    <n v="22074"/>
    <n v="1"/>
    <s v="Y"/>
    <s v="No"/>
    <n v="13"/>
    <n v="3"/>
    <n v="1"/>
    <n v="80"/>
    <n v="0"/>
    <n v="19"/>
    <n v="4"/>
    <n v="3"/>
    <n v="19"/>
    <n v="2"/>
    <x v="14"/>
    <n v="9"/>
    <s v="OK"/>
    <s v="OK"/>
    <s v="OK"/>
    <s v="OK"/>
    <n v="0.57894736842105265"/>
    <n v="0.10526315789473684"/>
    <n v="0.21052631578947367"/>
    <n v="0.47368421052631576"/>
  </r>
  <r>
    <n v="31"/>
    <s v="Yes"/>
    <s v="Travel_Frequently"/>
    <n v="1060"/>
    <s v="Sales"/>
    <n v="1"/>
    <n v="3"/>
    <s v="Life Sciences"/>
    <n v="1"/>
    <n v="1331"/>
    <n v="4"/>
    <s v="Female"/>
    <n v="54"/>
    <n v="3"/>
    <n v="1"/>
    <x v="6"/>
    <n v="2"/>
    <s v="Single"/>
    <n v="2302"/>
    <n v="8319"/>
    <n v="1"/>
    <s v="Y"/>
    <s v="Yes"/>
    <n v="11"/>
    <n v="3"/>
    <n v="1"/>
    <n v="80"/>
    <n v="0"/>
    <n v="3"/>
    <n v="2"/>
    <n v="4"/>
    <n v="3"/>
    <n v="2"/>
    <x v="3"/>
    <n v="2"/>
    <s v="OK"/>
    <s v="OK"/>
    <s v="OK"/>
    <s v="OK"/>
    <n v="0.66666666666666663"/>
    <n v="0.66666666666666663"/>
    <n v="0.66666666666666663"/>
    <n v="0.66666666666666663"/>
  </r>
  <r>
    <n v="44"/>
    <s v="Yes"/>
    <s v="Travel_Rarely"/>
    <n v="935"/>
    <s v="Research &amp; Development"/>
    <n v="3"/>
    <n v="3"/>
    <s v="Life Sciences"/>
    <n v="1"/>
    <n v="1333"/>
    <n v="1"/>
    <s v="Male"/>
    <n v="89"/>
    <n v="3"/>
    <n v="1"/>
    <x v="2"/>
    <n v="1"/>
    <s v="Married"/>
    <n v="2362"/>
    <n v="14669"/>
    <n v="4"/>
    <s v="Y"/>
    <s v="No"/>
    <n v="12"/>
    <n v="3"/>
    <n v="3"/>
    <n v="80"/>
    <n v="0"/>
    <n v="10"/>
    <n v="4"/>
    <n v="4"/>
    <n v="3"/>
    <n v="2"/>
    <x v="1"/>
    <n v="2"/>
    <s v="OK"/>
    <s v="OK"/>
    <s v="OK"/>
    <s v="OK"/>
    <n v="0.33333333333333331"/>
    <n v="0.66666666666666663"/>
    <n v="1.3333333333333333"/>
    <n v="0.66666666666666663"/>
  </r>
  <r>
    <n v="42"/>
    <s v="No"/>
    <s v="Non-Travel"/>
    <n v="495"/>
    <s v="Research &amp; Development"/>
    <n v="2"/>
    <n v="1"/>
    <s v="Life Sciences"/>
    <n v="1"/>
    <n v="1334"/>
    <n v="3"/>
    <s v="Male"/>
    <n v="37"/>
    <n v="3"/>
    <n v="4"/>
    <x v="5"/>
    <n v="3"/>
    <s v="Married"/>
    <n v="17861"/>
    <n v="26582"/>
    <n v="0"/>
    <s v="Y"/>
    <s v="Yes"/>
    <n v="13"/>
    <n v="3"/>
    <n v="4"/>
    <n v="80"/>
    <n v="0"/>
    <n v="21"/>
    <n v="3"/>
    <n v="2"/>
    <n v="20"/>
    <n v="8"/>
    <x v="3"/>
    <n v="10"/>
    <s v="OK"/>
    <s v="OK"/>
    <s v="OK"/>
    <s v="OK"/>
    <n v="0.1"/>
    <n v="0.4"/>
    <n v="0.15"/>
    <n v="0.5"/>
  </r>
  <r>
    <n v="55"/>
    <s v="No"/>
    <s v="Travel_Rarely"/>
    <n v="282"/>
    <s v="Research &amp; Development"/>
    <n v="2"/>
    <n v="2"/>
    <s v="Medical"/>
    <n v="1"/>
    <n v="1336"/>
    <n v="4"/>
    <s v="Female"/>
    <n v="58"/>
    <n v="1"/>
    <n v="5"/>
    <x v="5"/>
    <n v="3"/>
    <s v="Married"/>
    <n v="19187"/>
    <n v="6992"/>
    <n v="4"/>
    <s v="Y"/>
    <s v="No"/>
    <n v="14"/>
    <n v="3"/>
    <n v="4"/>
    <n v="80"/>
    <n v="1"/>
    <n v="23"/>
    <n v="5"/>
    <n v="3"/>
    <n v="19"/>
    <n v="9"/>
    <x v="10"/>
    <n v="11"/>
    <s v="OK"/>
    <s v="OK"/>
    <s v="OK"/>
    <s v="OK"/>
    <n v="0.47368421052631576"/>
    <n v="0.47368421052631576"/>
    <n v="0.26315789473684209"/>
    <n v="0.57894736842105265"/>
  </r>
  <r>
    <n v="56"/>
    <s v="No"/>
    <s v="Travel_Rarely"/>
    <n v="206"/>
    <s v="Human Resources"/>
    <n v="8"/>
    <n v="4"/>
    <s v="Life Sciences"/>
    <n v="1"/>
    <n v="1338"/>
    <n v="4"/>
    <s v="Male"/>
    <n v="99"/>
    <n v="3"/>
    <n v="5"/>
    <x v="5"/>
    <n v="2"/>
    <s v="Single"/>
    <n v="19717"/>
    <n v="4022"/>
    <n v="6"/>
    <s v="Y"/>
    <s v="No"/>
    <n v="14"/>
    <n v="3"/>
    <n v="1"/>
    <n v="80"/>
    <n v="0"/>
    <n v="36"/>
    <n v="4"/>
    <n v="3"/>
    <n v="7"/>
    <n v="3"/>
    <x v="4"/>
    <n v="7"/>
    <s v="OK"/>
    <s v="OK"/>
    <s v="OK"/>
    <s v="OK"/>
    <n v="1"/>
    <n v="0.42857142857142855"/>
    <n v="0.5714285714285714"/>
    <n v="1"/>
  </r>
  <r>
    <n v="40"/>
    <s v="No"/>
    <s v="Non-Travel"/>
    <n v="458"/>
    <s v="Research &amp; Development"/>
    <n v="16"/>
    <n v="2"/>
    <s v="Life Sciences"/>
    <n v="1"/>
    <n v="1340"/>
    <n v="3"/>
    <s v="Male"/>
    <n v="74"/>
    <n v="3"/>
    <n v="1"/>
    <x v="1"/>
    <n v="3"/>
    <s v="Divorced"/>
    <n v="3544"/>
    <n v="8532"/>
    <n v="9"/>
    <s v="Y"/>
    <s v="No"/>
    <n v="16"/>
    <n v="3"/>
    <n v="2"/>
    <n v="80"/>
    <n v="1"/>
    <n v="6"/>
    <n v="0"/>
    <n v="3"/>
    <n v="4"/>
    <n v="2"/>
    <x v="0"/>
    <n v="0"/>
    <s v="OK"/>
    <s v="OK"/>
    <s v="OK"/>
    <s v="OK"/>
    <n v="0"/>
    <n v="0.5"/>
    <n v="0"/>
    <n v="0"/>
  </r>
  <r>
    <n v="34"/>
    <s v="No"/>
    <s v="Travel_Rarely"/>
    <n v="943"/>
    <s v="Research &amp; Development"/>
    <n v="9"/>
    <n v="3"/>
    <s v="Life Sciences"/>
    <n v="1"/>
    <n v="1344"/>
    <n v="4"/>
    <s v="Male"/>
    <n v="86"/>
    <n v="3"/>
    <n v="3"/>
    <x v="4"/>
    <n v="4"/>
    <s v="Divorced"/>
    <n v="8500"/>
    <n v="5494"/>
    <n v="0"/>
    <s v="Y"/>
    <s v="No"/>
    <n v="11"/>
    <n v="3"/>
    <n v="4"/>
    <n v="80"/>
    <n v="1"/>
    <n v="10"/>
    <n v="0"/>
    <n v="2"/>
    <n v="9"/>
    <n v="7"/>
    <x v="1"/>
    <n v="6"/>
    <s v="OK"/>
    <s v="OK"/>
    <s v="OK"/>
    <s v="OK"/>
    <n v="0.1111111111111111"/>
    <n v="0.77777777777777779"/>
    <n v="0"/>
    <n v="0.66666666666666663"/>
  </r>
  <r>
    <n v="40"/>
    <s v="No"/>
    <s v="Travel_Rarely"/>
    <n v="523"/>
    <s v="Research &amp; Development"/>
    <n v="2"/>
    <n v="3"/>
    <s v="Life Sciences"/>
    <n v="1"/>
    <n v="1346"/>
    <n v="3"/>
    <s v="Male"/>
    <n v="98"/>
    <n v="3"/>
    <n v="2"/>
    <x v="1"/>
    <n v="4"/>
    <s v="Single"/>
    <n v="4661"/>
    <n v="22455"/>
    <n v="1"/>
    <s v="Y"/>
    <s v="No"/>
    <n v="13"/>
    <n v="3"/>
    <n v="3"/>
    <n v="80"/>
    <n v="0"/>
    <n v="9"/>
    <n v="4"/>
    <n v="3"/>
    <n v="9"/>
    <n v="8"/>
    <x v="6"/>
    <n v="8"/>
    <s v="OK"/>
    <s v="OK"/>
    <s v="OK"/>
    <s v="OK"/>
    <n v="0.88888888888888884"/>
    <n v="0.88888888888888884"/>
    <n v="0.44444444444444442"/>
    <n v="0.88888888888888884"/>
  </r>
  <r>
    <n v="41"/>
    <s v="No"/>
    <s v="Travel_Frequently"/>
    <n v="1018"/>
    <s v="Sales"/>
    <n v="1"/>
    <n v="3"/>
    <s v="Marketing"/>
    <n v="1"/>
    <n v="1349"/>
    <n v="3"/>
    <s v="Female"/>
    <n v="66"/>
    <n v="3"/>
    <n v="2"/>
    <x v="0"/>
    <n v="1"/>
    <s v="Divorced"/>
    <n v="4103"/>
    <n v="4297"/>
    <n v="0"/>
    <s v="Y"/>
    <s v="No"/>
    <n v="17"/>
    <n v="3"/>
    <n v="4"/>
    <n v="80"/>
    <n v="1"/>
    <n v="10"/>
    <n v="2"/>
    <n v="3"/>
    <n v="9"/>
    <n v="3"/>
    <x v="1"/>
    <n v="7"/>
    <s v="OK"/>
    <s v="OK"/>
    <s v="OK"/>
    <s v="OK"/>
    <n v="0.1111111111111111"/>
    <n v="0.33333333333333331"/>
    <n v="0.22222222222222221"/>
    <n v="0.77777777777777779"/>
  </r>
  <r>
    <n v="35"/>
    <s v="No"/>
    <s v="Travel_Frequently"/>
    <n v="482"/>
    <s v="Research &amp; Development"/>
    <n v="4"/>
    <n v="4"/>
    <s v="Life Sciences"/>
    <n v="1"/>
    <n v="1350"/>
    <n v="3"/>
    <s v="Male"/>
    <n v="87"/>
    <n v="3"/>
    <n v="2"/>
    <x v="1"/>
    <n v="3"/>
    <s v="Single"/>
    <n v="4249"/>
    <n v="2690"/>
    <n v="1"/>
    <s v="Y"/>
    <s v="Yes"/>
    <n v="11"/>
    <n v="3"/>
    <n v="2"/>
    <n v="80"/>
    <n v="0"/>
    <n v="9"/>
    <n v="3"/>
    <n v="3"/>
    <n v="9"/>
    <n v="6"/>
    <x v="1"/>
    <n v="1"/>
    <s v="OK"/>
    <s v="OK"/>
    <s v="OK"/>
    <s v="OK"/>
    <n v="0.1111111111111111"/>
    <n v="0.66666666666666663"/>
    <n v="0.33333333333333331"/>
    <n v="0.1111111111111111"/>
  </r>
  <r>
    <n v="51"/>
    <s v="No"/>
    <s v="Travel_Rarely"/>
    <n v="770"/>
    <s v="Human Resources"/>
    <n v="5"/>
    <n v="3"/>
    <s v="Life Sciences"/>
    <n v="1"/>
    <n v="1352"/>
    <n v="3"/>
    <s v="Male"/>
    <n v="84"/>
    <n v="3"/>
    <n v="4"/>
    <x v="5"/>
    <n v="2"/>
    <s v="Divorced"/>
    <n v="14026"/>
    <n v="17588"/>
    <n v="1"/>
    <s v="Y"/>
    <s v="Yes"/>
    <n v="11"/>
    <n v="3"/>
    <n v="2"/>
    <n v="80"/>
    <n v="1"/>
    <n v="33"/>
    <n v="2"/>
    <n v="3"/>
    <n v="33"/>
    <n v="9"/>
    <x v="0"/>
    <n v="10"/>
    <s v="OK"/>
    <s v="OK"/>
    <s v="OK"/>
    <s v="OK"/>
    <n v="0"/>
    <n v="0.27272727272727271"/>
    <n v="6.0606060606060608E-2"/>
    <n v="0.30303030303030304"/>
  </r>
  <r>
    <n v="38"/>
    <s v="No"/>
    <s v="Travel_Rarely"/>
    <n v="1009"/>
    <s v="Sales"/>
    <n v="2"/>
    <n v="2"/>
    <s v="Life Sciences"/>
    <n v="1"/>
    <n v="1355"/>
    <n v="2"/>
    <s v="Female"/>
    <n v="31"/>
    <n v="3"/>
    <n v="2"/>
    <x v="0"/>
    <n v="1"/>
    <s v="Divorced"/>
    <n v="6893"/>
    <n v="19461"/>
    <n v="3"/>
    <s v="Y"/>
    <s v="No"/>
    <n v="15"/>
    <n v="3"/>
    <n v="4"/>
    <n v="80"/>
    <n v="1"/>
    <n v="11"/>
    <n v="3"/>
    <n v="3"/>
    <n v="7"/>
    <n v="7"/>
    <x v="1"/>
    <n v="7"/>
    <s v="OK"/>
    <s v="OK"/>
    <s v="OK"/>
    <s v="OK"/>
    <n v="0.14285714285714285"/>
    <n v="1"/>
    <n v="0.42857142857142855"/>
    <n v="1"/>
  </r>
  <r>
    <n v="34"/>
    <s v="No"/>
    <s v="Travel_Rarely"/>
    <n v="507"/>
    <s v="Sales"/>
    <n v="15"/>
    <n v="2"/>
    <s v="Medical"/>
    <n v="1"/>
    <n v="1356"/>
    <n v="3"/>
    <s v="Female"/>
    <n v="66"/>
    <n v="3"/>
    <n v="2"/>
    <x v="0"/>
    <n v="1"/>
    <s v="Single"/>
    <n v="6125"/>
    <n v="23553"/>
    <n v="1"/>
    <s v="Y"/>
    <s v="No"/>
    <n v="12"/>
    <n v="3"/>
    <n v="4"/>
    <n v="80"/>
    <n v="0"/>
    <n v="10"/>
    <n v="6"/>
    <n v="4"/>
    <n v="10"/>
    <n v="8"/>
    <x v="10"/>
    <n v="6"/>
    <s v="OK"/>
    <s v="OK"/>
    <s v="OK"/>
    <s v="OK"/>
    <n v="0.9"/>
    <n v="0.8"/>
    <n v="0.6"/>
    <n v="0.6"/>
  </r>
  <r>
    <n v="25"/>
    <s v="No"/>
    <s v="Travel_Rarely"/>
    <n v="882"/>
    <s v="Research &amp; Development"/>
    <n v="19"/>
    <n v="1"/>
    <s v="Medical"/>
    <n v="1"/>
    <n v="1358"/>
    <n v="4"/>
    <s v="Male"/>
    <n v="67"/>
    <n v="3"/>
    <n v="1"/>
    <x v="2"/>
    <n v="4"/>
    <s v="Married"/>
    <n v="3669"/>
    <n v="9075"/>
    <n v="3"/>
    <s v="Y"/>
    <s v="No"/>
    <n v="11"/>
    <n v="3"/>
    <n v="3"/>
    <n v="80"/>
    <n v="3"/>
    <n v="7"/>
    <n v="6"/>
    <n v="2"/>
    <n v="3"/>
    <n v="2"/>
    <x v="1"/>
    <n v="2"/>
    <s v="OK"/>
    <s v="OK"/>
    <s v="OK"/>
    <s v="OK"/>
    <n v="0.33333333333333331"/>
    <n v="0.66666666666666663"/>
    <n v="2"/>
    <n v="0.66666666666666663"/>
  </r>
  <r>
    <n v="58"/>
    <s v="Yes"/>
    <s v="Travel_Rarely"/>
    <n v="601"/>
    <s v="Research &amp; Development"/>
    <n v="7"/>
    <n v="4"/>
    <s v="Medical"/>
    <n v="1"/>
    <n v="1360"/>
    <n v="3"/>
    <s v="Female"/>
    <n v="53"/>
    <n v="2"/>
    <n v="3"/>
    <x v="3"/>
    <n v="1"/>
    <s v="Married"/>
    <n v="10008"/>
    <n v="12023"/>
    <n v="7"/>
    <s v="Y"/>
    <s v="Yes"/>
    <n v="14"/>
    <n v="3"/>
    <n v="4"/>
    <n v="80"/>
    <n v="0"/>
    <n v="31"/>
    <n v="0"/>
    <n v="2"/>
    <n v="10"/>
    <n v="9"/>
    <x v="8"/>
    <n v="9"/>
    <s v="OK"/>
    <s v="OK"/>
    <s v="OK"/>
    <s v="OK"/>
    <n v="0.5"/>
    <n v="0.9"/>
    <n v="0"/>
    <n v="0.9"/>
  </r>
  <r>
    <n v="40"/>
    <s v="No"/>
    <s v="Travel_Rarely"/>
    <n v="329"/>
    <s v="Research &amp; Development"/>
    <n v="1"/>
    <n v="4"/>
    <s v="Life Sciences"/>
    <n v="1"/>
    <n v="1361"/>
    <n v="2"/>
    <s v="Male"/>
    <n v="88"/>
    <n v="3"/>
    <n v="1"/>
    <x v="2"/>
    <n v="2"/>
    <s v="Married"/>
    <n v="2387"/>
    <n v="6762"/>
    <n v="3"/>
    <s v="Y"/>
    <s v="No"/>
    <n v="22"/>
    <n v="4"/>
    <n v="3"/>
    <n v="80"/>
    <n v="1"/>
    <n v="7"/>
    <n v="3"/>
    <n v="3"/>
    <n v="4"/>
    <n v="2"/>
    <x v="0"/>
    <n v="3"/>
    <s v="OK"/>
    <s v="OK"/>
    <s v="OK"/>
    <s v="OK"/>
    <n v="0"/>
    <n v="0.5"/>
    <n v="0.75"/>
    <n v="0.75"/>
  </r>
  <r>
    <n v="36"/>
    <s v="No"/>
    <s v="Travel_Frequently"/>
    <n v="607"/>
    <s v="Sales"/>
    <n v="7"/>
    <n v="3"/>
    <s v="Marketing"/>
    <n v="1"/>
    <n v="1362"/>
    <n v="1"/>
    <s v="Female"/>
    <n v="83"/>
    <n v="4"/>
    <n v="2"/>
    <x v="0"/>
    <n v="1"/>
    <s v="Married"/>
    <n v="4639"/>
    <n v="2261"/>
    <n v="2"/>
    <s v="Y"/>
    <s v="No"/>
    <n v="16"/>
    <n v="3"/>
    <n v="4"/>
    <n v="80"/>
    <n v="1"/>
    <n v="17"/>
    <n v="2"/>
    <n v="2"/>
    <n v="15"/>
    <n v="7"/>
    <x v="7"/>
    <n v="13"/>
    <s v="OK"/>
    <s v="OK"/>
    <s v="OK"/>
    <s v="OK"/>
    <n v="0.4"/>
    <n v="0.46666666666666667"/>
    <n v="0.13333333333333333"/>
    <n v="0.8666666666666667"/>
  </r>
  <r>
    <n v="48"/>
    <s v="No"/>
    <s v="Travel_Rarely"/>
    <n v="855"/>
    <s v="Research &amp; Development"/>
    <n v="4"/>
    <n v="3"/>
    <s v="Life Sciences"/>
    <n v="1"/>
    <n v="1363"/>
    <n v="4"/>
    <s v="Male"/>
    <n v="54"/>
    <n v="3"/>
    <n v="3"/>
    <x v="3"/>
    <n v="4"/>
    <s v="Single"/>
    <n v="7898"/>
    <n v="18706"/>
    <n v="1"/>
    <s v="Y"/>
    <s v="No"/>
    <n v="11"/>
    <n v="3"/>
    <n v="3"/>
    <n v="80"/>
    <n v="0"/>
    <n v="11"/>
    <n v="2"/>
    <n v="3"/>
    <n v="10"/>
    <n v="9"/>
    <x v="0"/>
    <n v="8"/>
    <s v="OK"/>
    <s v="OK"/>
    <s v="OK"/>
    <s v="OK"/>
    <n v="0"/>
    <n v="0.9"/>
    <n v="0.2"/>
    <n v="0.8"/>
  </r>
  <r>
    <n v="27"/>
    <s v="No"/>
    <s v="Travel_Rarely"/>
    <n v="1291"/>
    <s v="Sales"/>
    <n v="11"/>
    <n v="3"/>
    <s v="Medical"/>
    <n v="1"/>
    <n v="1364"/>
    <n v="3"/>
    <s v="Female"/>
    <n v="98"/>
    <n v="4"/>
    <n v="1"/>
    <x v="6"/>
    <n v="4"/>
    <s v="Married"/>
    <n v="2534"/>
    <n v="6527"/>
    <n v="8"/>
    <s v="Y"/>
    <s v="No"/>
    <n v="14"/>
    <n v="3"/>
    <n v="2"/>
    <n v="80"/>
    <n v="1"/>
    <n v="5"/>
    <n v="4"/>
    <n v="3"/>
    <n v="1"/>
    <n v="0"/>
    <x v="0"/>
    <n v="0"/>
    <s v="OK"/>
    <s v="OK"/>
    <s v="OK"/>
    <s v="OK"/>
    <n v="0"/>
    <n v="0"/>
    <n v="4"/>
    <n v="0"/>
  </r>
  <r>
    <n v="51"/>
    <s v="No"/>
    <s v="Travel_Rarely"/>
    <n v="1405"/>
    <s v="Research &amp; Development"/>
    <n v="11"/>
    <n v="2"/>
    <s v="Technical Degree"/>
    <n v="1"/>
    <n v="1367"/>
    <n v="4"/>
    <s v="Female"/>
    <n v="82"/>
    <n v="2"/>
    <n v="4"/>
    <x v="3"/>
    <n v="2"/>
    <s v="Single"/>
    <n v="13142"/>
    <n v="24439"/>
    <n v="3"/>
    <s v="Y"/>
    <s v="No"/>
    <n v="16"/>
    <n v="3"/>
    <n v="2"/>
    <n v="80"/>
    <n v="0"/>
    <n v="29"/>
    <n v="1"/>
    <n v="2"/>
    <n v="5"/>
    <n v="2"/>
    <x v="0"/>
    <n v="3"/>
    <s v="OK"/>
    <s v="OK"/>
    <s v="OK"/>
    <s v="OK"/>
    <n v="0"/>
    <n v="0.4"/>
    <n v="0.2"/>
    <n v="0.6"/>
  </r>
  <r>
    <n v="18"/>
    <s v="No"/>
    <s v="Non-Travel"/>
    <n v="1124"/>
    <s v="Research &amp; Development"/>
    <n v="1"/>
    <n v="3"/>
    <s v="Life Sciences"/>
    <n v="1"/>
    <n v="1368"/>
    <n v="4"/>
    <s v="Female"/>
    <n v="97"/>
    <n v="3"/>
    <n v="1"/>
    <x v="2"/>
    <n v="4"/>
    <s v="Single"/>
    <n v="1611"/>
    <n v="19305"/>
    <n v="1"/>
    <s v="Y"/>
    <s v="No"/>
    <n v="15"/>
    <n v="3"/>
    <n v="3"/>
    <n v="80"/>
    <n v="0"/>
    <n v="0"/>
    <n v="5"/>
    <n v="4"/>
    <n v="0"/>
    <n v="0"/>
    <x v="0"/>
    <n v="0"/>
    <s v="OK"/>
    <s v="OK"/>
    <s v="OK"/>
    <s v="OK"/>
    <n v="0"/>
    <n v="0"/>
    <n v="0"/>
    <n v="0"/>
  </r>
  <r>
    <n v="35"/>
    <s v="No"/>
    <s v="Travel_Rarely"/>
    <n v="817"/>
    <s v="Research &amp; Development"/>
    <n v="1"/>
    <n v="3"/>
    <s v="Medical"/>
    <n v="1"/>
    <n v="1369"/>
    <n v="4"/>
    <s v="Female"/>
    <n v="60"/>
    <n v="2"/>
    <n v="2"/>
    <x v="2"/>
    <n v="4"/>
    <s v="Married"/>
    <n v="5363"/>
    <n v="10846"/>
    <n v="0"/>
    <s v="Y"/>
    <s v="No"/>
    <n v="12"/>
    <n v="3"/>
    <n v="2"/>
    <n v="80"/>
    <n v="1"/>
    <n v="10"/>
    <n v="0"/>
    <n v="3"/>
    <n v="9"/>
    <n v="7"/>
    <x v="0"/>
    <n v="0"/>
    <s v="OK"/>
    <s v="OK"/>
    <s v="OK"/>
    <s v="OK"/>
    <n v="0"/>
    <n v="0.77777777777777779"/>
    <n v="0"/>
    <n v="0"/>
  </r>
  <r>
    <n v="27"/>
    <s v="No"/>
    <s v="Travel_Frequently"/>
    <n v="793"/>
    <s v="Sales"/>
    <n v="2"/>
    <n v="1"/>
    <s v="Life Sciences"/>
    <n v="1"/>
    <n v="1371"/>
    <n v="4"/>
    <s v="Male"/>
    <n v="43"/>
    <n v="1"/>
    <n v="2"/>
    <x v="0"/>
    <n v="4"/>
    <s v="Single"/>
    <n v="5071"/>
    <n v="20392"/>
    <n v="3"/>
    <s v="Y"/>
    <s v="No"/>
    <n v="20"/>
    <n v="4"/>
    <n v="2"/>
    <n v="80"/>
    <n v="0"/>
    <n v="8"/>
    <n v="3"/>
    <n v="3"/>
    <n v="6"/>
    <n v="2"/>
    <x v="0"/>
    <n v="0"/>
    <s v="OK"/>
    <s v="OK"/>
    <s v="OK"/>
    <s v="OK"/>
    <n v="0"/>
    <n v="0.33333333333333331"/>
    <n v="0.5"/>
    <n v="0"/>
  </r>
  <r>
    <n v="55"/>
    <s v="Yes"/>
    <s v="Travel_Rarely"/>
    <n v="267"/>
    <s v="Sales"/>
    <n v="13"/>
    <n v="4"/>
    <s v="Marketing"/>
    <n v="1"/>
    <n v="1372"/>
    <n v="1"/>
    <s v="Male"/>
    <n v="85"/>
    <n v="4"/>
    <n v="4"/>
    <x v="0"/>
    <n v="3"/>
    <s v="Single"/>
    <n v="13695"/>
    <n v="9277"/>
    <n v="6"/>
    <s v="Y"/>
    <s v="Yes"/>
    <n v="17"/>
    <n v="3"/>
    <n v="3"/>
    <n v="80"/>
    <n v="0"/>
    <n v="24"/>
    <n v="2"/>
    <n v="2"/>
    <n v="19"/>
    <n v="7"/>
    <x v="2"/>
    <n v="8"/>
    <s v="OK"/>
    <s v="OK"/>
    <s v="OK"/>
    <s v="OK"/>
    <n v="0.15789473684210525"/>
    <n v="0.36842105263157893"/>
    <n v="0.10526315789473684"/>
    <n v="0.42105263157894735"/>
  </r>
  <r>
    <n v="56"/>
    <s v="No"/>
    <s v="Travel_Rarely"/>
    <n v="1369"/>
    <s v="Research &amp; Development"/>
    <n v="23"/>
    <n v="3"/>
    <s v="Life Sciences"/>
    <n v="1"/>
    <n v="1373"/>
    <n v="4"/>
    <s v="Male"/>
    <n v="68"/>
    <n v="3"/>
    <n v="4"/>
    <x v="3"/>
    <n v="2"/>
    <s v="Married"/>
    <n v="13402"/>
    <n v="18235"/>
    <n v="4"/>
    <s v="Y"/>
    <s v="Yes"/>
    <n v="12"/>
    <n v="3"/>
    <n v="1"/>
    <n v="80"/>
    <n v="1"/>
    <n v="33"/>
    <n v="0"/>
    <n v="3"/>
    <n v="19"/>
    <n v="16"/>
    <x v="9"/>
    <n v="9"/>
    <s v="OK"/>
    <s v="OK"/>
    <s v="OK"/>
    <s v="OK"/>
    <n v="0.78947368421052633"/>
    <n v="0.84210526315789469"/>
    <n v="0"/>
    <n v="0.47368421052631576"/>
  </r>
  <r>
    <n v="34"/>
    <s v="No"/>
    <s v="Non-Travel"/>
    <n v="999"/>
    <s v="Research &amp; Development"/>
    <n v="26"/>
    <n v="1"/>
    <s v="Technical Degree"/>
    <n v="1"/>
    <n v="1374"/>
    <n v="1"/>
    <s v="Female"/>
    <n v="92"/>
    <n v="2"/>
    <n v="1"/>
    <x v="1"/>
    <n v="3"/>
    <s v="Divorced"/>
    <n v="2029"/>
    <n v="15891"/>
    <n v="1"/>
    <s v="Y"/>
    <s v="No"/>
    <n v="20"/>
    <n v="4"/>
    <n v="3"/>
    <n v="80"/>
    <n v="3"/>
    <n v="5"/>
    <n v="2"/>
    <n v="3"/>
    <n v="5"/>
    <n v="4"/>
    <x v="0"/>
    <n v="0"/>
    <s v="OK"/>
    <s v="OK"/>
    <s v="OK"/>
    <s v="OK"/>
    <n v="0"/>
    <n v="0.8"/>
    <n v="0.4"/>
    <n v="0"/>
  </r>
  <r>
    <n v="40"/>
    <s v="No"/>
    <s v="Travel_Rarely"/>
    <n v="1202"/>
    <s v="Research &amp; Development"/>
    <n v="2"/>
    <n v="1"/>
    <s v="Medical"/>
    <n v="1"/>
    <n v="1375"/>
    <n v="2"/>
    <s v="Female"/>
    <n v="89"/>
    <n v="4"/>
    <n v="2"/>
    <x v="4"/>
    <n v="3"/>
    <s v="Divorced"/>
    <n v="6377"/>
    <n v="13888"/>
    <n v="5"/>
    <s v="Y"/>
    <s v="No"/>
    <n v="20"/>
    <n v="4"/>
    <n v="2"/>
    <n v="80"/>
    <n v="3"/>
    <n v="15"/>
    <n v="0"/>
    <n v="3"/>
    <n v="12"/>
    <n v="11"/>
    <x v="14"/>
    <n v="8"/>
    <s v="OK"/>
    <s v="OK"/>
    <s v="OK"/>
    <s v="OK"/>
    <n v="0.91666666666666663"/>
    <n v="0.91666666666666663"/>
    <n v="0"/>
    <n v="0.66666666666666663"/>
  </r>
  <r>
    <n v="34"/>
    <s v="No"/>
    <s v="Travel_Rarely"/>
    <n v="285"/>
    <s v="Research &amp; Development"/>
    <n v="29"/>
    <n v="3"/>
    <s v="Medical"/>
    <n v="1"/>
    <n v="1377"/>
    <n v="2"/>
    <s v="Male"/>
    <n v="86"/>
    <n v="3"/>
    <n v="2"/>
    <x v="2"/>
    <n v="3"/>
    <s v="Married"/>
    <n v="5429"/>
    <n v="17491"/>
    <n v="4"/>
    <s v="Y"/>
    <s v="No"/>
    <n v="13"/>
    <n v="3"/>
    <n v="1"/>
    <n v="80"/>
    <n v="2"/>
    <n v="10"/>
    <n v="1"/>
    <n v="3"/>
    <n v="8"/>
    <n v="7"/>
    <x v="4"/>
    <n v="7"/>
    <s v="OK"/>
    <s v="OK"/>
    <s v="OK"/>
    <s v="OK"/>
    <n v="0.875"/>
    <n v="0.875"/>
    <n v="0.125"/>
    <n v="0.875"/>
  </r>
  <r>
    <n v="31"/>
    <s v="Yes"/>
    <s v="Travel_Frequently"/>
    <n v="703"/>
    <s v="Sales"/>
    <n v="2"/>
    <n v="3"/>
    <s v="Life Sciences"/>
    <n v="1"/>
    <n v="1379"/>
    <n v="3"/>
    <s v="Female"/>
    <n v="90"/>
    <n v="2"/>
    <n v="1"/>
    <x v="6"/>
    <n v="4"/>
    <s v="Single"/>
    <n v="2785"/>
    <n v="11882"/>
    <n v="7"/>
    <s v="Y"/>
    <s v="No"/>
    <n v="14"/>
    <n v="3"/>
    <n v="3"/>
    <n v="80"/>
    <n v="0"/>
    <n v="3"/>
    <n v="3"/>
    <n v="4"/>
    <n v="1"/>
    <n v="0"/>
    <x v="0"/>
    <n v="0"/>
    <s v="OK"/>
    <s v="OK"/>
    <s v="OK"/>
    <s v="OK"/>
    <n v="0"/>
    <n v="0"/>
    <n v="3"/>
    <n v="0"/>
  </r>
  <r>
    <n v="35"/>
    <s v="Yes"/>
    <s v="Travel_Frequently"/>
    <n v="662"/>
    <s v="Sales"/>
    <n v="18"/>
    <n v="4"/>
    <s v="Marketing"/>
    <n v="1"/>
    <n v="1380"/>
    <n v="4"/>
    <s v="Female"/>
    <n v="67"/>
    <n v="3"/>
    <n v="2"/>
    <x v="0"/>
    <n v="3"/>
    <s v="Married"/>
    <n v="4614"/>
    <n v="23288"/>
    <n v="0"/>
    <s v="Y"/>
    <s v="Yes"/>
    <n v="18"/>
    <n v="3"/>
    <n v="3"/>
    <n v="80"/>
    <n v="1"/>
    <n v="5"/>
    <n v="0"/>
    <n v="2"/>
    <n v="4"/>
    <n v="2"/>
    <x v="2"/>
    <n v="2"/>
    <s v="OK"/>
    <s v="OK"/>
    <s v="OK"/>
    <s v="OK"/>
    <n v="0.75"/>
    <n v="0.5"/>
    <n v="0"/>
    <n v="0.5"/>
  </r>
  <r>
    <n v="38"/>
    <s v="No"/>
    <s v="Travel_Frequently"/>
    <n v="693"/>
    <s v="Research &amp; Development"/>
    <n v="7"/>
    <n v="3"/>
    <s v="Life Sciences"/>
    <n v="1"/>
    <n v="1382"/>
    <n v="4"/>
    <s v="Male"/>
    <n v="57"/>
    <n v="4"/>
    <n v="1"/>
    <x v="1"/>
    <n v="3"/>
    <s v="Divorced"/>
    <n v="2610"/>
    <n v="15748"/>
    <n v="1"/>
    <s v="Y"/>
    <s v="No"/>
    <n v="11"/>
    <n v="3"/>
    <n v="4"/>
    <n v="80"/>
    <n v="3"/>
    <n v="4"/>
    <n v="2"/>
    <n v="3"/>
    <n v="4"/>
    <n v="2"/>
    <x v="0"/>
    <n v="3"/>
    <s v="OK"/>
    <s v="OK"/>
    <s v="OK"/>
    <s v="OK"/>
    <n v="0"/>
    <n v="0.5"/>
    <n v="0.5"/>
    <n v="0.75"/>
  </r>
  <r>
    <n v="34"/>
    <s v="No"/>
    <s v="Travel_Rarely"/>
    <n v="404"/>
    <s v="Research &amp; Development"/>
    <n v="2"/>
    <n v="4"/>
    <s v="Technical Degree"/>
    <n v="1"/>
    <n v="1383"/>
    <n v="3"/>
    <s v="Female"/>
    <n v="98"/>
    <n v="3"/>
    <n v="2"/>
    <x v="4"/>
    <n v="4"/>
    <s v="Single"/>
    <n v="6687"/>
    <n v="6163"/>
    <n v="1"/>
    <s v="Y"/>
    <s v="No"/>
    <n v="11"/>
    <n v="3"/>
    <n v="4"/>
    <n v="80"/>
    <n v="0"/>
    <n v="14"/>
    <n v="2"/>
    <n v="4"/>
    <n v="14"/>
    <n v="11"/>
    <x v="5"/>
    <n v="11"/>
    <s v="OK"/>
    <s v="OK"/>
    <s v="OK"/>
    <s v="OK"/>
    <n v="0.2857142857142857"/>
    <n v="0.7857142857142857"/>
    <n v="0.14285714285714285"/>
    <n v="0.7857142857142857"/>
  </r>
  <r>
    <n v="28"/>
    <s v="No"/>
    <s v="Travel_Rarely"/>
    <n v="736"/>
    <s v="Sales"/>
    <n v="26"/>
    <n v="3"/>
    <s v="Life Sciences"/>
    <n v="1"/>
    <n v="1387"/>
    <n v="3"/>
    <s v="Male"/>
    <n v="48"/>
    <n v="2"/>
    <n v="2"/>
    <x v="0"/>
    <n v="1"/>
    <s v="Married"/>
    <n v="4724"/>
    <n v="24232"/>
    <n v="1"/>
    <s v="Y"/>
    <s v="No"/>
    <n v="11"/>
    <n v="3"/>
    <n v="3"/>
    <n v="80"/>
    <n v="1"/>
    <n v="5"/>
    <n v="0"/>
    <n v="3"/>
    <n v="5"/>
    <n v="3"/>
    <x v="0"/>
    <n v="4"/>
    <s v="OK"/>
    <s v="OK"/>
    <s v="OK"/>
    <s v="OK"/>
    <n v="0"/>
    <n v="0.6"/>
    <n v="0"/>
    <n v="0.8"/>
  </r>
  <r>
    <n v="31"/>
    <s v="Yes"/>
    <s v="Travel_Rarely"/>
    <n v="330"/>
    <s v="Research &amp; Development"/>
    <n v="22"/>
    <n v="4"/>
    <s v="Medical"/>
    <n v="1"/>
    <n v="1389"/>
    <n v="4"/>
    <s v="Male"/>
    <n v="98"/>
    <n v="3"/>
    <n v="2"/>
    <x v="3"/>
    <n v="3"/>
    <s v="Married"/>
    <n v="6179"/>
    <n v="21057"/>
    <n v="1"/>
    <s v="Y"/>
    <s v="Yes"/>
    <n v="15"/>
    <n v="3"/>
    <n v="4"/>
    <n v="80"/>
    <n v="2"/>
    <n v="10"/>
    <n v="3"/>
    <n v="2"/>
    <n v="10"/>
    <n v="2"/>
    <x v="7"/>
    <n v="7"/>
    <s v="OK"/>
    <s v="OK"/>
    <s v="OK"/>
    <s v="OK"/>
    <n v="0.6"/>
    <n v="0.2"/>
    <n v="0.3"/>
    <n v="0.7"/>
  </r>
  <r>
    <n v="39"/>
    <s v="No"/>
    <s v="Travel_Rarely"/>
    <n v="1498"/>
    <s v="Sales"/>
    <n v="21"/>
    <n v="4"/>
    <s v="Life Sciences"/>
    <n v="1"/>
    <n v="1390"/>
    <n v="1"/>
    <s v="Male"/>
    <n v="44"/>
    <n v="2"/>
    <n v="2"/>
    <x v="0"/>
    <n v="4"/>
    <s v="Married"/>
    <n v="6120"/>
    <n v="3567"/>
    <n v="3"/>
    <s v="Y"/>
    <s v="Yes"/>
    <n v="12"/>
    <n v="3"/>
    <n v="4"/>
    <n v="80"/>
    <n v="2"/>
    <n v="8"/>
    <n v="2"/>
    <n v="4"/>
    <n v="5"/>
    <n v="4"/>
    <x v="1"/>
    <n v="4"/>
    <s v="OK"/>
    <s v="OK"/>
    <s v="OK"/>
    <s v="OK"/>
    <n v="0.2"/>
    <n v="0.8"/>
    <n v="0.4"/>
    <n v="0.8"/>
  </r>
  <r>
    <n v="51"/>
    <s v="No"/>
    <s v="Travel_Frequently"/>
    <n v="541"/>
    <s v="Sales"/>
    <n v="2"/>
    <n v="3"/>
    <s v="Marketing"/>
    <n v="1"/>
    <n v="1391"/>
    <n v="2"/>
    <s v="Male"/>
    <n v="52"/>
    <n v="3"/>
    <n v="3"/>
    <x v="0"/>
    <n v="2"/>
    <s v="Married"/>
    <n v="10596"/>
    <n v="15395"/>
    <n v="2"/>
    <s v="Y"/>
    <s v="No"/>
    <n v="11"/>
    <n v="3"/>
    <n v="2"/>
    <n v="80"/>
    <n v="0"/>
    <n v="14"/>
    <n v="5"/>
    <n v="3"/>
    <n v="4"/>
    <n v="2"/>
    <x v="2"/>
    <n v="2"/>
    <s v="OK"/>
    <s v="OK"/>
    <s v="OK"/>
    <s v="OK"/>
    <n v="0.75"/>
    <n v="0.5"/>
    <n v="1.25"/>
    <n v="0.5"/>
  </r>
  <r>
    <n v="41"/>
    <s v="No"/>
    <s v="Travel_Frequently"/>
    <n v="1200"/>
    <s v="Research &amp; Development"/>
    <n v="22"/>
    <n v="3"/>
    <s v="Life Sciences"/>
    <n v="1"/>
    <n v="1392"/>
    <n v="4"/>
    <s v="Female"/>
    <n v="75"/>
    <n v="3"/>
    <n v="2"/>
    <x v="1"/>
    <n v="4"/>
    <s v="Divorced"/>
    <n v="5467"/>
    <n v="13953"/>
    <n v="3"/>
    <s v="Y"/>
    <s v="Yes"/>
    <n v="14"/>
    <n v="3"/>
    <n v="1"/>
    <n v="80"/>
    <n v="2"/>
    <n v="12"/>
    <n v="4"/>
    <n v="2"/>
    <n v="6"/>
    <n v="2"/>
    <x v="2"/>
    <n v="3"/>
    <s v="OK"/>
    <s v="OK"/>
    <s v="OK"/>
    <s v="OK"/>
    <n v="0.5"/>
    <n v="0.33333333333333331"/>
    <n v="0.66666666666666663"/>
    <n v="0.5"/>
  </r>
  <r>
    <n v="37"/>
    <s v="No"/>
    <s v="Travel_Rarely"/>
    <n v="1439"/>
    <s v="Research &amp; Development"/>
    <n v="4"/>
    <n v="1"/>
    <s v="Life Sciences"/>
    <n v="1"/>
    <n v="1394"/>
    <n v="3"/>
    <s v="Male"/>
    <n v="54"/>
    <n v="3"/>
    <n v="1"/>
    <x v="1"/>
    <n v="3"/>
    <s v="Married"/>
    <n v="2996"/>
    <n v="5182"/>
    <n v="7"/>
    <s v="Y"/>
    <s v="Yes"/>
    <n v="15"/>
    <n v="3"/>
    <n v="4"/>
    <n v="80"/>
    <n v="0"/>
    <n v="8"/>
    <n v="2"/>
    <n v="3"/>
    <n v="6"/>
    <n v="4"/>
    <x v="1"/>
    <n v="3"/>
    <s v="OK"/>
    <s v="OK"/>
    <s v="OK"/>
    <s v="OK"/>
    <n v="0.16666666666666666"/>
    <n v="0.66666666666666663"/>
    <n v="0.33333333333333331"/>
    <n v="0.5"/>
  </r>
  <r>
    <n v="33"/>
    <s v="No"/>
    <s v="Travel_Frequently"/>
    <n v="1111"/>
    <s v="Sales"/>
    <n v="5"/>
    <n v="1"/>
    <s v="Life Sciences"/>
    <n v="1"/>
    <n v="1395"/>
    <n v="2"/>
    <s v="Male"/>
    <n v="61"/>
    <n v="3"/>
    <n v="2"/>
    <x v="0"/>
    <n v="4"/>
    <s v="Married"/>
    <n v="9998"/>
    <n v="19293"/>
    <n v="6"/>
    <s v="Y"/>
    <s v="No"/>
    <n v="13"/>
    <n v="3"/>
    <n v="1"/>
    <n v="80"/>
    <n v="0"/>
    <n v="8"/>
    <n v="2"/>
    <n v="4"/>
    <n v="5"/>
    <n v="4"/>
    <x v="1"/>
    <n v="2"/>
    <s v="OK"/>
    <s v="OK"/>
    <s v="OK"/>
    <s v="OK"/>
    <n v="0.2"/>
    <n v="0.8"/>
    <n v="0.4"/>
    <n v="0.4"/>
  </r>
  <r>
    <n v="32"/>
    <s v="No"/>
    <s v="Travel_Rarely"/>
    <n v="499"/>
    <s v="Sales"/>
    <n v="2"/>
    <n v="1"/>
    <s v="Marketing"/>
    <n v="1"/>
    <n v="1396"/>
    <n v="3"/>
    <s v="Male"/>
    <n v="36"/>
    <n v="3"/>
    <n v="2"/>
    <x v="0"/>
    <n v="2"/>
    <s v="Married"/>
    <n v="4078"/>
    <n v="20497"/>
    <n v="0"/>
    <s v="Y"/>
    <s v="Yes"/>
    <n v="13"/>
    <n v="3"/>
    <n v="1"/>
    <n v="80"/>
    <n v="3"/>
    <n v="4"/>
    <n v="3"/>
    <n v="2"/>
    <n v="3"/>
    <n v="2"/>
    <x v="1"/>
    <n v="2"/>
    <s v="OK"/>
    <s v="OK"/>
    <s v="OK"/>
    <s v="OK"/>
    <n v="0.33333333333333331"/>
    <n v="0.66666666666666663"/>
    <n v="1"/>
    <n v="0.66666666666666663"/>
  </r>
  <r>
    <n v="39"/>
    <s v="No"/>
    <s v="Non-Travel"/>
    <n v="1485"/>
    <s v="Research &amp; Development"/>
    <n v="25"/>
    <n v="2"/>
    <s v="Life Sciences"/>
    <n v="1"/>
    <n v="1397"/>
    <n v="3"/>
    <s v="Male"/>
    <n v="71"/>
    <n v="3"/>
    <n v="3"/>
    <x v="4"/>
    <n v="3"/>
    <s v="Married"/>
    <n v="10920"/>
    <n v="3449"/>
    <n v="3"/>
    <s v="Y"/>
    <s v="No"/>
    <n v="21"/>
    <n v="4"/>
    <n v="2"/>
    <n v="80"/>
    <n v="1"/>
    <n v="13"/>
    <n v="2"/>
    <n v="3"/>
    <n v="6"/>
    <n v="4"/>
    <x v="0"/>
    <n v="5"/>
    <s v="OK"/>
    <s v="OK"/>
    <s v="OK"/>
    <s v="OK"/>
    <n v="0"/>
    <n v="0.66666666666666663"/>
    <n v="0.33333333333333331"/>
    <n v="0.83333333333333337"/>
  </r>
  <r>
    <n v="25"/>
    <s v="No"/>
    <s v="Travel_Rarely"/>
    <n v="1372"/>
    <s v="Sales"/>
    <n v="18"/>
    <n v="1"/>
    <s v="Life Sciences"/>
    <n v="1"/>
    <n v="1399"/>
    <n v="1"/>
    <s v="Male"/>
    <n v="93"/>
    <n v="4"/>
    <n v="2"/>
    <x v="0"/>
    <n v="3"/>
    <s v="Married"/>
    <n v="6232"/>
    <n v="12477"/>
    <n v="2"/>
    <s v="Y"/>
    <s v="No"/>
    <n v="11"/>
    <n v="3"/>
    <n v="2"/>
    <n v="80"/>
    <n v="0"/>
    <n v="6"/>
    <n v="3"/>
    <n v="2"/>
    <n v="3"/>
    <n v="2"/>
    <x v="1"/>
    <n v="2"/>
    <s v="OK"/>
    <s v="OK"/>
    <s v="OK"/>
    <s v="OK"/>
    <n v="0.33333333333333331"/>
    <n v="0.66666666666666663"/>
    <n v="1"/>
    <n v="0.66666666666666663"/>
  </r>
  <r>
    <n v="52"/>
    <s v="No"/>
    <s v="Travel_Frequently"/>
    <n v="322"/>
    <s v="Research &amp; Development"/>
    <n v="28"/>
    <n v="2"/>
    <s v="Medical"/>
    <n v="1"/>
    <n v="1401"/>
    <n v="4"/>
    <s v="Female"/>
    <n v="59"/>
    <n v="4"/>
    <n v="4"/>
    <x v="3"/>
    <n v="3"/>
    <s v="Married"/>
    <n v="13247"/>
    <n v="9731"/>
    <n v="2"/>
    <s v="Y"/>
    <s v="Yes"/>
    <n v="11"/>
    <n v="3"/>
    <n v="2"/>
    <n v="80"/>
    <n v="1"/>
    <n v="24"/>
    <n v="3"/>
    <n v="2"/>
    <n v="5"/>
    <n v="3"/>
    <x v="0"/>
    <n v="2"/>
    <s v="OK"/>
    <s v="OK"/>
    <s v="OK"/>
    <s v="OK"/>
    <n v="0"/>
    <n v="0.6"/>
    <n v="0.6"/>
    <n v="0.4"/>
  </r>
  <r>
    <n v="43"/>
    <s v="No"/>
    <s v="Travel_Rarely"/>
    <n v="930"/>
    <s v="Research &amp; Development"/>
    <n v="6"/>
    <n v="3"/>
    <s v="Medical"/>
    <n v="1"/>
    <n v="1402"/>
    <n v="1"/>
    <s v="Female"/>
    <n v="73"/>
    <n v="2"/>
    <n v="2"/>
    <x v="1"/>
    <n v="3"/>
    <s v="Single"/>
    <n v="4081"/>
    <n v="20003"/>
    <n v="1"/>
    <s v="Y"/>
    <s v="Yes"/>
    <n v="14"/>
    <n v="3"/>
    <n v="1"/>
    <n v="80"/>
    <n v="0"/>
    <n v="20"/>
    <n v="3"/>
    <n v="1"/>
    <n v="20"/>
    <n v="7"/>
    <x v="1"/>
    <n v="8"/>
    <s v="OK"/>
    <s v="OK"/>
    <s v="OK"/>
    <s v="OK"/>
    <n v="0.05"/>
    <n v="0.35"/>
    <n v="0.15"/>
    <n v="0.4"/>
  </r>
  <r>
    <n v="27"/>
    <s v="No"/>
    <s v="Travel_Rarely"/>
    <n v="205"/>
    <s v="Sales"/>
    <n v="10"/>
    <n v="3"/>
    <s v="Marketing"/>
    <n v="1"/>
    <n v="1403"/>
    <n v="4"/>
    <s v="Female"/>
    <n v="98"/>
    <n v="2"/>
    <n v="2"/>
    <x v="0"/>
    <n v="4"/>
    <s v="Married"/>
    <n v="5769"/>
    <n v="7100"/>
    <n v="1"/>
    <s v="Y"/>
    <s v="Yes"/>
    <n v="11"/>
    <n v="3"/>
    <n v="4"/>
    <n v="80"/>
    <n v="0"/>
    <n v="6"/>
    <n v="3"/>
    <n v="3"/>
    <n v="6"/>
    <n v="2"/>
    <x v="5"/>
    <n v="4"/>
    <s v="OK"/>
    <s v="OK"/>
    <s v="OK"/>
    <s v="OK"/>
    <n v="0.66666666666666663"/>
    <n v="0.33333333333333331"/>
    <n v="0.5"/>
    <n v="0.66666666666666663"/>
  </r>
  <r>
    <n v="27"/>
    <s v="Yes"/>
    <s v="Travel_Rarely"/>
    <n v="135"/>
    <s v="Research &amp; Development"/>
    <n v="17"/>
    <n v="4"/>
    <s v="Life Sciences"/>
    <n v="1"/>
    <n v="1405"/>
    <n v="4"/>
    <s v="Female"/>
    <n v="51"/>
    <n v="3"/>
    <n v="1"/>
    <x v="1"/>
    <n v="3"/>
    <s v="Single"/>
    <n v="2394"/>
    <n v="25681"/>
    <n v="1"/>
    <s v="Y"/>
    <s v="Yes"/>
    <n v="13"/>
    <n v="3"/>
    <n v="4"/>
    <n v="80"/>
    <n v="0"/>
    <n v="8"/>
    <n v="2"/>
    <n v="3"/>
    <n v="8"/>
    <n v="2"/>
    <x v="4"/>
    <n v="7"/>
    <s v="OK"/>
    <s v="OK"/>
    <s v="OK"/>
    <s v="OK"/>
    <n v="0.875"/>
    <n v="0.25"/>
    <n v="0.25"/>
    <n v="0.875"/>
  </r>
  <r>
    <n v="26"/>
    <s v="No"/>
    <s v="Travel_Rarely"/>
    <n v="683"/>
    <s v="Research &amp; Development"/>
    <n v="2"/>
    <n v="1"/>
    <s v="Medical"/>
    <n v="1"/>
    <n v="1407"/>
    <n v="1"/>
    <s v="Male"/>
    <n v="36"/>
    <n v="2"/>
    <n v="1"/>
    <x v="1"/>
    <n v="4"/>
    <s v="Single"/>
    <n v="3904"/>
    <n v="4050"/>
    <n v="0"/>
    <s v="Y"/>
    <s v="No"/>
    <n v="12"/>
    <n v="3"/>
    <n v="4"/>
    <n v="80"/>
    <n v="0"/>
    <n v="5"/>
    <n v="2"/>
    <n v="3"/>
    <n v="4"/>
    <n v="3"/>
    <x v="1"/>
    <n v="1"/>
    <s v="OK"/>
    <s v="OK"/>
    <s v="OK"/>
    <s v="OK"/>
    <n v="0.25"/>
    <n v="0.75"/>
    <n v="0.5"/>
    <n v="0.25"/>
  </r>
  <r>
    <n v="42"/>
    <s v="No"/>
    <s v="Travel_Rarely"/>
    <n v="1147"/>
    <s v="Human Resources"/>
    <n v="10"/>
    <n v="3"/>
    <s v="Human Resources"/>
    <n v="1"/>
    <n v="1408"/>
    <n v="3"/>
    <s v="Female"/>
    <n v="31"/>
    <n v="3"/>
    <n v="4"/>
    <x v="5"/>
    <n v="1"/>
    <s v="Married"/>
    <n v="16799"/>
    <n v="16616"/>
    <n v="0"/>
    <s v="Y"/>
    <s v="No"/>
    <n v="14"/>
    <n v="3"/>
    <n v="3"/>
    <n v="80"/>
    <n v="1"/>
    <n v="21"/>
    <n v="5"/>
    <n v="3"/>
    <n v="20"/>
    <n v="7"/>
    <x v="0"/>
    <n v="9"/>
    <s v="OK"/>
    <s v="OK"/>
    <s v="OK"/>
    <s v="OK"/>
    <n v="0"/>
    <n v="0.35"/>
    <n v="0.25"/>
    <n v="0.45"/>
  </r>
  <r>
    <n v="52"/>
    <s v="No"/>
    <s v="Travel_Rarely"/>
    <n v="258"/>
    <s v="Research &amp; Development"/>
    <n v="8"/>
    <n v="4"/>
    <s v="Other"/>
    <n v="1"/>
    <n v="1409"/>
    <n v="3"/>
    <s v="Female"/>
    <n v="54"/>
    <n v="3"/>
    <n v="1"/>
    <x v="2"/>
    <n v="1"/>
    <s v="Married"/>
    <n v="2950"/>
    <n v="17363"/>
    <n v="9"/>
    <s v="Y"/>
    <s v="No"/>
    <n v="13"/>
    <n v="3"/>
    <n v="3"/>
    <n v="80"/>
    <n v="0"/>
    <n v="12"/>
    <n v="2"/>
    <n v="1"/>
    <n v="5"/>
    <n v="4"/>
    <x v="0"/>
    <n v="4"/>
    <s v="OK"/>
    <s v="OK"/>
    <s v="OK"/>
    <s v="OK"/>
    <n v="0"/>
    <n v="0.8"/>
    <n v="0.4"/>
    <n v="0.8"/>
  </r>
  <r>
    <n v="37"/>
    <s v="No"/>
    <s v="Travel_Rarely"/>
    <n v="1462"/>
    <s v="Research &amp; Development"/>
    <n v="11"/>
    <n v="3"/>
    <s v="Medical"/>
    <n v="1"/>
    <n v="1411"/>
    <n v="1"/>
    <s v="Female"/>
    <n v="94"/>
    <n v="3"/>
    <n v="1"/>
    <x v="2"/>
    <n v="3"/>
    <s v="Single"/>
    <n v="3629"/>
    <n v="19106"/>
    <n v="4"/>
    <s v="Y"/>
    <s v="No"/>
    <n v="18"/>
    <n v="3"/>
    <n v="1"/>
    <n v="80"/>
    <n v="0"/>
    <n v="8"/>
    <n v="6"/>
    <n v="3"/>
    <n v="3"/>
    <n v="2"/>
    <x v="0"/>
    <n v="2"/>
    <s v="OK"/>
    <s v="OK"/>
    <s v="OK"/>
    <s v="OK"/>
    <n v="0"/>
    <n v="0.66666666666666663"/>
    <n v="2"/>
    <n v="0.66666666666666663"/>
  </r>
  <r>
    <n v="35"/>
    <s v="No"/>
    <s v="Travel_Frequently"/>
    <n v="200"/>
    <s v="Research &amp; Development"/>
    <n v="18"/>
    <n v="2"/>
    <s v="Life Sciences"/>
    <n v="1"/>
    <n v="1412"/>
    <n v="3"/>
    <s v="Male"/>
    <n v="60"/>
    <n v="3"/>
    <n v="3"/>
    <x v="3"/>
    <n v="4"/>
    <s v="Single"/>
    <n v="9362"/>
    <n v="19944"/>
    <n v="2"/>
    <s v="Y"/>
    <s v="No"/>
    <n v="11"/>
    <n v="3"/>
    <n v="3"/>
    <n v="80"/>
    <n v="0"/>
    <n v="10"/>
    <n v="2"/>
    <n v="3"/>
    <n v="2"/>
    <n v="2"/>
    <x v="3"/>
    <n v="2"/>
    <s v="OK"/>
    <s v="OK"/>
    <s v="OK"/>
    <s v="OK"/>
    <n v="1"/>
    <n v="1"/>
    <n v="1"/>
    <n v="1"/>
  </r>
  <r>
    <n v="25"/>
    <s v="No"/>
    <s v="Travel_Rarely"/>
    <n v="949"/>
    <s v="Research &amp; Development"/>
    <n v="1"/>
    <n v="3"/>
    <s v="Technical Degree"/>
    <n v="1"/>
    <n v="1415"/>
    <n v="1"/>
    <s v="Male"/>
    <n v="81"/>
    <n v="3"/>
    <n v="1"/>
    <x v="2"/>
    <n v="4"/>
    <s v="Married"/>
    <n v="3229"/>
    <n v="4910"/>
    <n v="4"/>
    <s v="Y"/>
    <s v="No"/>
    <n v="11"/>
    <n v="3"/>
    <n v="2"/>
    <n v="80"/>
    <n v="1"/>
    <n v="7"/>
    <n v="2"/>
    <n v="2"/>
    <n v="3"/>
    <n v="2"/>
    <x v="0"/>
    <n v="2"/>
    <s v="OK"/>
    <s v="OK"/>
    <s v="OK"/>
    <s v="OK"/>
    <n v="0"/>
    <n v="0.66666666666666663"/>
    <n v="0.66666666666666663"/>
    <n v="0.66666666666666663"/>
  </r>
  <r>
    <n v="26"/>
    <s v="No"/>
    <s v="Travel_Rarely"/>
    <n v="652"/>
    <s v="Research &amp; Development"/>
    <n v="7"/>
    <n v="3"/>
    <s v="Other"/>
    <n v="1"/>
    <n v="1417"/>
    <n v="3"/>
    <s v="Male"/>
    <n v="100"/>
    <n v="4"/>
    <n v="1"/>
    <x v="2"/>
    <n v="1"/>
    <s v="Single"/>
    <n v="3578"/>
    <n v="23577"/>
    <n v="0"/>
    <s v="Y"/>
    <s v="No"/>
    <n v="12"/>
    <n v="3"/>
    <n v="4"/>
    <n v="80"/>
    <n v="0"/>
    <n v="8"/>
    <n v="2"/>
    <n v="3"/>
    <n v="7"/>
    <n v="7"/>
    <x v="0"/>
    <n v="7"/>
    <s v="OK"/>
    <s v="OK"/>
    <s v="OK"/>
    <s v="OK"/>
    <n v="0"/>
    <n v="1"/>
    <n v="0.2857142857142857"/>
    <n v="1"/>
  </r>
  <r>
    <n v="29"/>
    <s v="No"/>
    <s v="Travel_Rarely"/>
    <n v="332"/>
    <s v="Human Resources"/>
    <n v="17"/>
    <n v="3"/>
    <s v="Other"/>
    <n v="1"/>
    <n v="1419"/>
    <n v="2"/>
    <s v="Male"/>
    <n v="51"/>
    <n v="2"/>
    <n v="3"/>
    <x v="8"/>
    <n v="1"/>
    <s v="Single"/>
    <n v="7988"/>
    <n v="9769"/>
    <n v="1"/>
    <s v="Y"/>
    <s v="No"/>
    <n v="13"/>
    <n v="3"/>
    <n v="1"/>
    <n v="80"/>
    <n v="0"/>
    <n v="10"/>
    <n v="3"/>
    <n v="2"/>
    <n v="10"/>
    <n v="9"/>
    <x v="0"/>
    <n v="9"/>
    <s v="OK"/>
    <s v="OK"/>
    <s v="OK"/>
    <s v="OK"/>
    <n v="0"/>
    <n v="0.9"/>
    <n v="0.3"/>
    <n v="0.9"/>
  </r>
  <r>
    <n v="49"/>
    <s v="Yes"/>
    <s v="Travel_Frequently"/>
    <n v="1475"/>
    <s v="Research &amp; Development"/>
    <n v="28"/>
    <n v="2"/>
    <s v="Life Sciences"/>
    <n v="1"/>
    <n v="1420"/>
    <n v="1"/>
    <s v="Male"/>
    <n v="97"/>
    <n v="2"/>
    <n v="2"/>
    <x v="2"/>
    <n v="1"/>
    <s v="Single"/>
    <n v="4284"/>
    <n v="22710"/>
    <n v="3"/>
    <s v="Y"/>
    <s v="No"/>
    <n v="20"/>
    <n v="4"/>
    <n v="1"/>
    <n v="80"/>
    <n v="0"/>
    <n v="20"/>
    <n v="2"/>
    <n v="3"/>
    <n v="4"/>
    <n v="3"/>
    <x v="1"/>
    <n v="3"/>
    <s v="OK"/>
    <s v="OK"/>
    <s v="OK"/>
    <s v="OK"/>
    <n v="0.25"/>
    <n v="0.75"/>
    <n v="0.5"/>
    <n v="0.75"/>
  </r>
  <r>
    <n v="29"/>
    <s v="Yes"/>
    <s v="Travel_Frequently"/>
    <n v="337"/>
    <s v="Research &amp; Development"/>
    <n v="14"/>
    <n v="1"/>
    <s v="Other"/>
    <n v="1"/>
    <n v="1421"/>
    <n v="3"/>
    <s v="Female"/>
    <n v="84"/>
    <n v="3"/>
    <n v="3"/>
    <x v="4"/>
    <n v="4"/>
    <s v="Single"/>
    <n v="7553"/>
    <n v="22930"/>
    <n v="0"/>
    <s v="Y"/>
    <s v="Yes"/>
    <n v="12"/>
    <n v="3"/>
    <n v="1"/>
    <n v="80"/>
    <n v="0"/>
    <n v="9"/>
    <n v="1"/>
    <n v="3"/>
    <n v="8"/>
    <n v="7"/>
    <x v="4"/>
    <n v="7"/>
    <s v="OK"/>
    <s v="OK"/>
    <s v="OK"/>
    <s v="OK"/>
    <n v="0.875"/>
    <n v="0.875"/>
    <n v="0.125"/>
    <n v="0.875"/>
  </r>
  <r>
    <n v="54"/>
    <s v="No"/>
    <s v="Travel_Rarely"/>
    <n v="971"/>
    <s v="Research &amp; Development"/>
    <n v="1"/>
    <n v="3"/>
    <s v="Medical"/>
    <n v="1"/>
    <n v="1422"/>
    <n v="4"/>
    <s v="Female"/>
    <n v="54"/>
    <n v="3"/>
    <n v="4"/>
    <x v="7"/>
    <n v="4"/>
    <s v="Single"/>
    <n v="17328"/>
    <n v="5652"/>
    <n v="6"/>
    <s v="Y"/>
    <s v="No"/>
    <n v="19"/>
    <n v="3"/>
    <n v="4"/>
    <n v="80"/>
    <n v="0"/>
    <n v="29"/>
    <n v="3"/>
    <n v="2"/>
    <n v="20"/>
    <n v="7"/>
    <x v="12"/>
    <n v="7"/>
    <s v="OK"/>
    <s v="OK"/>
    <s v="OK"/>
    <s v="OK"/>
    <n v="0.6"/>
    <n v="0.35"/>
    <n v="0.15"/>
    <n v="0.35"/>
  </r>
  <r>
    <n v="58"/>
    <s v="No"/>
    <s v="Travel_Rarely"/>
    <n v="1055"/>
    <s v="Research &amp; Development"/>
    <n v="1"/>
    <n v="3"/>
    <s v="Medical"/>
    <n v="1"/>
    <n v="1423"/>
    <n v="4"/>
    <s v="Female"/>
    <n v="76"/>
    <n v="3"/>
    <n v="5"/>
    <x v="7"/>
    <n v="1"/>
    <s v="Married"/>
    <n v="19701"/>
    <n v="22456"/>
    <n v="3"/>
    <s v="Y"/>
    <s v="Yes"/>
    <n v="21"/>
    <n v="4"/>
    <n v="3"/>
    <n v="80"/>
    <n v="1"/>
    <n v="32"/>
    <n v="3"/>
    <n v="3"/>
    <n v="9"/>
    <n v="8"/>
    <x v="1"/>
    <n v="5"/>
    <s v="OK"/>
    <s v="OK"/>
    <s v="OK"/>
    <s v="OK"/>
    <n v="0.1111111111111111"/>
    <n v="0.88888888888888884"/>
    <n v="0.33333333333333331"/>
    <n v="0.55555555555555558"/>
  </r>
  <r>
    <n v="55"/>
    <s v="No"/>
    <s v="Travel_Rarely"/>
    <n v="1136"/>
    <s v="Research &amp; Development"/>
    <n v="1"/>
    <n v="4"/>
    <s v="Medical"/>
    <n v="1"/>
    <n v="1424"/>
    <n v="2"/>
    <s v="Male"/>
    <n v="81"/>
    <n v="4"/>
    <n v="4"/>
    <x v="7"/>
    <n v="4"/>
    <s v="Divorced"/>
    <n v="14732"/>
    <n v="12414"/>
    <n v="2"/>
    <s v="Y"/>
    <s v="No"/>
    <n v="13"/>
    <n v="3"/>
    <n v="4"/>
    <n v="80"/>
    <n v="2"/>
    <n v="31"/>
    <n v="4"/>
    <n v="4"/>
    <n v="7"/>
    <n v="7"/>
    <x v="0"/>
    <n v="0"/>
    <s v="OK"/>
    <s v="OK"/>
    <s v="OK"/>
    <s v="OK"/>
    <n v="0"/>
    <n v="1"/>
    <n v="0.5714285714285714"/>
    <n v="0"/>
  </r>
  <r>
    <n v="36"/>
    <s v="No"/>
    <s v="Travel_Rarely"/>
    <n v="1174"/>
    <s v="Sales"/>
    <n v="3"/>
    <n v="4"/>
    <s v="Marketing"/>
    <n v="1"/>
    <n v="1425"/>
    <n v="1"/>
    <s v="Female"/>
    <n v="99"/>
    <n v="3"/>
    <n v="2"/>
    <x v="0"/>
    <n v="2"/>
    <s v="Single"/>
    <n v="9278"/>
    <n v="20763"/>
    <n v="3"/>
    <s v="Y"/>
    <s v="Yes"/>
    <n v="16"/>
    <n v="3"/>
    <n v="4"/>
    <n v="80"/>
    <n v="0"/>
    <n v="15"/>
    <n v="3"/>
    <n v="3"/>
    <n v="5"/>
    <n v="4"/>
    <x v="0"/>
    <n v="1"/>
    <s v="OK"/>
    <s v="OK"/>
    <s v="OK"/>
    <s v="OK"/>
    <n v="0"/>
    <n v="0.8"/>
    <n v="0.6"/>
    <n v="0.2"/>
  </r>
  <r>
    <n v="31"/>
    <s v="Yes"/>
    <s v="Travel_Frequently"/>
    <n v="667"/>
    <s v="Sales"/>
    <n v="1"/>
    <n v="4"/>
    <s v="Life Sciences"/>
    <n v="1"/>
    <n v="1427"/>
    <n v="2"/>
    <s v="Female"/>
    <n v="50"/>
    <n v="1"/>
    <n v="1"/>
    <x v="6"/>
    <n v="3"/>
    <s v="Single"/>
    <n v="1359"/>
    <n v="16154"/>
    <n v="1"/>
    <s v="Y"/>
    <s v="No"/>
    <n v="12"/>
    <n v="3"/>
    <n v="2"/>
    <n v="80"/>
    <n v="0"/>
    <n v="1"/>
    <n v="3"/>
    <n v="3"/>
    <n v="1"/>
    <n v="0"/>
    <x v="0"/>
    <n v="0"/>
    <s v="OK"/>
    <s v="OK"/>
    <s v="OK"/>
    <s v="OK"/>
    <n v="0"/>
    <n v="0"/>
    <n v="3"/>
    <n v="0"/>
  </r>
  <r>
    <n v="30"/>
    <s v="No"/>
    <s v="Travel_Rarely"/>
    <n v="855"/>
    <s v="Sales"/>
    <n v="7"/>
    <n v="4"/>
    <s v="Marketing"/>
    <n v="1"/>
    <n v="1428"/>
    <n v="4"/>
    <s v="Female"/>
    <n v="73"/>
    <n v="3"/>
    <n v="2"/>
    <x v="0"/>
    <n v="1"/>
    <s v="Divorced"/>
    <n v="4779"/>
    <n v="12761"/>
    <n v="7"/>
    <s v="Y"/>
    <s v="No"/>
    <n v="14"/>
    <n v="3"/>
    <n v="2"/>
    <n v="80"/>
    <n v="2"/>
    <n v="8"/>
    <n v="3"/>
    <n v="3"/>
    <n v="3"/>
    <n v="2"/>
    <x v="0"/>
    <n v="2"/>
    <s v="OK"/>
    <s v="OK"/>
    <s v="OK"/>
    <s v="OK"/>
    <n v="0"/>
    <n v="0.66666666666666663"/>
    <n v="1"/>
    <n v="0.66666666666666663"/>
  </r>
  <r>
    <n v="31"/>
    <s v="No"/>
    <s v="Travel_Rarely"/>
    <n v="182"/>
    <s v="Research &amp; Development"/>
    <n v="8"/>
    <n v="5"/>
    <s v="Life Sciences"/>
    <n v="1"/>
    <n v="1430"/>
    <n v="1"/>
    <s v="Female"/>
    <n v="93"/>
    <n v="3"/>
    <n v="4"/>
    <x v="7"/>
    <n v="2"/>
    <s v="Single"/>
    <n v="16422"/>
    <n v="8847"/>
    <n v="3"/>
    <s v="Y"/>
    <s v="No"/>
    <n v="11"/>
    <n v="3"/>
    <n v="3"/>
    <n v="80"/>
    <n v="0"/>
    <n v="9"/>
    <n v="3"/>
    <n v="4"/>
    <n v="3"/>
    <n v="2"/>
    <x v="1"/>
    <n v="0"/>
    <s v="OK"/>
    <s v="OK"/>
    <s v="OK"/>
    <s v="OK"/>
    <n v="0.33333333333333331"/>
    <n v="0.66666666666666663"/>
    <n v="1"/>
    <n v="0"/>
  </r>
  <r>
    <n v="34"/>
    <s v="No"/>
    <s v="Travel_Frequently"/>
    <n v="560"/>
    <s v="Research &amp; Development"/>
    <n v="1"/>
    <n v="4"/>
    <s v="Other"/>
    <n v="1"/>
    <n v="1431"/>
    <n v="4"/>
    <s v="Male"/>
    <n v="91"/>
    <n v="3"/>
    <n v="1"/>
    <x v="1"/>
    <n v="1"/>
    <s v="Divorced"/>
    <n v="2996"/>
    <n v="20284"/>
    <n v="5"/>
    <s v="Y"/>
    <s v="No"/>
    <n v="14"/>
    <n v="3"/>
    <n v="3"/>
    <n v="80"/>
    <n v="2"/>
    <n v="10"/>
    <n v="2"/>
    <n v="3"/>
    <n v="4"/>
    <n v="3"/>
    <x v="1"/>
    <n v="3"/>
    <s v="OK"/>
    <s v="OK"/>
    <s v="OK"/>
    <s v="OK"/>
    <n v="0.25"/>
    <n v="0.75"/>
    <n v="0.5"/>
    <n v="0.75"/>
  </r>
  <r>
    <n v="31"/>
    <s v="Yes"/>
    <s v="Travel_Rarely"/>
    <n v="202"/>
    <s v="Research &amp; Development"/>
    <n v="8"/>
    <n v="3"/>
    <s v="Life Sciences"/>
    <n v="1"/>
    <n v="1433"/>
    <n v="1"/>
    <s v="Female"/>
    <n v="34"/>
    <n v="2"/>
    <n v="1"/>
    <x v="1"/>
    <n v="2"/>
    <s v="Single"/>
    <n v="1261"/>
    <n v="22262"/>
    <n v="1"/>
    <s v="Y"/>
    <s v="No"/>
    <n v="12"/>
    <n v="3"/>
    <n v="3"/>
    <n v="80"/>
    <n v="0"/>
    <n v="1"/>
    <n v="3"/>
    <n v="4"/>
    <n v="1"/>
    <n v="0"/>
    <x v="0"/>
    <n v="0"/>
    <s v="OK"/>
    <s v="OK"/>
    <s v="OK"/>
    <s v="OK"/>
    <n v="0"/>
    <n v="0"/>
    <n v="3"/>
    <n v="0"/>
  </r>
  <r>
    <n v="27"/>
    <s v="No"/>
    <s v="Travel_Rarely"/>
    <n v="1377"/>
    <s v="Research &amp; Development"/>
    <n v="11"/>
    <n v="1"/>
    <s v="Life Sciences"/>
    <n v="1"/>
    <n v="1434"/>
    <n v="2"/>
    <s v="Male"/>
    <n v="91"/>
    <n v="3"/>
    <n v="1"/>
    <x v="2"/>
    <n v="1"/>
    <s v="Married"/>
    <n v="2099"/>
    <n v="7679"/>
    <n v="0"/>
    <s v="Y"/>
    <s v="No"/>
    <n v="14"/>
    <n v="3"/>
    <n v="2"/>
    <n v="80"/>
    <n v="0"/>
    <n v="6"/>
    <n v="3"/>
    <n v="4"/>
    <n v="5"/>
    <n v="0"/>
    <x v="1"/>
    <n v="4"/>
    <s v="OK"/>
    <s v="OK"/>
    <s v="OK"/>
    <s v="OK"/>
    <n v="0.2"/>
    <n v="0"/>
    <n v="0.6"/>
    <n v="0.8"/>
  </r>
  <r>
    <n v="36"/>
    <s v="No"/>
    <s v="Travel_Rarely"/>
    <n v="172"/>
    <s v="Research &amp; Development"/>
    <n v="4"/>
    <n v="4"/>
    <s v="Life Sciences"/>
    <n v="1"/>
    <n v="1435"/>
    <n v="1"/>
    <s v="Male"/>
    <n v="37"/>
    <n v="2"/>
    <n v="2"/>
    <x v="2"/>
    <n v="4"/>
    <s v="Single"/>
    <n v="5810"/>
    <n v="22604"/>
    <n v="1"/>
    <s v="Y"/>
    <s v="No"/>
    <n v="16"/>
    <n v="3"/>
    <n v="3"/>
    <n v="80"/>
    <n v="0"/>
    <n v="10"/>
    <n v="2"/>
    <n v="2"/>
    <n v="10"/>
    <n v="4"/>
    <x v="1"/>
    <n v="8"/>
    <s v="OK"/>
    <s v="OK"/>
    <s v="OK"/>
    <s v="OK"/>
    <n v="0.1"/>
    <n v="0.4"/>
    <n v="0.2"/>
    <n v="0.8"/>
  </r>
  <r>
    <n v="36"/>
    <s v="No"/>
    <s v="Travel_Rarely"/>
    <n v="329"/>
    <s v="Sales"/>
    <n v="16"/>
    <n v="4"/>
    <s v="Marketing"/>
    <n v="1"/>
    <n v="1436"/>
    <n v="3"/>
    <s v="Female"/>
    <n v="98"/>
    <n v="2"/>
    <n v="2"/>
    <x v="0"/>
    <n v="1"/>
    <s v="Married"/>
    <n v="5647"/>
    <n v="13494"/>
    <n v="4"/>
    <s v="Y"/>
    <s v="No"/>
    <n v="13"/>
    <n v="3"/>
    <n v="1"/>
    <n v="80"/>
    <n v="2"/>
    <n v="11"/>
    <n v="3"/>
    <n v="2"/>
    <n v="3"/>
    <n v="2"/>
    <x v="0"/>
    <n v="2"/>
    <s v="OK"/>
    <s v="OK"/>
    <s v="OK"/>
    <s v="OK"/>
    <n v="0"/>
    <n v="0.66666666666666663"/>
    <n v="1"/>
    <n v="0.66666666666666663"/>
  </r>
  <r>
    <n v="47"/>
    <s v="No"/>
    <s v="Travel_Rarely"/>
    <n v="465"/>
    <s v="Research &amp; Development"/>
    <n v="1"/>
    <n v="3"/>
    <s v="Technical Degree"/>
    <n v="1"/>
    <n v="1438"/>
    <n v="1"/>
    <s v="Male"/>
    <n v="74"/>
    <n v="3"/>
    <n v="1"/>
    <x v="1"/>
    <n v="4"/>
    <s v="Married"/>
    <n v="3420"/>
    <n v="10205"/>
    <n v="7"/>
    <s v="Y"/>
    <s v="No"/>
    <n v="12"/>
    <n v="3"/>
    <n v="3"/>
    <n v="80"/>
    <n v="1"/>
    <n v="17"/>
    <n v="2"/>
    <n v="2"/>
    <n v="6"/>
    <n v="5"/>
    <x v="1"/>
    <n v="2"/>
    <s v="OK"/>
    <s v="OK"/>
    <s v="OK"/>
    <s v="OK"/>
    <n v="0.16666666666666666"/>
    <n v="0.83333333333333337"/>
    <n v="0.33333333333333331"/>
    <n v="0.33333333333333331"/>
  </r>
  <r>
    <n v="25"/>
    <s v="Yes"/>
    <s v="Travel_Rarely"/>
    <n v="383"/>
    <s v="Sales"/>
    <n v="9"/>
    <n v="2"/>
    <s v="Life Sciences"/>
    <n v="1"/>
    <n v="1439"/>
    <n v="1"/>
    <s v="Male"/>
    <n v="68"/>
    <n v="2"/>
    <n v="1"/>
    <x v="6"/>
    <n v="1"/>
    <s v="Married"/>
    <n v="4400"/>
    <n v="15182"/>
    <n v="3"/>
    <s v="Y"/>
    <s v="No"/>
    <n v="12"/>
    <n v="3"/>
    <n v="1"/>
    <n v="80"/>
    <n v="0"/>
    <n v="6"/>
    <n v="2"/>
    <n v="3"/>
    <n v="3"/>
    <n v="2"/>
    <x v="3"/>
    <n v="2"/>
    <s v="OK"/>
    <s v="OK"/>
    <s v="OK"/>
    <s v="OK"/>
    <n v="0.66666666666666663"/>
    <n v="0.66666666666666663"/>
    <n v="0.66666666666666663"/>
    <n v="0.66666666666666663"/>
  </r>
  <r>
    <n v="37"/>
    <s v="No"/>
    <s v="Non-Travel"/>
    <n v="1413"/>
    <s v="Research &amp; Development"/>
    <n v="5"/>
    <n v="2"/>
    <s v="Technical Degree"/>
    <n v="1"/>
    <n v="1440"/>
    <n v="3"/>
    <s v="Male"/>
    <n v="84"/>
    <n v="4"/>
    <n v="1"/>
    <x v="2"/>
    <n v="3"/>
    <s v="Single"/>
    <n v="3500"/>
    <n v="25470"/>
    <n v="0"/>
    <s v="Y"/>
    <s v="No"/>
    <n v="14"/>
    <n v="3"/>
    <n v="1"/>
    <n v="80"/>
    <n v="0"/>
    <n v="7"/>
    <n v="2"/>
    <n v="1"/>
    <n v="6"/>
    <n v="5"/>
    <x v="1"/>
    <n v="3"/>
    <s v="OK"/>
    <s v="OK"/>
    <s v="OK"/>
    <s v="OK"/>
    <n v="0.16666666666666666"/>
    <n v="0.83333333333333337"/>
    <n v="0.33333333333333331"/>
    <n v="0.5"/>
  </r>
  <r>
    <n v="56"/>
    <s v="No"/>
    <s v="Travel_Rarely"/>
    <n v="1255"/>
    <s v="Research &amp; Development"/>
    <n v="1"/>
    <n v="2"/>
    <s v="Life Sciences"/>
    <n v="1"/>
    <n v="1441"/>
    <n v="1"/>
    <s v="Female"/>
    <n v="90"/>
    <n v="3"/>
    <n v="1"/>
    <x v="1"/>
    <n v="1"/>
    <s v="Married"/>
    <n v="2066"/>
    <n v="10494"/>
    <n v="2"/>
    <s v="Y"/>
    <s v="No"/>
    <n v="22"/>
    <n v="4"/>
    <n v="4"/>
    <n v="80"/>
    <n v="1"/>
    <n v="5"/>
    <n v="3"/>
    <n v="4"/>
    <n v="3"/>
    <n v="2"/>
    <x v="1"/>
    <n v="0"/>
    <s v="OK"/>
    <s v="OK"/>
    <s v="OK"/>
    <s v="OK"/>
    <n v="0.33333333333333331"/>
    <n v="0.66666666666666663"/>
    <n v="1"/>
    <n v="0"/>
  </r>
  <r>
    <n v="47"/>
    <s v="No"/>
    <s v="Travel_Rarely"/>
    <n v="359"/>
    <s v="Research &amp; Development"/>
    <n v="2"/>
    <n v="4"/>
    <s v="Medical"/>
    <n v="1"/>
    <n v="1443"/>
    <n v="1"/>
    <s v="Female"/>
    <n v="82"/>
    <n v="3"/>
    <n v="4"/>
    <x v="7"/>
    <n v="3"/>
    <s v="Married"/>
    <n v="17169"/>
    <n v="26703"/>
    <n v="3"/>
    <s v="Y"/>
    <s v="No"/>
    <n v="19"/>
    <n v="3"/>
    <n v="2"/>
    <n v="80"/>
    <n v="2"/>
    <n v="26"/>
    <n v="2"/>
    <n v="4"/>
    <n v="20"/>
    <n v="17"/>
    <x v="8"/>
    <n v="6"/>
    <s v="OK"/>
    <s v="OK"/>
    <s v="OK"/>
    <s v="OK"/>
    <n v="0.25"/>
    <n v="0.85"/>
    <n v="0.1"/>
    <n v="0.3"/>
  </r>
  <r>
    <n v="24"/>
    <s v="No"/>
    <s v="Travel_Rarely"/>
    <n v="1476"/>
    <s v="Sales"/>
    <n v="4"/>
    <n v="1"/>
    <s v="Medical"/>
    <n v="1"/>
    <n v="1445"/>
    <n v="4"/>
    <s v="Female"/>
    <n v="42"/>
    <n v="3"/>
    <n v="2"/>
    <x v="0"/>
    <n v="3"/>
    <s v="Married"/>
    <n v="4162"/>
    <n v="15211"/>
    <n v="1"/>
    <s v="Y"/>
    <s v="Yes"/>
    <n v="12"/>
    <n v="3"/>
    <n v="3"/>
    <n v="80"/>
    <n v="2"/>
    <n v="5"/>
    <n v="3"/>
    <n v="3"/>
    <n v="5"/>
    <n v="4"/>
    <x v="0"/>
    <n v="3"/>
    <s v="OK"/>
    <s v="OK"/>
    <s v="OK"/>
    <s v="OK"/>
    <n v="0"/>
    <n v="0.8"/>
    <n v="0.6"/>
    <n v="0.6"/>
  </r>
  <r>
    <n v="32"/>
    <s v="No"/>
    <s v="Travel_Rarely"/>
    <n v="601"/>
    <s v="Sales"/>
    <n v="7"/>
    <n v="5"/>
    <s v="Marketing"/>
    <n v="1"/>
    <n v="1446"/>
    <n v="4"/>
    <s v="Male"/>
    <n v="97"/>
    <n v="3"/>
    <n v="2"/>
    <x v="0"/>
    <n v="4"/>
    <s v="Married"/>
    <n v="9204"/>
    <n v="23343"/>
    <n v="4"/>
    <s v="Y"/>
    <s v="No"/>
    <n v="12"/>
    <n v="3"/>
    <n v="3"/>
    <n v="80"/>
    <n v="1"/>
    <n v="7"/>
    <n v="3"/>
    <n v="2"/>
    <n v="4"/>
    <n v="3"/>
    <x v="0"/>
    <n v="3"/>
    <s v="OK"/>
    <s v="OK"/>
    <s v="OK"/>
    <s v="OK"/>
    <n v="0"/>
    <n v="0.75"/>
    <n v="0.75"/>
    <n v="0.75"/>
  </r>
  <r>
    <n v="34"/>
    <s v="No"/>
    <s v="Travel_Rarely"/>
    <n v="401"/>
    <s v="Research &amp; Development"/>
    <n v="1"/>
    <n v="3"/>
    <s v="Life Sciences"/>
    <n v="1"/>
    <n v="1447"/>
    <n v="4"/>
    <s v="Female"/>
    <n v="86"/>
    <n v="2"/>
    <n v="1"/>
    <x v="2"/>
    <n v="2"/>
    <s v="Married"/>
    <n v="3294"/>
    <n v="3708"/>
    <n v="5"/>
    <s v="Y"/>
    <s v="No"/>
    <n v="17"/>
    <n v="3"/>
    <n v="1"/>
    <n v="80"/>
    <n v="1"/>
    <n v="7"/>
    <n v="2"/>
    <n v="2"/>
    <n v="5"/>
    <n v="4"/>
    <x v="0"/>
    <n v="2"/>
    <s v="OK"/>
    <s v="OK"/>
    <s v="OK"/>
    <s v="OK"/>
    <n v="0"/>
    <n v="0.8"/>
    <n v="0.4"/>
    <n v="0.4"/>
  </r>
  <r>
    <n v="41"/>
    <s v="No"/>
    <s v="Travel_Rarely"/>
    <n v="1283"/>
    <s v="Research &amp; Development"/>
    <n v="5"/>
    <n v="5"/>
    <s v="Medical"/>
    <n v="1"/>
    <n v="1448"/>
    <n v="2"/>
    <s v="Male"/>
    <n v="90"/>
    <n v="4"/>
    <n v="1"/>
    <x v="1"/>
    <n v="3"/>
    <s v="Married"/>
    <n v="2127"/>
    <n v="5561"/>
    <n v="2"/>
    <s v="Y"/>
    <s v="Yes"/>
    <n v="12"/>
    <n v="3"/>
    <n v="1"/>
    <n v="80"/>
    <n v="0"/>
    <n v="7"/>
    <n v="5"/>
    <n v="2"/>
    <n v="4"/>
    <n v="2"/>
    <x v="0"/>
    <n v="3"/>
    <s v="OK"/>
    <s v="OK"/>
    <s v="OK"/>
    <s v="OK"/>
    <n v="0"/>
    <n v="0.5"/>
    <n v="1.25"/>
    <n v="0.75"/>
  </r>
  <r>
    <n v="40"/>
    <s v="No"/>
    <s v="Non-Travel"/>
    <n v="663"/>
    <s v="Research &amp; Development"/>
    <n v="9"/>
    <n v="4"/>
    <s v="Other"/>
    <n v="1"/>
    <n v="1449"/>
    <n v="3"/>
    <s v="Male"/>
    <n v="81"/>
    <n v="3"/>
    <n v="2"/>
    <x v="2"/>
    <n v="3"/>
    <s v="Divorced"/>
    <n v="3975"/>
    <n v="23099"/>
    <n v="3"/>
    <s v="Y"/>
    <s v="No"/>
    <n v="11"/>
    <n v="3"/>
    <n v="3"/>
    <n v="80"/>
    <n v="2"/>
    <n v="11"/>
    <n v="2"/>
    <n v="4"/>
    <n v="8"/>
    <n v="7"/>
    <x v="0"/>
    <n v="7"/>
    <s v="OK"/>
    <s v="OK"/>
    <s v="OK"/>
    <s v="OK"/>
    <n v="0"/>
    <n v="0.875"/>
    <n v="0.25"/>
    <n v="0.875"/>
  </r>
  <r>
    <n v="31"/>
    <s v="No"/>
    <s v="Travel_Rarely"/>
    <n v="326"/>
    <s v="Sales"/>
    <n v="8"/>
    <n v="2"/>
    <s v="Life Sciences"/>
    <n v="1"/>
    <n v="1453"/>
    <n v="1"/>
    <s v="Male"/>
    <n v="31"/>
    <n v="3"/>
    <n v="3"/>
    <x v="0"/>
    <n v="4"/>
    <s v="Divorced"/>
    <n v="10793"/>
    <n v="8386"/>
    <n v="1"/>
    <s v="Y"/>
    <s v="No"/>
    <n v="18"/>
    <n v="3"/>
    <n v="1"/>
    <n v="80"/>
    <n v="1"/>
    <n v="13"/>
    <n v="5"/>
    <n v="3"/>
    <n v="13"/>
    <n v="7"/>
    <x v="10"/>
    <n v="9"/>
    <s v="OK"/>
    <s v="OK"/>
    <s v="OK"/>
    <s v="OK"/>
    <n v="0.69230769230769229"/>
    <n v="0.53846153846153844"/>
    <n v="0.38461538461538464"/>
    <n v="0.69230769230769229"/>
  </r>
  <r>
    <n v="46"/>
    <s v="Yes"/>
    <s v="Travel_Rarely"/>
    <n v="377"/>
    <s v="Sales"/>
    <n v="9"/>
    <n v="3"/>
    <s v="Marketing"/>
    <n v="1"/>
    <n v="1457"/>
    <n v="1"/>
    <s v="Male"/>
    <n v="52"/>
    <n v="3"/>
    <n v="3"/>
    <x v="0"/>
    <n v="4"/>
    <s v="Divorced"/>
    <n v="10096"/>
    <n v="15986"/>
    <n v="4"/>
    <s v="Y"/>
    <s v="No"/>
    <n v="11"/>
    <n v="3"/>
    <n v="1"/>
    <n v="80"/>
    <n v="1"/>
    <n v="28"/>
    <n v="1"/>
    <n v="4"/>
    <n v="7"/>
    <n v="7"/>
    <x v="5"/>
    <n v="3"/>
    <s v="OK"/>
    <s v="OK"/>
    <s v="OK"/>
    <s v="OK"/>
    <n v="0.5714285714285714"/>
    <n v="1"/>
    <n v="0.14285714285714285"/>
    <n v="0.42857142857142855"/>
  </r>
  <r>
    <n v="39"/>
    <s v="Yes"/>
    <s v="Non-Travel"/>
    <n v="592"/>
    <s v="Research &amp; Development"/>
    <n v="2"/>
    <n v="3"/>
    <s v="Life Sciences"/>
    <n v="1"/>
    <n v="1458"/>
    <n v="1"/>
    <s v="Female"/>
    <n v="54"/>
    <n v="2"/>
    <n v="1"/>
    <x v="2"/>
    <n v="1"/>
    <s v="Single"/>
    <n v="3646"/>
    <n v="17181"/>
    <n v="2"/>
    <s v="Y"/>
    <s v="Yes"/>
    <n v="23"/>
    <n v="4"/>
    <n v="2"/>
    <n v="80"/>
    <n v="0"/>
    <n v="11"/>
    <n v="2"/>
    <n v="4"/>
    <n v="1"/>
    <n v="0"/>
    <x v="0"/>
    <n v="0"/>
    <s v="OK"/>
    <s v="OK"/>
    <s v="OK"/>
    <s v="OK"/>
    <n v="0"/>
    <n v="0"/>
    <n v="2"/>
    <n v="0"/>
  </r>
  <r>
    <n v="31"/>
    <s v="Yes"/>
    <s v="Travel_Frequently"/>
    <n v="1445"/>
    <s v="Research &amp; Development"/>
    <n v="1"/>
    <n v="5"/>
    <s v="Life Sciences"/>
    <n v="1"/>
    <n v="1459"/>
    <n v="3"/>
    <s v="Female"/>
    <n v="100"/>
    <n v="4"/>
    <n v="3"/>
    <x v="3"/>
    <n v="2"/>
    <s v="Single"/>
    <n v="7446"/>
    <n v="8931"/>
    <n v="1"/>
    <s v="Y"/>
    <s v="No"/>
    <n v="11"/>
    <n v="3"/>
    <n v="1"/>
    <n v="80"/>
    <n v="0"/>
    <n v="10"/>
    <n v="2"/>
    <n v="3"/>
    <n v="10"/>
    <n v="8"/>
    <x v="5"/>
    <n v="7"/>
    <s v="OK"/>
    <s v="OK"/>
    <s v="OK"/>
    <s v="OK"/>
    <n v="0.4"/>
    <n v="0.8"/>
    <n v="0.2"/>
    <n v="0.7"/>
  </r>
  <r>
    <n v="45"/>
    <s v="No"/>
    <s v="Travel_Rarely"/>
    <n v="1038"/>
    <s v="Research &amp; Development"/>
    <n v="20"/>
    <n v="3"/>
    <s v="Medical"/>
    <n v="1"/>
    <n v="1460"/>
    <n v="2"/>
    <s v="Male"/>
    <n v="95"/>
    <n v="1"/>
    <n v="3"/>
    <x v="4"/>
    <n v="1"/>
    <s v="Divorced"/>
    <n v="10851"/>
    <n v="19863"/>
    <n v="2"/>
    <s v="Y"/>
    <s v="Yes"/>
    <n v="18"/>
    <n v="3"/>
    <n v="2"/>
    <n v="80"/>
    <n v="1"/>
    <n v="24"/>
    <n v="2"/>
    <n v="3"/>
    <n v="7"/>
    <n v="7"/>
    <x v="0"/>
    <n v="7"/>
    <s v="OK"/>
    <s v="OK"/>
    <s v="OK"/>
    <s v="OK"/>
    <n v="0"/>
    <n v="1"/>
    <n v="0.2857142857142857"/>
    <n v="1"/>
  </r>
  <r>
    <n v="31"/>
    <s v="No"/>
    <s v="Travel_Rarely"/>
    <n v="1398"/>
    <s v="Human Resources"/>
    <n v="8"/>
    <n v="2"/>
    <s v="Medical"/>
    <n v="1"/>
    <n v="1461"/>
    <n v="4"/>
    <s v="Female"/>
    <n v="96"/>
    <n v="4"/>
    <n v="1"/>
    <x v="8"/>
    <n v="2"/>
    <s v="Single"/>
    <n v="2109"/>
    <n v="24609"/>
    <n v="9"/>
    <s v="Y"/>
    <s v="No"/>
    <n v="18"/>
    <n v="3"/>
    <n v="4"/>
    <n v="80"/>
    <n v="0"/>
    <n v="8"/>
    <n v="3"/>
    <n v="3"/>
    <n v="3"/>
    <n v="2"/>
    <x v="0"/>
    <n v="2"/>
    <s v="OK"/>
    <s v="OK"/>
    <s v="OK"/>
    <s v="OK"/>
    <n v="0"/>
    <n v="0.66666666666666663"/>
    <n v="1"/>
    <n v="0.66666666666666663"/>
  </r>
  <r>
    <n v="31"/>
    <s v="Yes"/>
    <s v="Travel_Frequently"/>
    <n v="523"/>
    <s v="Research &amp; Development"/>
    <n v="2"/>
    <n v="3"/>
    <s v="Life Sciences"/>
    <n v="1"/>
    <n v="1464"/>
    <n v="2"/>
    <s v="Male"/>
    <n v="94"/>
    <n v="3"/>
    <n v="1"/>
    <x v="2"/>
    <n v="4"/>
    <s v="Married"/>
    <n v="3722"/>
    <n v="21081"/>
    <n v="6"/>
    <s v="Y"/>
    <s v="Yes"/>
    <n v="13"/>
    <n v="3"/>
    <n v="3"/>
    <n v="80"/>
    <n v="1"/>
    <n v="7"/>
    <n v="2"/>
    <n v="1"/>
    <n v="2"/>
    <n v="2"/>
    <x v="3"/>
    <n v="2"/>
    <s v="OK"/>
    <s v="OK"/>
    <s v="OK"/>
    <s v="OK"/>
    <n v="1"/>
    <n v="1"/>
    <n v="1"/>
    <n v="1"/>
  </r>
  <r>
    <n v="45"/>
    <s v="No"/>
    <s v="Travel_Rarely"/>
    <n v="1448"/>
    <s v="Research &amp; Development"/>
    <n v="29"/>
    <n v="3"/>
    <s v="Technical Degree"/>
    <n v="1"/>
    <n v="1465"/>
    <n v="2"/>
    <s v="Male"/>
    <n v="55"/>
    <n v="3"/>
    <n v="3"/>
    <x v="3"/>
    <n v="4"/>
    <s v="Married"/>
    <n v="9380"/>
    <n v="14720"/>
    <n v="4"/>
    <s v="Y"/>
    <s v="Yes"/>
    <n v="18"/>
    <n v="3"/>
    <n v="4"/>
    <n v="80"/>
    <n v="2"/>
    <n v="10"/>
    <n v="4"/>
    <n v="4"/>
    <n v="3"/>
    <n v="1"/>
    <x v="1"/>
    <n v="2"/>
    <s v="OK"/>
    <s v="OK"/>
    <s v="OK"/>
    <s v="OK"/>
    <n v="0.33333333333333331"/>
    <n v="0.33333333333333331"/>
    <n v="1.3333333333333333"/>
    <n v="0.66666666666666663"/>
  </r>
  <r>
    <n v="48"/>
    <s v="No"/>
    <s v="Travel_Rarely"/>
    <n v="1221"/>
    <s v="Sales"/>
    <n v="7"/>
    <n v="3"/>
    <s v="Marketing"/>
    <n v="1"/>
    <n v="1466"/>
    <n v="3"/>
    <s v="Male"/>
    <n v="96"/>
    <n v="3"/>
    <n v="2"/>
    <x v="0"/>
    <n v="1"/>
    <s v="Divorced"/>
    <n v="5486"/>
    <n v="24795"/>
    <n v="4"/>
    <s v="Y"/>
    <s v="No"/>
    <n v="11"/>
    <n v="3"/>
    <n v="1"/>
    <n v="80"/>
    <n v="3"/>
    <n v="15"/>
    <n v="3"/>
    <n v="3"/>
    <n v="2"/>
    <n v="2"/>
    <x v="3"/>
    <n v="2"/>
    <s v="OK"/>
    <s v="OK"/>
    <s v="OK"/>
    <s v="OK"/>
    <n v="1"/>
    <n v="1"/>
    <n v="1.5"/>
    <n v="1"/>
  </r>
  <r>
    <n v="34"/>
    <s v="Yes"/>
    <s v="Travel_Rarely"/>
    <n v="1107"/>
    <s v="Human Resources"/>
    <n v="9"/>
    <n v="4"/>
    <s v="Technical Degree"/>
    <n v="1"/>
    <n v="1467"/>
    <n v="1"/>
    <s v="Female"/>
    <n v="52"/>
    <n v="3"/>
    <n v="1"/>
    <x v="8"/>
    <n v="3"/>
    <s v="Married"/>
    <n v="2742"/>
    <n v="3072"/>
    <n v="1"/>
    <s v="Y"/>
    <s v="No"/>
    <n v="15"/>
    <n v="3"/>
    <n v="4"/>
    <n v="80"/>
    <n v="0"/>
    <n v="2"/>
    <n v="0"/>
    <n v="3"/>
    <n v="2"/>
    <n v="2"/>
    <x v="3"/>
    <n v="2"/>
    <s v="OK"/>
    <s v="OK"/>
    <s v="OK"/>
    <s v="OK"/>
    <n v="1"/>
    <n v="1"/>
    <n v="0"/>
    <n v="1"/>
  </r>
  <r>
    <n v="40"/>
    <s v="No"/>
    <s v="Non-Travel"/>
    <n v="218"/>
    <s v="Research &amp; Development"/>
    <n v="8"/>
    <n v="1"/>
    <s v="Medical"/>
    <n v="1"/>
    <n v="1468"/>
    <n v="4"/>
    <s v="Male"/>
    <n v="55"/>
    <n v="2"/>
    <n v="3"/>
    <x v="7"/>
    <n v="2"/>
    <s v="Divorced"/>
    <n v="13757"/>
    <n v="25178"/>
    <n v="2"/>
    <s v="Y"/>
    <s v="No"/>
    <n v="11"/>
    <n v="3"/>
    <n v="3"/>
    <n v="80"/>
    <n v="1"/>
    <n v="16"/>
    <n v="5"/>
    <n v="3"/>
    <n v="9"/>
    <n v="8"/>
    <x v="5"/>
    <n v="8"/>
    <s v="OK"/>
    <s v="OK"/>
    <s v="OK"/>
    <s v="OK"/>
    <n v="0.44444444444444442"/>
    <n v="0.88888888888888884"/>
    <n v="0.55555555555555558"/>
    <n v="0.88888888888888884"/>
  </r>
  <r>
    <n v="28"/>
    <s v="No"/>
    <s v="Travel_Rarely"/>
    <n v="866"/>
    <s v="Sales"/>
    <n v="5"/>
    <n v="3"/>
    <s v="Medical"/>
    <n v="1"/>
    <n v="1469"/>
    <n v="4"/>
    <s v="Male"/>
    <n v="84"/>
    <n v="3"/>
    <n v="2"/>
    <x v="0"/>
    <n v="1"/>
    <s v="Single"/>
    <n v="8463"/>
    <n v="23490"/>
    <n v="0"/>
    <s v="Y"/>
    <s v="No"/>
    <n v="18"/>
    <n v="3"/>
    <n v="4"/>
    <n v="80"/>
    <n v="0"/>
    <n v="6"/>
    <n v="4"/>
    <n v="3"/>
    <n v="5"/>
    <n v="4"/>
    <x v="1"/>
    <n v="3"/>
    <s v="OK"/>
    <s v="OK"/>
    <s v="OK"/>
    <s v="OK"/>
    <n v="0.2"/>
    <n v="0.8"/>
    <n v="0.8"/>
    <n v="0.6"/>
  </r>
  <r>
    <n v="44"/>
    <s v="No"/>
    <s v="Non-Travel"/>
    <n v="981"/>
    <s v="Research &amp; Development"/>
    <n v="5"/>
    <n v="3"/>
    <s v="Life Sciences"/>
    <n v="1"/>
    <n v="1471"/>
    <n v="3"/>
    <s v="Male"/>
    <n v="90"/>
    <n v="2"/>
    <n v="1"/>
    <x v="2"/>
    <n v="3"/>
    <s v="Single"/>
    <n v="3162"/>
    <n v="7973"/>
    <n v="3"/>
    <s v="Y"/>
    <s v="No"/>
    <n v="14"/>
    <n v="3"/>
    <n v="4"/>
    <n v="80"/>
    <n v="0"/>
    <n v="7"/>
    <n v="5"/>
    <n v="3"/>
    <n v="5"/>
    <n v="2"/>
    <x v="0"/>
    <n v="3"/>
    <s v="OK"/>
    <s v="OK"/>
    <s v="OK"/>
    <s v="OK"/>
    <n v="0"/>
    <n v="0.4"/>
    <n v="1"/>
    <n v="0.6"/>
  </r>
  <r>
    <n v="53"/>
    <s v="No"/>
    <s v="Travel_Rarely"/>
    <n v="447"/>
    <s v="Research &amp; Development"/>
    <n v="2"/>
    <n v="3"/>
    <s v="Medical"/>
    <n v="1"/>
    <n v="1472"/>
    <n v="4"/>
    <s v="Male"/>
    <n v="39"/>
    <n v="4"/>
    <n v="4"/>
    <x v="7"/>
    <n v="2"/>
    <s v="Single"/>
    <n v="16598"/>
    <n v="19764"/>
    <n v="4"/>
    <s v="Y"/>
    <s v="No"/>
    <n v="12"/>
    <n v="3"/>
    <n v="2"/>
    <n v="80"/>
    <n v="0"/>
    <n v="35"/>
    <n v="2"/>
    <n v="2"/>
    <n v="9"/>
    <n v="8"/>
    <x v="6"/>
    <n v="8"/>
    <s v="OK"/>
    <s v="OK"/>
    <s v="OK"/>
    <s v="OK"/>
    <n v="0.88888888888888884"/>
    <n v="0.88888888888888884"/>
    <n v="0.22222222222222221"/>
    <n v="0.88888888888888884"/>
  </r>
  <r>
    <n v="49"/>
    <s v="No"/>
    <s v="Travel_Rarely"/>
    <n v="1495"/>
    <s v="Research &amp; Development"/>
    <n v="5"/>
    <n v="4"/>
    <s v="Technical Degree"/>
    <n v="1"/>
    <n v="1473"/>
    <n v="1"/>
    <s v="Male"/>
    <n v="96"/>
    <n v="3"/>
    <n v="2"/>
    <x v="4"/>
    <n v="3"/>
    <s v="Married"/>
    <n v="6651"/>
    <n v="21534"/>
    <n v="2"/>
    <s v="Y"/>
    <s v="No"/>
    <n v="14"/>
    <n v="3"/>
    <n v="2"/>
    <n v="80"/>
    <n v="1"/>
    <n v="20"/>
    <n v="0"/>
    <n v="2"/>
    <n v="3"/>
    <n v="2"/>
    <x v="1"/>
    <n v="2"/>
    <s v="OK"/>
    <s v="OK"/>
    <s v="OK"/>
    <s v="OK"/>
    <n v="0.33333333333333331"/>
    <n v="0.66666666666666663"/>
    <n v="0"/>
    <n v="0.66666666666666663"/>
  </r>
  <r>
    <n v="40"/>
    <s v="No"/>
    <s v="Travel_Rarely"/>
    <n v="896"/>
    <s v="Research &amp; Development"/>
    <n v="2"/>
    <n v="3"/>
    <s v="Medical"/>
    <n v="1"/>
    <n v="1474"/>
    <n v="3"/>
    <s v="Male"/>
    <n v="68"/>
    <n v="3"/>
    <n v="1"/>
    <x v="1"/>
    <n v="3"/>
    <s v="Divorced"/>
    <n v="2345"/>
    <n v="8045"/>
    <n v="2"/>
    <s v="Y"/>
    <s v="No"/>
    <n v="14"/>
    <n v="3"/>
    <n v="3"/>
    <n v="80"/>
    <n v="1"/>
    <n v="8"/>
    <n v="3"/>
    <n v="4"/>
    <n v="3"/>
    <n v="1"/>
    <x v="1"/>
    <n v="2"/>
    <s v="OK"/>
    <s v="OK"/>
    <s v="OK"/>
    <s v="OK"/>
    <n v="0.33333333333333331"/>
    <n v="0.33333333333333331"/>
    <n v="1"/>
    <n v="0.66666666666666663"/>
  </r>
  <r>
    <n v="44"/>
    <s v="No"/>
    <s v="Travel_Rarely"/>
    <n v="1467"/>
    <s v="Research &amp; Development"/>
    <n v="20"/>
    <n v="3"/>
    <s v="Life Sciences"/>
    <n v="1"/>
    <n v="1475"/>
    <n v="4"/>
    <s v="Male"/>
    <n v="49"/>
    <n v="3"/>
    <n v="1"/>
    <x v="1"/>
    <n v="2"/>
    <s v="Single"/>
    <n v="3420"/>
    <n v="21158"/>
    <n v="1"/>
    <s v="Y"/>
    <s v="No"/>
    <n v="13"/>
    <n v="3"/>
    <n v="3"/>
    <n v="80"/>
    <n v="0"/>
    <n v="6"/>
    <n v="3"/>
    <n v="2"/>
    <n v="5"/>
    <n v="2"/>
    <x v="1"/>
    <n v="3"/>
    <s v="OK"/>
    <s v="OK"/>
    <s v="OK"/>
    <s v="OK"/>
    <n v="0.2"/>
    <n v="0.4"/>
    <n v="0.6"/>
    <n v="0.6"/>
  </r>
  <r>
    <n v="33"/>
    <s v="No"/>
    <s v="Travel_Frequently"/>
    <n v="430"/>
    <s v="Sales"/>
    <n v="7"/>
    <n v="3"/>
    <s v="Medical"/>
    <n v="1"/>
    <n v="1477"/>
    <n v="4"/>
    <s v="Male"/>
    <n v="54"/>
    <n v="3"/>
    <n v="2"/>
    <x v="0"/>
    <n v="1"/>
    <s v="Married"/>
    <n v="4373"/>
    <n v="17456"/>
    <n v="0"/>
    <s v="Y"/>
    <s v="No"/>
    <n v="14"/>
    <n v="3"/>
    <n v="1"/>
    <n v="80"/>
    <n v="2"/>
    <n v="5"/>
    <n v="2"/>
    <n v="3"/>
    <n v="4"/>
    <n v="3"/>
    <x v="0"/>
    <n v="3"/>
    <s v="OK"/>
    <s v="OK"/>
    <s v="OK"/>
    <s v="OK"/>
    <n v="0"/>
    <n v="0.75"/>
    <n v="0.5"/>
    <n v="0.75"/>
  </r>
  <r>
    <n v="34"/>
    <s v="No"/>
    <s v="Travel_Rarely"/>
    <n v="1326"/>
    <s v="Sales"/>
    <n v="3"/>
    <n v="3"/>
    <s v="Other"/>
    <n v="1"/>
    <n v="1478"/>
    <n v="4"/>
    <s v="Male"/>
    <n v="81"/>
    <n v="1"/>
    <n v="2"/>
    <x v="0"/>
    <n v="1"/>
    <s v="Single"/>
    <n v="4759"/>
    <n v="15891"/>
    <n v="3"/>
    <s v="Y"/>
    <s v="No"/>
    <n v="18"/>
    <n v="3"/>
    <n v="4"/>
    <n v="80"/>
    <n v="0"/>
    <n v="15"/>
    <n v="2"/>
    <n v="3"/>
    <n v="13"/>
    <n v="9"/>
    <x v="2"/>
    <n v="12"/>
    <s v="OK"/>
    <s v="OK"/>
    <s v="OK"/>
    <s v="OK"/>
    <n v="0.23076923076923078"/>
    <n v="0.69230769230769229"/>
    <n v="0.15384615384615385"/>
    <n v="0.92307692307692313"/>
  </r>
  <r>
    <n v="30"/>
    <s v="No"/>
    <s v="Travel_Rarely"/>
    <n v="1358"/>
    <s v="Sales"/>
    <n v="16"/>
    <n v="1"/>
    <s v="Life Sciences"/>
    <n v="1"/>
    <n v="1479"/>
    <n v="4"/>
    <s v="Male"/>
    <n v="96"/>
    <n v="3"/>
    <n v="2"/>
    <x v="0"/>
    <n v="3"/>
    <s v="Married"/>
    <n v="5301"/>
    <n v="2939"/>
    <n v="8"/>
    <s v="Y"/>
    <s v="No"/>
    <n v="15"/>
    <n v="3"/>
    <n v="3"/>
    <n v="80"/>
    <n v="2"/>
    <n v="4"/>
    <n v="2"/>
    <n v="2"/>
    <n v="2"/>
    <n v="1"/>
    <x v="3"/>
    <n v="2"/>
    <s v="OK"/>
    <s v="OK"/>
    <s v="OK"/>
    <s v="OK"/>
    <n v="1"/>
    <n v="0.5"/>
    <n v="1"/>
    <n v="1"/>
  </r>
  <r>
    <n v="42"/>
    <s v="No"/>
    <s v="Travel_Frequently"/>
    <n v="748"/>
    <s v="Research &amp; Development"/>
    <n v="9"/>
    <n v="2"/>
    <s v="Medical"/>
    <n v="1"/>
    <n v="1480"/>
    <n v="1"/>
    <s v="Female"/>
    <n v="74"/>
    <n v="3"/>
    <n v="1"/>
    <x v="2"/>
    <n v="4"/>
    <s v="Single"/>
    <n v="3673"/>
    <n v="16458"/>
    <n v="1"/>
    <s v="Y"/>
    <s v="No"/>
    <n v="13"/>
    <n v="3"/>
    <n v="3"/>
    <n v="80"/>
    <n v="0"/>
    <n v="12"/>
    <n v="3"/>
    <n v="3"/>
    <n v="12"/>
    <n v="9"/>
    <x v="8"/>
    <n v="8"/>
    <s v="OK"/>
    <s v="OK"/>
    <s v="OK"/>
    <s v="OK"/>
    <n v="0.41666666666666669"/>
    <n v="0.75"/>
    <n v="0.25"/>
    <n v="0.66666666666666663"/>
  </r>
  <r>
    <n v="44"/>
    <s v="No"/>
    <s v="Travel_Frequently"/>
    <n v="383"/>
    <s v="Sales"/>
    <n v="1"/>
    <n v="5"/>
    <s v="Marketing"/>
    <n v="1"/>
    <n v="1481"/>
    <n v="1"/>
    <s v="Female"/>
    <n v="79"/>
    <n v="3"/>
    <n v="2"/>
    <x v="0"/>
    <n v="3"/>
    <s v="Married"/>
    <n v="4768"/>
    <n v="9282"/>
    <n v="7"/>
    <s v="Y"/>
    <s v="No"/>
    <n v="12"/>
    <n v="3"/>
    <n v="3"/>
    <n v="80"/>
    <n v="1"/>
    <n v="11"/>
    <n v="4"/>
    <n v="2"/>
    <n v="1"/>
    <n v="0"/>
    <x v="0"/>
    <n v="0"/>
    <s v="OK"/>
    <s v="OK"/>
    <s v="OK"/>
    <s v="OK"/>
    <n v="0"/>
    <n v="0"/>
    <n v="4"/>
    <n v="0"/>
  </r>
  <r>
    <n v="30"/>
    <s v="No"/>
    <s v="Non-Travel"/>
    <n v="990"/>
    <s v="Research &amp; Development"/>
    <n v="7"/>
    <n v="3"/>
    <s v="Technical Degree"/>
    <n v="1"/>
    <n v="1482"/>
    <n v="3"/>
    <s v="Male"/>
    <n v="64"/>
    <n v="3"/>
    <n v="1"/>
    <x v="1"/>
    <n v="3"/>
    <s v="Divorced"/>
    <n v="1274"/>
    <n v="7152"/>
    <n v="1"/>
    <s v="Y"/>
    <s v="No"/>
    <n v="13"/>
    <n v="3"/>
    <n v="2"/>
    <n v="80"/>
    <n v="2"/>
    <n v="1"/>
    <n v="2"/>
    <n v="2"/>
    <n v="1"/>
    <n v="0"/>
    <x v="0"/>
    <n v="0"/>
    <s v="OK"/>
    <s v="OK"/>
    <s v="OK"/>
    <s v="OK"/>
    <n v="0"/>
    <n v="0"/>
    <n v="2"/>
    <n v="0"/>
  </r>
  <r>
    <n v="57"/>
    <s v="No"/>
    <s v="Travel_Rarely"/>
    <n v="405"/>
    <s v="Research &amp; Development"/>
    <n v="1"/>
    <n v="2"/>
    <s v="Life Sciences"/>
    <n v="1"/>
    <n v="1483"/>
    <n v="2"/>
    <s v="Male"/>
    <n v="93"/>
    <n v="4"/>
    <n v="2"/>
    <x v="1"/>
    <n v="3"/>
    <s v="Married"/>
    <n v="4900"/>
    <n v="2721"/>
    <n v="0"/>
    <s v="Y"/>
    <s v="No"/>
    <n v="24"/>
    <n v="4"/>
    <n v="1"/>
    <n v="80"/>
    <n v="1"/>
    <n v="13"/>
    <n v="2"/>
    <n v="2"/>
    <n v="12"/>
    <n v="9"/>
    <x v="3"/>
    <n v="8"/>
    <s v="OK"/>
    <s v="OK"/>
    <s v="OK"/>
    <s v="OK"/>
    <n v="0.16666666666666666"/>
    <n v="0.75"/>
    <n v="0.16666666666666666"/>
    <n v="0.66666666666666663"/>
  </r>
  <r>
    <n v="49"/>
    <s v="No"/>
    <s v="Travel_Rarely"/>
    <n v="1490"/>
    <s v="Research &amp; Development"/>
    <n v="7"/>
    <n v="4"/>
    <s v="Life Sciences"/>
    <n v="1"/>
    <n v="1484"/>
    <n v="3"/>
    <s v="Male"/>
    <n v="35"/>
    <n v="3"/>
    <n v="3"/>
    <x v="4"/>
    <n v="2"/>
    <s v="Divorced"/>
    <n v="10466"/>
    <n v="20948"/>
    <n v="3"/>
    <s v="Y"/>
    <s v="No"/>
    <n v="14"/>
    <n v="3"/>
    <n v="2"/>
    <n v="80"/>
    <n v="2"/>
    <n v="29"/>
    <n v="3"/>
    <n v="3"/>
    <n v="8"/>
    <n v="7"/>
    <x v="0"/>
    <n v="7"/>
    <s v="OK"/>
    <s v="OK"/>
    <s v="OK"/>
    <s v="OK"/>
    <n v="0"/>
    <n v="0.875"/>
    <n v="0.375"/>
    <n v="0.875"/>
  </r>
  <r>
    <n v="34"/>
    <s v="No"/>
    <s v="Travel_Frequently"/>
    <n v="829"/>
    <s v="Research &amp; Development"/>
    <n v="15"/>
    <n v="3"/>
    <s v="Medical"/>
    <n v="1"/>
    <n v="1485"/>
    <n v="2"/>
    <s v="Male"/>
    <n v="71"/>
    <n v="3"/>
    <n v="4"/>
    <x v="7"/>
    <n v="1"/>
    <s v="Divorced"/>
    <n v="17007"/>
    <n v="11929"/>
    <n v="7"/>
    <s v="Y"/>
    <s v="No"/>
    <n v="14"/>
    <n v="3"/>
    <n v="4"/>
    <n v="80"/>
    <n v="2"/>
    <n v="16"/>
    <n v="3"/>
    <n v="2"/>
    <n v="14"/>
    <n v="8"/>
    <x v="7"/>
    <n v="9"/>
    <s v="OK"/>
    <s v="OK"/>
    <s v="OK"/>
    <s v="OK"/>
    <n v="0.42857142857142855"/>
    <n v="0.5714285714285714"/>
    <n v="0.21428571428571427"/>
    <n v="0.6428571428571429"/>
  </r>
  <r>
    <n v="28"/>
    <s v="Yes"/>
    <s v="Travel_Frequently"/>
    <n v="1496"/>
    <s v="Sales"/>
    <n v="1"/>
    <n v="3"/>
    <s v="Technical Degree"/>
    <n v="1"/>
    <n v="1486"/>
    <n v="1"/>
    <s v="Male"/>
    <n v="92"/>
    <n v="3"/>
    <n v="1"/>
    <x v="6"/>
    <n v="3"/>
    <s v="Married"/>
    <n v="2909"/>
    <n v="15747"/>
    <n v="3"/>
    <s v="Y"/>
    <s v="No"/>
    <n v="15"/>
    <n v="3"/>
    <n v="4"/>
    <n v="80"/>
    <n v="1"/>
    <n v="5"/>
    <n v="3"/>
    <n v="4"/>
    <n v="3"/>
    <n v="2"/>
    <x v="1"/>
    <n v="2"/>
    <s v="OK"/>
    <s v="OK"/>
    <s v="OK"/>
    <s v="OK"/>
    <n v="0.33333333333333331"/>
    <n v="0.66666666666666663"/>
    <n v="1"/>
    <n v="0.66666666666666663"/>
  </r>
  <r>
    <n v="29"/>
    <s v="Yes"/>
    <s v="Travel_Frequently"/>
    <n v="115"/>
    <s v="Sales"/>
    <n v="13"/>
    <n v="3"/>
    <s v="Technical Degree"/>
    <n v="1"/>
    <n v="1487"/>
    <n v="1"/>
    <s v="Female"/>
    <n v="51"/>
    <n v="3"/>
    <n v="2"/>
    <x v="0"/>
    <n v="2"/>
    <s v="Single"/>
    <n v="5765"/>
    <n v="17485"/>
    <n v="5"/>
    <s v="Y"/>
    <s v="No"/>
    <n v="11"/>
    <n v="3"/>
    <n v="1"/>
    <n v="80"/>
    <n v="0"/>
    <n v="7"/>
    <n v="4"/>
    <n v="1"/>
    <n v="5"/>
    <n v="3"/>
    <x v="0"/>
    <n v="0"/>
    <s v="OK"/>
    <s v="OK"/>
    <s v="OK"/>
    <s v="OK"/>
    <n v="0"/>
    <n v="0.6"/>
    <n v="0.8"/>
    <n v="0"/>
  </r>
  <r>
    <n v="34"/>
    <s v="Yes"/>
    <s v="Travel_Rarely"/>
    <n v="790"/>
    <s v="Sales"/>
    <n v="24"/>
    <n v="4"/>
    <s v="Medical"/>
    <n v="1"/>
    <n v="1489"/>
    <n v="1"/>
    <s v="Female"/>
    <n v="40"/>
    <n v="2"/>
    <n v="2"/>
    <x v="0"/>
    <n v="2"/>
    <s v="Single"/>
    <n v="4599"/>
    <n v="7815"/>
    <n v="0"/>
    <s v="Y"/>
    <s v="Yes"/>
    <n v="23"/>
    <n v="4"/>
    <n v="3"/>
    <n v="80"/>
    <n v="0"/>
    <n v="16"/>
    <n v="2"/>
    <n v="4"/>
    <n v="15"/>
    <n v="9"/>
    <x v="13"/>
    <n v="10"/>
    <s v="OK"/>
    <s v="OK"/>
    <s v="OK"/>
    <s v="OK"/>
    <n v="0.66666666666666663"/>
    <n v="0.6"/>
    <n v="0.13333333333333333"/>
    <n v="0.66666666666666663"/>
  </r>
  <r>
    <n v="35"/>
    <s v="No"/>
    <s v="Travel_Rarely"/>
    <n v="660"/>
    <s v="Sales"/>
    <n v="7"/>
    <n v="1"/>
    <s v="Life Sciences"/>
    <n v="1"/>
    <n v="1492"/>
    <n v="4"/>
    <s v="Male"/>
    <n v="76"/>
    <n v="3"/>
    <n v="1"/>
    <x v="6"/>
    <n v="3"/>
    <s v="Married"/>
    <n v="2404"/>
    <n v="16192"/>
    <n v="1"/>
    <s v="Y"/>
    <s v="No"/>
    <n v="13"/>
    <n v="3"/>
    <n v="1"/>
    <n v="80"/>
    <n v="1"/>
    <n v="1"/>
    <n v="3"/>
    <n v="3"/>
    <n v="1"/>
    <n v="0"/>
    <x v="0"/>
    <n v="0"/>
    <s v="OK"/>
    <s v="OK"/>
    <s v="OK"/>
    <s v="OK"/>
    <n v="0"/>
    <n v="0"/>
    <n v="3"/>
    <n v="0"/>
  </r>
  <r>
    <n v="24"/>
    <s v="Yes"/>
    <s v="Travel_Frequently"/>
    <n v="381"/>
    <s v="Research &amp; Development"/>
    <n v="9"/>
    <n v="3"/>
    <s v="Medical"/>
    <n v="1"/>
    <n v="1494"/>
    <n v="2"/>
    <s v="Male"/>
    <n v="89"/>
    <n v="3"/>
    <n v="1"/>
    <x v="2"/>
    <n v="1"/>
    <s v="Single"/>
    <n v="3172"/>
    <n v="16998"/>
    <n v="2"/>
    <s v="Y"/>
    <s v="Yes"/>
    <n v="11"/>
    <n v="3"/>
    <n v="3"/>
    <n v="80"/>
    <n v="0"/>
    <n v="4"/>
    <n v="2"/>
    <n v="2"/>
    <n v="0"/>
    <n v="0"/>
    <x v="0"/>
    <n v="0"/>
    <s v="OK"/>
    <s v="OK"/>
    <s v="OK"/>
    <s v="OK"/>
    <n v="0"/>
    <n v="0"/>
    <n v="0"/>
    <n v="0"/>
  </r>
  <r>
    <n v="24"/>
    <s v="No"/>
    <s v="Non-Travel"/>
    <n v="830"/>
    <s v="Sales"/>
    <n v="13"/>
    <n v="2"/>
    <s v="Life Sciences"/>
    <n v="1"/>
    <n v="1495"/>
    <n v="4"/>
    <s v="Female"/>
    <n v="78"/>
    <n v="3"/>
    <n v="1"/>
    <x v="6"/>
    <n v="2"/>
    <s v="Married"/>
    <n v="2033"/>
    <n v="7103"/>
    <n v="1"/>
    <s v="Y"/>
    <s v="No"/>
    <n v="13"/>
    <n v="3"/>
    <n v="3"/>
    <n v="80"/>
    <n v="1"/>
    <n v="1"/>
    <n v="2"/>
    <n v="3"/>
    <n v="1"/>
    <n v="0"/>
    <x v="0"/>
    <n v="0"/>
    <s v="OK"/>
    <s v="OK"/>
    <s v="OK"/>
    <s v="OK"/>
    <n v="0"/>
    <n v="0"/>
    <n v="2"/>
    <n v="0"/>
  </r>
  <r>
    <n v="44"/>
    <s v="No"/>
    <s v="Travel_Frequently"/>
    <n v="1193"/>
    <s v="Research &amp; Development"/>
    <n v="2"/>
    <n v="1"/>
    <s v="Medical"/>
    <n v="1"/>
    <n v="1496"/>
    <n v="2"/>
    <s v="Male"/>
    <n v="86"/>
    <n v="3"/>
    <n v="3"/>
    <x v="3"/>
    <n v="3"/>
    <s v="Single"/>
    <n v="10209"/>
    <n v="19719"/>
    <n v="5"/>
    <s v="Y"/>
    <s v="Yes"/>
    <n v="18"/>
    <n v="3"/>
    <n v="2"/>
    <n v="80"/>
    <n v="0"/>
    <n v="16"/>
    <n v="2"/>
    <n v="2"/>
    <n v="2"/>
    <n v="2"/>
    <x v="3"/>
    <n v="2"/>
    <s v="OK"/>
    <s v="OK"/>
    <s v="OK"/>
    <s v="OK"/>
    <n v="1"/>
    <n v="1"/>
    <n v="1"/>
    <n v="1"/>
  </r>
  <r>
    <n v="29"/>
    <s v="No"/>
    <s v="Travel_Rarely"/>
    <n v="1246"/>
    <s v="Sales"/>
    <n v="19"/>
    <n v="3"/>
    <s v="Life Sciences"/>
    <n v="1"/>
    <n v="1497"/>
    <n v="3"/>
    <s v="Male"/>
    <n v="77"/>
    <n v="2"/>
    <n v="2"/>
    <x v="0"/>
    <n v="3"/>
    <s v="Divorced"/>
    <n v="8620"/>
    <n v="23757"/>
    <n v="1"/>
    <s v="Y"/>
    <s v="No"/>
    <n v="14"/>
    <n v="3"/>
    <n v="3"/>
    <n v="80"/>
    <n v="2"/>
    <n v="10"/>
    <n v="3"/>
    <n v="3"/>
    <n v="10"/>
    <n v="7"/>
    <x v="0"/>
    <n v="4"/>
    <s v="OK"/>
    <s v="OK"/>
    <s v="OK"/>
    <s v="OK"/>
    <n v="0"/>
    <n v="0.7"/>
    <n v="0.3"/>
    <n v="0.4"/>
  </r>
  <r>
    <n v="30"/>
    <s v="No"/>
    <s v="Travel_Rarely"/>
    <n v="330"/>
    <s v="Human Resources"/>
    <n v="1"/>
    <n v="3"/>
    <s v="Life Sciences"/>
    <n v="1"/>
    <n v="1499"/>
    <n v="3"/>
    <s v="Male"/>
    <n v="46"/>
    <n v="3"/>
    <n v="1"/>
    <x v="8"/>
    <n v="3"/>
    <s v="Divorced"/>
    <n v="2064"/>
    <n v="15428"/>
    <n v="0"/>
    <s v="Y"/>
    <s v="No"/>
    <n v="21"/>
    <n v="4"/>
    <n v="1"/>
    <n v="80"/>
    <n v="1"/>
    <n v="6"/>
    <n v="3"/>
    <n v="4"/>
    <n v="5"/>
    <n v="3"/>
    <x v="1"/>
    <n v="3"/>
    <s v="OK"/>
    <s v="OK"/>
    <s v="OK"/>
    <s v="OK"/>
    <n v="0.2"/>
    <n v="0.6"/>
    <n v="0.6"/>
    <n v="0.6"/>
  </r>
  <r>
    <n v="55"/>
    <s v="No"/>
    <s v="Travel_Rarely"/>
    <n v="1229"/>
    <s v="Research &amp; Development"/>
    <n v="4"/>
    <n v="4"/>
    <s v="Life Sciences"/>
    <n v="1"/>
    <n v="1501"/>
    <n v="4"/>
    <s v="Male"/>
    <n v="30"/>
    <n v="3"/>
    <n v="2"/>
    <x v="4"/>
    <n v="3"/>
    <s v="Married"/>
    <n v="4035"/>
    <n v="16143"/>
    <n v="0"/>
    <s v="Y"/>
    <s v="Yes"/>
    <n v="16"/>
    <n v="3"/>
    <n v="2"/>
    <n v="80"/>
    <n v="0"/>
    <n v="4"/>
    <n v="2"/>
    <n v="3"/>
    <n v="3"/>
    <n v="2"/>
    <x v="1"/>
    <n v="2"/>
    <s v="OK"/>
    <s v="OK"/>
    <s v="OK"/>
    <s v="OK"/>
    <n v="0.33333333333333331"/>
    <n v="0.66666666666666663"/>
    <n v="0.66666666666666663"/>
    <n v="0.66666666666666663"/>
  </r>
  <r>
    <n v="33"/>
    <s v="No"/>
    <s v="Travel_Rarely"/>
    <n v="1099"/>
    <s v="Research &amp; Development"/>
    <n v="4"/>
    <n v="4"/>
    <s v="Medical"/>
    <n v="1"/>
    <n v="1502"/>
    <n v="1"/>
    <s v="Female"/>
    <n v="82"/>
    <n v="2"/>
    <n v="1"/>
    <x v="2"/>
    <n v="2"/>
    <s v="Married"/>
    <n v="3838"/>
    <n v="8192"/>
    <n v="8"/>
    <s v="Y"/>
    <s v="No"/>
    <n v="11"/>
    <n v="3"/>
    <n v="4"/>
    <n v="80"/>
    <n v="0"/>
    <n v="8"/>
    <n v="5"/>
    <n v="3"/>
    <n v="5"/>
    <n v="4"/>
    <x v="0"/>
    <n v="2"/>
    <s v="OK"/>
    <s v="OK"/>
    <s v="OK"/>
    <s v="OK"/>
    <n v="0"/>
    <n v="0.8"/>
    <n v="1"/>
    <n v="0.4"/>
  </r>
  <r>
    <n v="47"/>
    <s v="No"/>
    <s v="Travel_Rarely"/>
    <n v="571"/>
    <s v="Sales"/>
    <n v="14"/>
    <n v="3"/>
    <s v="Medical"/>
    <n v="1"/>
    <n v="1503"/>
    <n v="3"/>
    <s v="Female"/>
    <n v="78"/>
    <n v="3"/>
    <n v="2"/>
    <x v="0"/>
    <n v="3"/>
    <s v="Married"/>
    <n v="4591"/>
    <n v="24200"/>
    <n v="3"/>
    <s v="Y"/>
    <s v="Yes"/>
    <n v="17"/>
    <n v="3"/>
    <n v="3"/>
    <n v="80"/>
    <n v="1"/>
    <n v="11"/>
    <n v="4"/>
    <n v="2"/>
    <n v="5"/>
    <n v="4"/>
    <x v="1"/>
    <n v="2"/>
    <s v="OK"/>
    <s v="OK"/>
    <s v="OK"/>
    <s v="OK"/>
    <n v="0.2"/>
    <n v="0.8"/>
    <n v="0.8"/>
    <n v="0.4"/>
  </r>
  <r>
    <n v="28"/>
    <s v="Yes"/>
    <s v="Travel_Frequently"/>
    <n v="289"/>
    <s v="Research &amp; Development"/>
    <n v="2"/>
    <n v="2"/>
    <s v="Medical"/>
    <n v="1"/>
    <n v="1504"/>
    <n v="3"/>
    <s v="Male"/>
    <n v="38"/>
    <n v="2"/>
    <n v="1"/>
    <x v="2"/>
    <n v="1"/>
    <s v="Single"/>
    <n v="2561"/>
    <n v="5355"/>
    <n v="7"/>
    <s v="Y"/>
    <s v="No"/>
    <n v="11"/>
    <n v="3"/>
    <n v="3"/>
    <n v="80"/>
    <n v="0"/>
    <n v="8"/>
    <n v="2"/>
    <n v="2"/>
    <n v="0"/>
    <n v="0"/>
    <x v="0"/>
    <n v="0"/>
    <s v="OK"/>
    <s v="OK"/>
    <s v="OK"/>
    <s v="OK"/>
    <n v="0"/>
    <n v="0"/>
    <n v="0"/>
    <n v="0"/>
  </r>
  <r>
    <n v="28"/>
    <s v="No"/>
    <s v="Travel_Rarely"/>
    <n v="1423"/>
    <s v="Research &amp; Development"/>
    <n v="1"/>
    <n v="3"/>
    <s v="Life Sciences"/>
    <n v="1"/>
    <n v="1506"/>
    <n v="1"/>
    <s v="Male"/>
    <n v="72"/>
    <n v="2"/>
    <n v="1"/>
    <x v="1"/>
    <n v="3"/>
    <s v="Divorced"/>
    <n v="1563"/>
    <n v="12530"/>
    <n v="1"/>
    <s v="Y"/>
    <s v="No"/>
    <n v="14"/>
    <n v="3"/>
    <n v="4"/>
    <n v="80"/>
    <n v="1"/>
    <n v="1"/>
    <n v="2"/>
    <n v="1"/>
    <n v="1"/>
    <n v="0"/>
    <x v="0"/>
    <n v="0"/>
    <s v="OK"/>
    <s v="OK"/>
    <s v="OK"/>
    <s v="OK"/>
    <n v="0"/>
    <n v="0"/>
    <n v="2"/>
    <n v="0"/>
  </r>
  <r>
    <n v="28"/>
    <s v="No"/>
    <s v="Travel_Frequently"/>
    <n v="467"/>
    <s v="Sales"/>
    <n v="7"/>
    <n v="3"/>
    <s v="Life Sciences"/>
    <n v="1"/>
    <n v="1507"/>
    <n v="3"/>
    <s v="Male"/>
    <n v="55"/>
    <n v="3"/>
    <n v="2"/>
    <x v="0"/>
    <n v="1"/>
    <s v="Single"/>
    <n v="4898"/>
    <n v="11827"/>
    <n v="0"/>
    <s v="Y"/>
    <s v="No"/>
    <n v="14"/>
    <n v="3"/>
    <n v="4"/>
    <n v="80"/>
    <n v="0"/>
    <n v="5"/>
    <n v="5"/>
    <n v="3"/>
    <n v="4"/>
    <n v="2"/>
    <x v="1"/>
    <n v="3"/>
    <s v="OK"/>
    <s v="OK"/>
    <s v="OK"/>
    <s v="OK"/>
    <n v="0.25"/>
    <n v="0.5"/>
    <n v="1.25"/>
    <n v="0.75"/>
  </r>
  <r>
    <n v="49"/>
    <s v="No"/>
    <s v="Travel_Rarely"/>
    <n v="271"/>
    <s v="Research &amp; Development"/>
    <n v="3"/>
    <n v="2"/>
    <s v="Medical"/>
    <n v="1"/>
    <n v="1509"/>
    <n v="3"/>
    <s v="Female"/>
    <n v="43"/>
    <n v="2"/>
    <n v="2"/>
    <x v="2"/>
    <n v="1"/>
    <s v="Married"/>
    <n v="4789"/>
    <n v="23070"/>
    <n v="4"/>
    <s v="Y"/>
    <s v="No"/>
    <n v="25"/>
    <n v="4"/>
    <n v="1"/>
    <n v="80"/>
    <n v="1"/>
    <n v="10"/>
    <n v="3"/>
    <n v="3"/>
    <n v="3"/>
    <n v="2"/>
    <x v="1"/>
    <n v="2"/>
    <s v="OK"/>
    <s v="OK"/>
    <s v="OK"/>
    <s v="OK"/>
    <n v="0.33333333333333331"/>
    <n v="0.66666666666666663"/>
    <n v="1"/>
    <n v="0.66666666666666663"/>
  </r>
  <r>
    <n v="29"/>
    <s v="No"/>
    <s v="Travel_Frequently"/>
    <n v="410"/>
    <s v="Research &amp; Development"/>
    <n v="2"/>
    <n v="1"/>
    <s v="Life Sciences"/>
    <n v="1"/>
    <n v="1513"/>
    <n v="4"/>
    <s v="Female"/>
    <n v="97"/>
    <n v="3"/>
    <n v="1"/>
    <x v="2"/>
    <n v="2"/>
    <s v="Married"/>
    <n v="3180"/>
    <n v="4668"/>
    <n v="0"/>
    <s v="Y"/>
    <s v="No"/>
    <n v="13"/>
    <n v="3"/>
    <n v="3"/>
    <n v="80"/>
    <n v="3"/>
    <n v="4"/>
    <n v="3"/>
    <n v="3"/>
    <n v="3"/>
    <n v="2"/>
    <x v="0"/>
    <n v="2"/>
    <s v="OK"/>
    <s v="OK"/>
    <s v="OK"/>
    <s v="OK"/>
    <n v="0"/>
    <n v="0.66666666666666663"/>
    <n v="1"/>
    <n v="0.66666666666666663"/>
  </r>
  <r>
    <n v="28"/>
    <s v="No"/>
    <s v="Travel_Rarely"/>
    <n v="1083"/>
    <s v="Research &amp; Development"/>
    <n v="29"/>
    <n v="1"/>
    <s v="Life Sciences"/>
    <n v="1"/>
    <n v="1514"/>
    <n v="3"/>
    <s v="Male"/>
    <n v="96"/>
    <n v="1"/>
    <n v="2"/>
    <x v="3"/>
    <n v="2"/>
    <s v="Married"/>
    <n v="6549"/>
    <n v="3173"/>
    <n v="1"/>
    <s v="Y"/>
    <s v="No"/>
    <n v="14"/>
    <n v="3"/>
    <n v="2"/>
    <n v="80"/>
    <n v="2"/>
    <n v="8"/>
    <n v="2"/>
    <n v="2"/>
    <n v="8"/>
    <n v="6"/>
    <x v="1"/>
    <n v="7"/>
    <s v="OK"/>
    <s v="OK"/>
    <s v="OK"/>
    <s v="OK"/>
    <n v="0.125"/>
    <n v="0.75"/>
    <n v="0.25"/>
    <n v="0.875"/>
  </r>
  <r>
    <n v="33"/>
    <s v="No"/>
    <s v="Travel_Rarely"/>
    <n v="516"/>
    <s v="Research &amp; Development"/>
    <n v="8"/>
    <n v="5"/>
    <s v="Life Sciences"/>
    <n v="1"/>
    <n v="1515"/>
    <n v="4"/>
    <s v="Male"/>
    <n v="69"/>
    <n v="3"/>
    <n v="2"/>
    <x v="4"/>
    <n v="3"/>
    <s v="Single"/>
    <n v="6388"/>
    <n v="22049"/>
    <n v="2"/>
    <s v="Y"/>
    <s v="Yes"/>
    <n v="17"/>
    <n v="3"/>
    <n v="1"/>
    <n v="80"/>
    <n v="0"/>
    <n v="14"/>
    <n v="6"/>
    <n v="3"/>
    <n v="0"/>
    <n v="0"/>
    <x v="0"/>
    <n v="0"/>
    <s v="OK"/>
    <s v="OK"/>
    <s v="OK"/>
    <s v="OK"/>
    <n v="0"/>
    <n v="0"/>
    <n v="0"/>
    <n v="0"/>
  </r>
  <r>
    <n v="32"/>
    <s v="No"/>
    <s v="Travel_Rarely"/>
    <n v="495"/>
    <s v="Research &amp; Development"/>
    <n v="10"/>
    <n v="3"/>
    <s v="Medical"/>
    <n v="1"/>
    <n v="1516"/>
    <n v="3"/>
    <s v="Male"/>
    <n v="64"/>
    <n v="3"/>
    <n v="3"/>
    <x v="5"/>
    <n v="4"/>
    <s v="Single"/>
    <n v="11244"/>
    <n v="21072"/>
    <n v="2"/>
    <s v="Y"/>
    <s v="No"/>
    <n v="25"/>
    <n v="4"/>
    <n v="2"/>
    <n v="80"/>
    <n v="0"/>
    <n v="10"/>
    <n v="5"/>
    <n v="4"/>
    <n v="5"/>
    <n v="2"/>
    <x v="0"/>
    <n v="0"/>
    <s v="OK"/>
    <s v="OK"/>
    <s v="OK"/>
    <s v="OK"/>
    <n v="0"/>
    <n v="0.4"/>
    <n v="1"/>
    <n v="0"/>
  </r>
  <r>
    <n v="54"/>
    <s v="No"/>
    <s v="Travel_Frequently"/>
    <n v="1050"/>
    <s v="Research &amp; Development"/>
    <n v="11"/>
    <n v="4"/>
    <s v="Medical"/>
    <n v="1"/>
    <n v="1520"/>
    <n v="2"/>
    <s v="Female"/>
    <n v="87"/>
    <n v="3"/>
    <n v="4"/>
    <x v="5"/>
    <n v="4"/>
    <s v="Divorced"/>
    <n v="16032"/>
    <n v="24456"/>
    <n v="3"/>
    <s v="Y"/>
    <s v="No"/>
    <n v="20"/>
    <n v="4"/>
    <n v="1"/>
    <n v="80"/>
    <n v="1"/>
    <n v="26"/>
    <n v="2"/>
    <n v="3"/>
    <n v="14"/>
    <n v="9"/>
    <x v="1"/>
    <n v="12"/>
    <s v="OK"/>
    <s v="OK"/>
    <s v="OK"/>
    <s v="OK"/>
    <n v="7.1428571428571425E-2"/>
    <n v="0.6428571428571429"/>
    <n v="0.14285714285714285"/>
    <n v="0.8571428571428571"/>
  </r>
  <r>
    <n v="29"/>
    <s v="Yes"/>
    <s v="Travel_Rarely"/>
    <n v="224"/>
    <s v="Research &amp; Development"/>
    <n v="1"/>
    <n v="4"/>
    <s v="Technical Degree"/>
    <n v="1"/>
    <n v="1522"/>
    <n v="1"/>
    <s v="Male"/>
    <n v="100"/>
    <n v="2"/>
    <n v="1"/>
    <x v="1"/>
    <n v="1"/>
    <s v="Single"/>
    <n v="2362"/>
    <n v="7568"/>
    <n v="6"/>
    <s v="Y"/>
    <s v="No"/>
    <n v="13"/>
    <n v="3"/>
    <n v="3"/>
    <n v="80"/>
    <n v="0"/>
    <n v="11"/>
    <n v="2"/>
    <n v="1"/>
    <n v="9"/>
    <n v="7"/>
    <x v="0"/>
    <n v="7"/>
    <s v="OK"/>
    <s v="OK"/>
    <s v="OK"/>
    <s v="OK"/>
    <n v="0"/>
    <n v="0.77777777777777779"/>
    <n v="0.22222222222222221"/>
    <n v="0.77777777777777779"/>
  </r>
  <r>
    <n v="44"/>
    <s v="No"/>
    <s v="Travel_Rarely"/>
    <n v="136"/>
    <s v="Research &amp; Development"/>
    <n v="28"/>
    <n v="3"/>
    <s v="Life Sciences"/>
    <n v="1"/>
    <n v="1523"/>
    <n v="4"/>
    <s v="Male"/>
    <n v="32"/>
    <n v="3"/>
    <n v="4"/>
    <x v="7"/>
    <n v="1"/>
    <s v="Married"/>
    <n v="16328"/>
    <n v="22074"/>
    <n v="3"/>
    <s v="Y"/>
    <s v="No"/>
    <n v="13"/>
    <n v="3"/>
    <n v="3"/>
    <n v="80"/>
    <n v="1"/>
    <n v="24"/>
    <n v="1"/>
    <n v="4"/>
    <n v="20"/>
    <n v="6"/>
    <x v="15"/>
    <n v="17"/>
    <s v="OK"/>
    <s v="OK"/>
    <s v="OK"/>
    <s v="OK"/>
    <n v="0.7"/>
    <n v="0.3"/>
    <n v="0.05"/>
    <n v="0.85"/>
  </r>
  <r>
    <n v="39"/>
    <s v="No"/>
    <s v="Travel_Rarely"/>
    <n v="1089"/>
    <s v="Research &amp; Development"/>
    <n v="6"/>
    <n v="3"/>
    <s v="Life Sciences"/>
    <n v="1"/>
    <n v="1525"/>
    <n v="2"/>
    <s v="Female"/>
    <n v="32"/>
    <n v="3"/>
    <n v="3"/>
    <x v="3"/>
    <n v="2"/>
    <s v="Single"/>
    <n v="8376"/>
    <n v="9150"/>
    <n v="4"/>
    <s v="Y"/>
    <s v="No"/>
    <n v="18"/>
    <n v="3"/>
    <n v="4"/>
    <n v="80"/>
    <n v="0"/>
    <n v="9"/>
    <n v="3"/>
    <n v="3"/>
    <n v="2"/>
    <n v="0"/>
    <x v="3"/>
    <n v="2"/>
    <s v="OK"/>
    <s v="OK"/>
    <s v="OK"/>
    <s v="OK"/>
    <n v="1"/>
    <n v="0"/>
    <n v="1.5"/>
    <n v="1"/>
  </r>
  <r>
    <n v="46"/>
    <s v="No"/>
    <s v="Travel_Rarely"/>
    <n v="228"/>
    <s v="Sales"/>
    <n v="3"/>
    <n v="3"/>
    <s v="Life Sciences"/>
    <n v="1"/>
    <n v="1527"/>
    <n v="3"/>
    <s v="Female"/>
    <n v="51"/>
    <n v="3"/>
    <n v="4"/>
    <x v="5"/>
    <n v="2"/>
    <s v="Married"/>
    <n v="16606"/>
    <n v="11380"/>
    <n v="8"/>
    <s v="Y"/>
    <s v="No"/>
    <n v="12"/>
    <n v="3"/>
    <n v="4"/>
    <n v="80"/>
    <n v="1"/>
    <n v="23"/>
    <n v="2"/>
    <n v="4"/>
    <n v="13"/>
    <n v="12"/>
    <x v="8"/>
    <n v="1"/>
    <s v="OK"/>
    <s v="OK"/>
    <s v="OK"/>
    <s v="OK"/>
    <n v="0.38461538461538464"/>
    <n v="0.92307692307692313"/>
    <n v="0.15384615384615385"/>
    <n v="7.6923076923076927E-2"/>
  </r>
  <r>
    <n v="35"/>
    <s v="No"/>
    <s v="Travel_Rarely"/>
    <n v="1029"/>
    <s v="Research &amp; Development"/>
    <n v="16"/>
    <n v="3"/>
    <s v="Life Sciences"/>
    <n v="1"/>
    <n v="1529"/>
    <n v="4"/>
    <s v="Female"/>
    <n v="91"/>
    <n v="2"/>
    <n v="3"/>
    <x v="4"/>
    <n v="2"/>
    <s v="Single"/>
    <n v="8606"/>
    <n v="21195"/>
    <n v="1"/>
    <s v="Y"/>
    <s v="No"/>
    <n v="19"/>
    <n v="3"/>
    <n v="4"/>
    <n v="80"/>
    <n v="0"/>
    <n v="11"/>
    <n v="3"/>
    <n v="1"/>
    <n v="11"/>
    <n v="8"/>
    <x v="2"/>
    <n v="3"/>
    <s v="OK"/>
    <s v="OK"/>
    <s v="OK"/>
    <s v="OK"/>
    <n v="0.27272727272727271"/>
    <n v="0.72727272727272729"/>
    <n v="0.27272727272727271"/>
    <n v="0.27272727272727271"/>
  </r>
  <r>
    <n v="23"/>
    <s v="No"/>
    <s v="Travel_Rarely"/>
    <n v="507"/>
    <s v="Research &amp; Development"/>
    <n v="20"/>
    <n v="1"/>
    <s v="Life Sciences"/>
    <n v="1"/>
    <n v="1533"/>
    <n v="1"/>
    <s v="Male"/>
    <n v="97"/>
    <n v="3"/>
    <n v="2"/>
    <x v="2"/>
    <n v="3"/>
    <s v="Single"/>
    <n v="2272"/>
    <n v="24812"/>
    <n v="0"/>
    <s v="Y"/>
    <s v="No"/>
    <n v="14"/>
    <n v="3"/>
    <n v="2"/>
    <n v="80"/>
    <n v="0"/>
    <n v="5"/>
    <n v="2"/>
    <n v="3"/>
    <n v="4"/>
    <n v="3"/>
    <x v="1"/>
    <n v="2"/>
    <s v="OK"/>
    <s v="OK"/>
    <s v="OK"/>
    <s v="OK"/>
    <n v="0.25"/>
    <n v="0.75"/>
    <n v="0.5"/>
    <n v="0.5"/>
  </r>
  <r>
    <n v="40"/>
    <s v="Yes"/>
    <s v="Travel_Rarely"/>
    <n v="676"/>
    <s v="Research &amp; Development"/>
    <n v="9"/>
    <n v="4"/>
    <s v="Life Sciences"/>
    <n v="1"/>
    <n v="1534"/>
    <n v="4"/>
    <s v="Male"/>
    <n v="86"/>
    <n v="3"/>
    <n v="1"/>
    <x v="2"/>
    <n v="1"/>
    <s v="Single"/>
    <n v="2018"/>
    <n v="21831"/>
    <n v="3"/>
    <s v="Y"/>
    <s v="No"/>
    <n v="14"/>
    <n v="3"/>
    <n v="2"/>
    <n v="80"/>
    <n v="0"/>
    <n v="15"/>
    <n v="3"/>
    <n v="1"/>
    <n v="5"/>
    <n v="4"/>
    <x v="1"/>
    <n v="0"/>
    <s v="OK"/>
    <s v="OK"/>
    <s v="OK"/>
    <s v="OK"/>
    <n v="0.2"/>
    <n v="0.8"/>
    <n v="0.6"/>
    <n v="0"/>
  </r>
  <r>
    <n v="34"/>
    <s v="No"/>
    <s v="Travel_Rarely"/>
    <n v="971"/>
    <s v="Sales"/>
    <n v="1"/>
    <n v="3"/>
    <s v="Technical Degree"/>
    <n v="1"/>
    <n v="1535"/>
    <n v="4"/>
    <s v="Male"/>
    <n v="64"/>
    <n v="2"/>
    <n v="3"/>
    <x v="0"/>
    <n v="3"/>
    <s v="Married"/>
    <n v="7083"/>
    <n v="12288"/>
    <n v="1"/>
    <s v="Y"/>
    <s v="Yes"/>
    <n v="14"/>
    <n v="3"/>
    <n v="4"/>
    <n v="80"/>
    <n v="0"/>
    <n v="10"/>
    <n v="3"/>
    <n v="3"/>
    <n v="10"/>
    <n v="9"/>
    <x v="6"/>
    <n v="6"/>
    <s v="OK"/>
    <s v="OK"/>
    <s v="OK"/>
    <s v="OK"/>
    <n v="0.8"/>
    <n v="0.9"/>
    <n v="0.3"/>
    <n v="0.6"/>
  </r>
  <r>
    <n v="31"/>
    <s v="Yes"/>
    <s v="Travel_Frequently"/>
    <n v="561"/>
    <s v="Research &amp; Development"/>
    <n v="3"/>
    <n v="3"/>
    <s v="Life Sciences"/>
    <n v="1"/>
    <n v="1537"/>
    <n v="4"/>
    <s v="Female"/>
    <n v="33"/>
    <n v="3"/>
    <n v="1"/>
    <x v="1"/>
    <n v="3"/>
    <s v="Single"/>
    <n v="4084"/>
    <n v="4156"/>
    <n v="1"/>
    <s v="Y"/>
    <s v="No"/>
    <n v="12"/>
    <n v="3"/>
    <n v="1"/>
    <n v="80"/>
    <n v="0"/>
    <n v="7"/>
    <n v="2"/>
    <n v="1"/>
    <n v="7"/>
    <n v="2"/>
    <x v="4"/>
    <n v="7"/>
    <s v="OK"/>
    <s v="OK"/>
    <s v="OK"/>
    <s v="OK"/>
    <n v="1"/>
    <n v="0.2857142857142857"/>
    <n v="0.2857142857142857"/>
    <n v="1"/>
  </r>
  <r>
    <n v="50"/>
    <s v="No"/>
    <s v="Travel_Frequently"/>
    <n v="333"/>
    <s v="Research &amp; Development"/>
    <n v="22"/>
    <n v="5"/>
    <s v="Medical"/>
    <n v="1"/>
    <n v="1539"/>
    <n v="3"/>
    <s v="Male"/>
    <n v="88"/>
    <n v="1"/>
    <n v="4"/>
    <x v="7"/>
    <n v="4"/>
    <s v="Single"/>
    <n v="14411"/>
    <n v="24450"/>
    <n v="1"/>
    <s v="Y"/>
    <s v="Yes"/>
    <n v="13"/>
    <n v="3"/>
    <n v="4"/>
    <n v="80"/>
    <n v="0"/>
    <n v="32"/>
    <n v="2"/>
    <n v="3"/>
    <n v="32"/>
    <n v="6"/>
    <x v="11"/>
    <n v="9"/>
    <s v="OK"/>
    <s v="OK"/>
    <s v="OK"/>
    <s v="OK"/>
    <n v="0.40625"/>
    <n v="0.1875"/>
    <n v="6.25E-2"/>
    <n v="0.28125"/>
  </r>
  <r>
    <n v="34"/>
    <s v="No"/>
    <s v="Travel_Rarely"/>
    <n v="1440"/>
    <s v="Sales"/>
    <n v="7"/>
    <n v="2"/>
    <s v="Technical Degree"/>
    <n v="1"/>
    <n v="1541"/>
    <n v="2"/>
    <s v="Male"/>
    <n v="55"/>
    <n v="3"/>
    <n v="1"/>
    <x v="6"/>
    <n v="3"/>
    <s v="Married"/>
    <n v="2308"/>
    <n v="4944"/>
    <n v="0"/>
    <s v="Y"/>
    <s v="Yes"/>
    <n v="25"/>
    <n v="4"/>
    <n v="2"/>
    <n v="80"/>
    <n v="1"/>
    <n v="12"/>
    <n v="4"/>
    <n v="3"/>
    <n v="11"/>
    <n v="10"/>
    <x v="8"/>
    <n v="7"/>
    <s v="OK"/>
    <s v="OK"/>
    <s v="OK"/>
    <s v="OK"/>
    <n v="0.45454545454545453"/>
    <n v="0.90909090909090906"/>
    <n v="0.36363636363636365"/>
    <n v="0.63636363636363635"/>
  </r>
  <r>
    <n v="42"/>
    <s v="No"/>
    <s v="Travel_Rarely"/>
    <n v="1210"/>
    <s v="Research &amp; Development"/>
    <n v="2"/>
    <n v="3"/>
    <s v="Medical"/>
    <n v="1"/>
    <n v="1542"/>
    <n v="3"/>
    <s v="Male"/>
    <n v="68"/>
    <n v="2"/>
    <n v="1"/>
    <x v="2"/>
    <n v="2"/>
    <s v="Married"/>
    <n v="4841"/>
    <n v="24052"/>
    <n v="4"/>
    <s v="Y"/>
    <s v="No"/>
    <n v="14"/>
    <n v="3"/>
    <n v="2"/>
    <n v="80"/>
    <n v="1"/>
    <n v="4"/>
    <n v="3"/>
    <n v="3"/>
    <n v="1"/>
    <n v="0"/>
    <x v="0"/>
    <n v="0"/>
    <s v="OK"/>
    <s v="OK"/>
    <s v="OK"/>
    <s v="OK"/>
    <n v="0"/>
    <n v="0"/>
    <n v="3"/>
    <n v="0"/>
  </r>
  <r>
    <n v="37"/>
    <s v="No"/>
    <s v="Travel_Rarely"/>
    <n v="674"/>
    <s v="Research &amp; Development"/>
    <n v="13"/>
    <n v="3"/>
    <s v="Medical"/>
    <n v="1"/>
    <n v="1543"/>
    <n v="1"/>
    <s v="Male"/>
    <n v="47"/>
    <n v="3"/>
    <n v="2"/>
    <x v="1"/>
    <n v="4"/>
    <s v="Married"/>
    <n v="4285"/>
    <n v="3031"/>
    <n v="1"/>
    <s v="Y"/>
    <s v="No"/>
    <n v="17"/>
    <n v="3"/>
    <n v="1"/>
    <n v="80"/>
    <n v="0"/>
    <n v="10"/>
    <n v="2"/>
    <n v="3"/>
    <n v="10"/>
    <n v="8"/>
    <x v="2"/>
    <n v="7"/>
    <s v="OK"/>
    <s v="OK"/>
    <s v="OK"/>
    <s v="OK"/>
    <n v="0.3"/>
    <n v="0.8"/>
    <n v="0.2"/>
    <n v="0.7"/>
  </r>
  <r>
    <n v="29"/>
    <s v="No"/>
    <s v="Travel_Rarely"/>
    <n v="441"/>
    <s v="Research &amp; Development"/>
    <n v="8"/>
    <n v="1"/>
    <s v="Other"/>
    <n v="1"/>
    <n v="1544"/>
    <n v="3"/>
    <s v="Female"/>
    <n v="39"/>
    <n v="1"/>
    <n v="2"/>
    <x v="4"/>
    <n v="1"/>
    <s v="Married"/>
    <n v="9715"/>
    <n v="7288"/>
    <n v="3"/>
    <s v="Y"/>
    <s v="No"/>
    <n v="13"/>
    <n v="3"/>
    <n v="3"/>
    <n v="80"/>
    <n v="1"/>
    <n v="9"/>
    <n v="3"/>
    <n v="3"/>
    <n v="7"/>
    <n v="7"/>
    <x v="0"/>
    <n v="7"/>
    <s v="OK"/>
    <s v="OK"/>
    <s v="OK"/>
    <s v="OK"/>
    <n v="0"/>
    <n v="1"/>
    <n v="0.42857142857142855"/>
    <n v="1"/>
  </r>
  <r>
    <n v="33"/>
    <s v="No"/>
    <s v="Travel_Rarely"/>
    <n v="575"/>
    <s v="Research &amp; Development"/>
    <n v="25"/>
    <n v="3"/>
    <s v="Life Sciences"/>
    <n v="1"/>
    <n v="1545"/>
    <n v="4"/>
    <s v="Male"/>
    <n v="44"/>
    <n v="2"/>
    <n v="2"/>
    <x v="3"/>
    <n v="2"/>
    <s v="Single"/>
    <n v="4320"/>
    <n v="24152"/>
    <n v="1"/>
    <s v="Y"/>
    <s v="No"/>
    <n v="13"/>
    <n v="3"/>
    <n v="4"/>
    <n v="80"/>
    <n v="0"/>
    <n v="5"/>
    <n v="2"/>
    <n v="3"/>
    <n v="5"/>
    <n v="3"/>
    <x v="0"/>
    <n v="2"/>
    <s v="OK"/>
    <s v="OK"/>
    <s v="OK"/>
    <s v="OK"/>
    <n v="0"/>
    <n v="0.6"/>
    <n v="0.4"/>
    <n v="0.4"/>
  </r>
  <r>
    <n v="45"/>
    <s v="No"/>
    <s v="Travel_Rarely"/>
    <n v="950"/>
    <s v="Research &amp; Development"/>
    <n v="28"/>
    <n v="3"/>
    <s v="Technical Degree"/>
    <n v="1"/>
    <n v="1546"/>
    <n v="4"/>
    <s v="Male"/>
    <n v="97"/>
    <n v="3"/>
    <n v="1"/>
    <x v="1"/>
    <n v="4"/>
    <s v="Married"/>
    <n v="2132"/>
    <n v="4585"/>
    <n v="4"/>
    <s v="Y"/>
    <s v="No"/>
    <n v="20"/>
    <n v="4"/>
    <n v="4"/>
    <n v="80"/>
    <n v="1"/>
    <n v="8"/>
    <n v="3"/>
    <n v="3"/>
    <n v="5"/>
    <n v="4"/>
    <x v="0"/>
    <n v="3"/>
    <s v="OK"/>
    <s v="OK"/>
    <s v="OK"/>
    <s v="OK"/>
    <n v="0"/>
    <n v="0.8"/>
    <n v="0.6"/>
    <n v="0.6"/>
  </r>
  <r>
    <n v="42"/>
    <s v="No"/>
    <s v="Travel_Frequently"/>
    <n v="288"/>
    <s v="Research &amp; Development"/>
    <n v="2"/>
    <n v="3"/>
    <s v="Life Sciences"/>
    <n v="1"/>
    <n v="1547"/>
    <n v="4"/>
    <s v="Male"/>
    <n v="40"/>
    <n v="3"/>
    <n v="3"/>
    <x v="4"/>
    <n v="4"/>
    <s v="Married"/>
    <n v="10124"/>
    <n v="18611"/>
    <n v="2"/>
    <s v="Y"/>
    <s v="Yes"/>
    <n v="14"/>
    <n v="3"/>
    <n v="3"/>
    <n v="80"/>
    <n v="1"/>
    <n v="24"/>
    <n v="3"/>
    <n v="1"/>
    <n v="20"/>
    <n v="8"/>
    <x v="11"/>
    <n v="9"/>
    <s v="OK"/>
    <s v="OK"/>
    <s v="OK"/>
    <s v="OK"/>
    <n v="0.65"/>
    <n v="0.4"/>
    <n v="0.15"/>
    <n v="0.45"/>
  </r>
  <r>
    <n v="40"/>
    <s v="No"/>
    <s v="Travel_Rarely"/>
    <n v="1342"/>
    <s v="Sales"/>
    <n v="9"/>
    <n v="2"/>
    <s v="Medical"/>
    <n v="1"/>
    <n v="1548"/>
    <n v="1"/>
    <s v="Male"/>
    <n v="47"/>
    <n v="3"/>
    <n v="2"/>
    <x v="0"/>
    <n v="1"/>
    <s v="Married"/>
    <n v="5473"/>
    <n v="19345"/>
    <n v="0"/>
    <s v="Y"/>
    <s v="No"/>
    <n v="12"/>
    <n v="3"/>
    <n v="4"/>
    <n v="80"/>
    <n v="0"/>
    <n v="9"/>
    <n v="5"/>
    <n v="4"/>
    <n v="8"/>
    <n v="4"/>
    <x v="4"/>
    <n v="1"/>
    <s v="OK"/>
    <s v="OK"/>
    <s v="OK"/>
    <s v="OK"/>
    <n v="0.875"/>
    <n v="0.5"/>
    <n v="0.625"/>
    <n v="0.125"/>
  </r>
  <r>
    <n v="33"/>
    <s v="No"/>
    <s v="Travel_Rarely"/>
    <n v="589"/>
    <s v="Research &amp; Development"/>
    <n v="28"/>
    <n v="4"/>
    <s v="Life Sciences"/>
    <n v="1"/>
    <n v="1549"/>
    <n v="2"/>
    <s v="Male"/>
    <n v="79"/>
    <n v="3"/>
    <n v="2"/>
    <x v="2"/>
    <n v="3"/>
    <s v="Married"/>
    <n v="5207"/>
    <n v="22949"/>
    <n v="1"/>
    <s v="Y"/>
    <s v="Yes"/>
    <n v="12"/>
    <n v="3"/>
    <n v="2"/>
    <n v="80"/>
    <n v="1"/>
    <n v="15"/>
    <n v="3"/>
    <n v="3"/>
    <n v="15"/>
    <n v="14"/>
    <x v="8"/>
    <n v="7"/>
    <s v="OK"/>
    <s v="OK"/>
    <s v="OK"/>
    <s v="OK"/>
    <n v="0.33333333333333331"/>
    <n v="0.93333333333333335"/>
    <n v="0.2"/>
    <n v="0.46666666666666667"/>
  </r>
  <r>
    <n v="40"/>
    <s v="No"/>
    <s v="Travel_Rarely"/>
    <n v="898"/>
    <s v="Human Resources"/>
    <n v="6"/>
    <n v="2"/>
    <s v="Medical"/>
    <n v="1"/>
    <n v="1550"/>
    <n v="3"/>
    <s v="Male"/>
    <n v="38"/>
    <n v="3"/>
    <n v="4"/>
    <x v="5"/>
    <n v="4"/>
    <s v="Single"/>
    <n v="16437"/>
    <n v="17381"/>
    <n v="1"/>
    <s v="Y"/>
    <s v="Yes"/>
    <n v="21"/>
    <n v="4"/>
    <n v="4"/>
    <n v="80"/>
    <n v="0"/>
    <n v="21"/>
    <n v="2"/>
    <n v="3"/>
    <n v="21"/>
    <n v="7"/>
    <x v="4"/>
    <n v="7"/>
    <s v="OK"/>
    <s v="OK"/>
    <s v="OK"/>
    <s v="OK"/>
    <n v="0.33333333333333331"/>
    <n v="0.33333333333333331"/>
    <n v="9.5238095238095233E-2"/>
    <n v="0.33333333333333331"/>
  </r>
  <r>
    <n v="24"/>
    <s v="No"/>
    <s v="Travel_Rarely"/>
    <n v="350"/>
    <s v="Research &amp; Development"/>
    <n v="21"/>
    <n v="2"/>
    <s v="Technical Degree"/>
    <n v="1"/>
    <n v="1551"/>
    <n v="3"/>
    <s v="Male"/>
    <n v="57"/>
    <n v="2"/>
    <n v="1"/>
    <x v="2"/>
    <n v="1"/>
    <s v="Divorced"/>
    <n v="2296"/>
    <n v="10036"/>
    <n v="0"/>
    <s v="Y"/>
    <s v="No"/>
    <n v="14"/>
    <n v="3"/>
    <n v="2"/>
    <n v="80"/>
    <n v="3"/>
    <n v="2"/>
    <n v="3"/>
    <n v="3"/>
    <n v="1"/>
    <n v="1"/>
    <x v="0"/>
    <n v="0"/>
    <s v="OK"/>
    <s v="OK"/>
    <s v="OK"/>
    <s v="OK"/>
    <n v="0"/>
    <n v="1"/>
    <n v="3"/>
    <n v="0"/>
  </r>
  <r>
    <n v="40"/>
    <s v="No"/>
    <s v="Non-Travel"/>
    <n v="1142"/>
    <s v="Research &amp; Development"/>
    <n v="8"/>
    <n v="2"/>
    <s v="Life Sciences"/>
    <n v="1"/>
    <n v="1552"/>
    <n v="4"/>
    <s v="Male"/>
    <n v="72"/>
    <n v="3"/>
    <n v="2"/>
    <x v="4"/>
    <n v="4"/>
    <s v="Divorced"/>
    <n v="4069"/>
    <n v="8841"/>
    <n v="3"/>
    <s v="Y"/>
    <s v="Yes"/>
    <n v="18"/>
    <n v="3"/>
    <n v="3"/>
    <n v="80"/>
    <n v="0"/>
    <n v="8"/>
    <n v="2"/>
    <n v="3"/>
    <n v="2"/>
    <n v="2"/>
    <x v="3"/>
    <n v="2"/>
    <s v="OK"/>
    <s v="OK"/>
    <s v="OK"/>
    <s v="OK"/>
    <n v="1"/>
    <n v="1"/>
    <n v="1"/>
    <n v="1"/>
  </r>
  <r>
    <n v="45"/>
    <s v="No"/>
    <s v="Travel_Rarely"/>
    <n v="538"/>
    <s v="Research &amp; Development"/>
    <n v="1"/>
    <n v="4"/>
    <s v="Technical Degree"/>
    <n v="1"/>
    <n v="1553"/>
    <n v="1"/>
    <s v="Male"/>
    <n v="66"/>
    <n v="3"/>
    <n v="3"/>
    <x v="4"/>
    <n v="2"/>
    <s v="Divorced"/>
    <n v="7441"/>
    <n v="20933"/>
    <n v="1"/>
    <s v="Y"/>
    <s v="No"/>
    <n v="12"/>
    <n v="3"/>
    <n v="1"/>
    <n v="80"/>
    <n v="3"/>
    <n v="10"/>
    <n v="4"/>
    <n v="3"/>
    <n v="10"/>
    <n v="8"/>
    <x v="4"/>
    <n v="7"/>
    <s v="OK"/>
    <s v="OK"/>
    <s v="OK"/>
    <s v="OK"/>
    <n v="0.7"/>
    <n v="0.8"/>
    <n v="0.4"/>
    <n v="0.7"/>
  </r>
  <r>
    <n v="35"/>
    <s v="No"/>
    <s v="Travel_Rarely"/>
    <n v="1402"/>
    <s v="Sales"/>
    <n v="28"/>
    <n v="4"/>
    <s v="Life Sciences"/>
    <n v="1"/>
    <n v="1554"/>
    <n v="2"/>
    <s v="Female"/>
    <n v="98"/>
    <n v="2"/>
    <n v="1"/>
    <x v="6"/>
    <n v="3"/>
    <s v="Married"/>
    <n v="2430"/>
    <n v="26204"/>
    <n v="0"/>
    <s v="Y"/>
    <s v="No"/>
    <n v="23"/>
    <n v="4"/>
    <n v="1"/>
    <n v="80"/>
    <n v="2"/>
    <n v="6"/>
    <n v="5"/>
    <n v="3"/>
    <n v="5"/>
    <n v="3"/>
    <x v="5"/>
    <n v="2"/>
    <s v="OK"/>
    <s v="OK"/>
    <s v="OK"/>
    <s v="OK"/>
    <n v="0.8"/>
    <n v="0.6"/>
    <n v="1"/>
    <n v="0.4"/>
  </r>
  <r>
    <n v="32"/>
    <s v="No"/>
    <s v="Travel_Rarely"/>
    <n v="824"/>
    <s v="Research &amp; Development"/>
    <n v="5"/>
    <n v="2"/>
    <s v="Life Sciences"/>
    <n v="1"/>
    <n v="1555"/>
    <n v="4"/>
    <s v="Female"/>
    <n v="67"/>
    <n v="2"/>
    <n v="2"/>
    <x v="1"/>
    <n v="2"/>
    <s v="Married"/>
    <n v="5878"/>
    <n v="15624"/>
    <n v="3"/>
    <s v="Y"/>
    <s v="No"/>
    <n v="12"/>
    <n v="3"/>
    <n v="1"/>
    <n v="80"/>
    <n v="1"/>
    <n v="12"/>
    <n v="2"/>
    <n v="3"/>
    <n v="7"/>
    <n v="1"/>
    <x v="3"/>
    <n v="5"/>
    <s v="OK"/>
    <s v="OK"/>
    <s v="OK"/>
    <s v="OK"/>
    <n v="0.2857142857142857"/>
    <n v="0.14285714285714285"/>
    <n v="0.2857142857142857"/>
    <n v="0.7142857142857143"/>
  </r>
  <r>
    <n v="36"/>
    <s v="No"/>
    <s v="Travel_Rarely"/>
    <n v="1157"/>
    <s v="Sales"/>
    <n v="2"/>
    <n v="4"/>
    <s v="Life Sciences"/>
    <n v="1"/>
    <n v="1556"/>
    <n v="3"/>
    <s v="Male"/>
    <n v="70"/>
    <n v="3"/>
    <n v="1"/>
    <x v="6"/>
    <n v="4"/>
    <s v="Single"/>
    <n v="2644"/>
    <n v="17001"/>
    <n v="3"/>
    <s v="Y"/>
    <s v="Yes"/>
    <n v="21"/>
    <n v="4"/>
    <n v="4"/>
    <n v="80"/>
    <n v="0"/>
    <n v="7"/>
    <n v="3"/>
    <n v="2"/>
    <n v="3"/>
    <n v="2"/>
    <x v="1"/>
    <n v="2"/>
    <s v="OK"/>
    <s v="OK"/>
    <s v="OK"/>
    <s v="OK"/>
    <n v="0.33333333333333331"/>
    <n v="0.66666666666666663"/>
    <n v="1"/>
    <n v="0.66666666666666663"/>
  </r>
  <r>
    <n v="48"/>
    <s v="No"/>
    <s v="Travel_Rarely"/>
    <n v="492"/>
    <s v="Sales"/>
    <n v="16"/>
    <n v="4"/>
    <s v="Life Sciences"/>
    <n v="1"/>
    <n v="1557"/>
    <n v="3"/>
    <s v="Female"/>
    <n v="96"/>
    <n v="3"/>
    <n v="2"/>
    <x v="0"/>
    <n v="3"/>
    <s v="Divorced"/>
    <n v="6439"/>
    <n v="13693"/>
    <n v="8"/>
    <s v="Y"/>
    <s v="No"/>
    <n v="14"/>
    <n v="3"/>
    <n v="3"/>
    <n v="80"/>
    <n v="1"/>
    <n v="18"/>
    <n v="2"/>
    <n v="3"/>
    <n v="8"/>
    <n v="7"/>
    <x v="4"/>
    <n v="7"/>
    <s v="OK"/>
    <s v="OK"/>
    <s v="OK"/>
    <s v="OK"/>
    <n v="0.875"/>
    <n v="0.875"/>
    <n v="0.25"/>
    <n v="0.875"/>
  </r>
  <r>
    <n v="29"/>
    <s v="No"/>
    <s v="Travel_Rarely"/>
    <n v="598"/>
    <s v="Research &amp; Development"/>
    <n v="9"/>
    <n v="3"/>
    <s v="Life Sciences"/>
    <n v="1"/>
    <n v="1558"/>
    <n v="3"/>
    <s v="Male"/>
    <n v="91"/>
    <n v="4"/>
    <n v="1"/>
    <x v="1"/>
    <n v="3"/>
    <s v="Married"/>
    <n v="2451"/>
    <n v="22376"/>
    <n v="6"/>
    <s v="Y"/>
    <s v="No"/>
    <n v="18"/>
    <n v="3"/>
    <n v="1"/>
    <n v="80"/>
    <n v="2"/>
    <n v="5"/>
    <n v="2"/>
    <n v="2"/>
    <n v="1"/>
    <n v="0"/>
    <x v="0"/>
    <n v="0"/>
    <s v="OK"/>
    <s v="OK"/>
    <s v="OK"/>
    <s v="OK"/>
    <n v="0"/>
    <n v="0"/>
    <n v="2"/>
    <n v="0"/>
  </r>
  <r>
    <n v="33"/>
    <s v="No"/>
    <s v="Travel_Rarely"/>
    <n v="1242"/>
    <s v="Sales"/>
    <n v="8"/>
    <n v="4"/>
    <s v="Life Sciences"/>
    <n v="1"/>
    <n v="1560"/>
    <n v="1"/>
    <s v="Male"/>
    <n v="46"/>
    <n v="3"/>
    <n v="2"/>
    <x v="0"/>
    <n v="1"/>
    <s v="Married"/>
    <n v="6392"/>
    <n v="10589"/>
    <n v="2"/>
    <s v="Y"/>
    <s v="No"/>
    <n v="13"/>
    <n v="3"/>
    <n v="4"/>
    <n v="80"/>
    <n v="1"/>
    <n v="8"/>
    <n v="6"/>
    <n v="1"/>
    <n v="2"/>
    <n v="2"/>
    <x v="3"/>
    <n v="2"/>
    <s v="OK"/>
    <s v="OK"/>
    <s v="OK"/>
    <s v="OK"/>
    <n v="1"/>
    <n v="1"/>
    <n v="3"/>
    <n v="1"/>
  </r>
  <r>
    <n v="30"/>
    <s v="Yes"/>
    <s v="Travel_Rarely"/>
    <n v="740"/>
    <s v="Sales"/>
    <n v="1"/>
    <n v="3"/>
    <s v="Life Sciences"/>
    <n v="1"/>
    <n v="1562"/>
    <n v="2"/>
    <s v="Male"/>
    <n v="64"/>
    <n v="2"/>
    <n v="2"/>
    <x v="0"/>
    <n v="1"/>
    <s v="Married"/>
    <n v="9714"/>
    <n v="5323"/>
    <n v="1"/>
    <s v="Y"/>
    <s v="No"/>
    <n v="11"/>
    <n v="3"/>
    <n v="4"/>
    <n v="80"/>
    <n v="1"/>
    <n v="10"/>
    <n v="4"/>
    <n v="3"/>
    <n v="10"/>
    <n v="8"/>
    <x v="7"/>
    <n v="7"/>
    <s v="OK"/>
    <s v="OK"/>
    <s v="OK"/>
    <s v="OK"/>
    <n v="0.6"/>
    <n v="0.8"/>
    <n v="0.4"/>
    <n v="0.7"/>
  </r>
  <r>
    <n v="38"/>
    <s v="No"/>
    <s v="Travel_Frequently"/>
    <n v="888"/>
    <s v="Human Resources"/>
    <n v="10"/>
    <n v="4"/>
    <s v="Human Resources"/>
    <n v="1"/>
    <n v="1563"/>
    <n v="3"/>
    <s v="Male"/>
    <n v="71"/>
    <n v="3"/>
    <n v="2"/>
    <x v="8"/>
    <n v="3"/>
    <s v="Married"/>
    <n v="6077"/>
    <n v="14814"/>
    <n v="3"/>
    <s v="Y"/>
    <s v="No"/>
    <n v="11"/>
    <n v="3"/>
    <n v="3"/>
    <n v="80"/>
    <n v="0"/>
    <n v="10"/>
    <n v="2"/>
    <n v="3"/>
    <n v="6"/>
    <n v="3"/>
    <x v="1"/>
    <n v="2"/>
    <s v="OK"/>
    <s v="OK"/>
    <s v="OK"/>
    <s v="OK"/>
    <n v="0.16666666666666666"/>
    <n v="0.5"/>
    <n v="0.33333333333333331"/>
    <n v="0.33333333333333331"/>
  </r>
  <r>
    <n v="35"/>
    <s v="No"/>
    <s v="Travel_Rarely"/>
    <n v="992"/>
    <s v="Research &amp; Development"/>
    <n v="1"/>
    <n v="3"/>
    <s v="Medical"/>
    <n v="1"/>
    <n v="1564"/>
    <n v="4"/>
    <s v="Male"/>
    <n v="68"/>
    <n v="2"/>
    <n v="1"/>
    <x v="2"/>
    <n v="1"/>
    <s v="Single"/>
    <n v="2450"/>
    <n v="21731"/>
    <n v="1"/>
    <s v="Y"/>
    <s v="No"/>
    <n v="19"/>
    <n v="3"/>
    <n v="2"/>
    <n v="80"/>
    <n v="0"/>
    <n v="3"/>
    <n v="3"/>
    <n v="3"/>
    <n v="3"/>
    <n v="0"/>
    <x v="1"/>
    <n v="2"/>
    <s v="OK"/>
    <s v="OK"/>
    <s v="OK"/>
    <s v="OK"/>
    <n v="0.33333333333333331"/>
    <n v="0"/>
    <n v="1"/>
    <n v="0.66666666666666663"/>
  </r>
  <r>
    <n v="30"/>
    <s v="No"/>
    <s v="Travel_Rarely"/>
    <n v="1288"/>
    <s v="Sales"/>
    <n v="29"/>
    <n v="4"/>
    <s v="Technical Degree"/>
    <n v="1"/>
    <n v="1568"/>
    <n v="3"/>
    <s v="Male"/>
    <n v="33"/>
    <n v="3"/>
    <n v="3"/>
    <x v="0"/>
    <n v="2"/>
    <s v="Married"/>
    <n v="9250"/>
    <n v="17799"/>
    <n v="3"/>
    <s v="Y"/>
    <s v="No"/>
    <n v="12"/>
    <n v="3"/>
    <n v="2"/>
    <n v="80"/>
    <n v="1"/>
    <n v="9"/>
    <n v="3"/>
    <n v="3"/>
    <n v="4"/>
    <n v="2"/>
    <x v="1"/>
    <n v="3"/>
    <s v="OK"/>
    <s v="OK"/>
    <s v="OK"/>
    <s v="OK"/>
    <n v="0.25"/>
    <n v="0.5"/>
    <n v="0.75"/>
    <n v="0.75"/>
  </r>
  <r>
    <n v="35"/>
    <s v="Yes"/>
    <s v="Travel_Rarely"/>
    <n v="104"/>
    <s v="Research &amp; Development"/>
    <n v="2"/>
    <n v="3"/>
    <s v="Life Sciences"/>
    <n v="1"/>
    <n v="1569"/>
    <n v="1"/>
    <s v="Female"/>
    <n v="69"/>
    <n v="3"/>
    <n v="1"/>
    <x v="2"/>
    <n v="1"/>
    <s v="Divorced"/>
    <n v="2074"/>
    <n v="26619"/>
    <n v="1"/>
    <s v="Y"/>
    <s v="Yes"/>
    <n v="12"/>
    <n v="3"/>
    <n v="4"/>
    <n v="80"/>
    <n v="1"/>
    <n v="1"/>
    <n v="2"/>
    <n v="3"/>
    <n v="1"/>
    <n v="0"/>
    <x v="0"/>
    <n v="0"/>
    <s v="OK"/>
    <s v="OK"/>
    <s v="OK"/>
    <s v="OK"/>
    <n v="0"/>
    <n v="0"/>
    <n v="2"/>
    <n v="0"/>
  </r>
  <r>
    <n v="53"/>
    <s v="Yes"/>
    <s v="Travel_Rarely"/>
    <n v="607"/>
    <s v="Research &amp; Development"/>
    <n v="2"/>
    <n v="5"/>
    <s v="Technical Degree"/>
    <n v="1"/>
    <n v="1572"/>
    <n v="3"/>
    <s v="Female"/>
    <n v="78"/>
    <n v="2"/>
    <n v="3"/>
    <x v="3"/>
    <n v="4"/>
    <s v="Married"/>
    <n v="10169"/>
    <n v="14618"/>
    <n v="0"/>
    <s v="Y"/>
    <s v="No"/>
    <n v="16"/>
    <n v="3"/>
    <n v="2"/>
    <n v="80"/>
    <n v="1"/>
    <n v="34"/>
    <n v="4"/>
    <n v="3"/>
    <n v="33"/>
    <n v="7"/>
    <x v="1"/>
    <n v="9"/>
    <s v="OK"/>
    <s v="OK"/>
    <s v="OK"/>
    <s v="OK"/>
    <n v="3.0303030303030304E-2"/>
    <n v="0.21212121212121213"/>
    <n v="0.12121212121212122"/>
    <n v="0.27272727272727271"/>
  </r>
  <r>
    <n v="38"/>
    <s v="Yes"/>
    <s v="Travel_Rarely"/>
    <n v="903"/>
    <s v="Research &amp; Development"/>
    <n v="2"/>
    <n v="3"/>
    <s v="Medical"/>
    <n v="1"/>
    <n v="1573"/>
    <n v="3"/>
    <s v="Male"/>
    <n v="81"/>
    <n v="3"/>
    <n v="2"/>
    <x v="3"/>
    <n v="2"/>
    <s v="Married"/>
    <n v="4855"/>
    <n v="7653"/>
    <n v="4"/>
    <s v="Y"/>
    <s v="No"/>
    <n v="11"/>
    <n v="3"/>
    <n v="1"/>
    <n v="80"/>
    <n v="2"/>
    <n v="7"/>
    <n v="2"/>
    <n v="3"/>
    <n v="5"/>
    <n v="2"/>
    <x v="1"/>
    <n v="4"/>
    <s v="OK"/>
    <s v="OK"/>
    <s v="OK"/>
    <s v="OK"/>
    <n v="0.2"/>
    <n v="0.4"/>
    <n v="0.4"/>
    <n v="0.8"/>
  </r>
  <r>
    <n v="32"/>
    <s v="No"/>
    <s v="Non-Travel"/>
    <n v="1200"/>
    <s v="Research &amp; Development"/>
    <n v="1"/>
    <n v="4"/>
    <s v="Technical Degree"/>
    <n v="1"/>
    <n v="1574"/>
    <n v="4"/>
    <s v="Male"/>
    <n v="62"/>
    <n v="3"/>
    <n v="2"/>
    <x v="1"/>
    <n v="1"/>
    <s v="Married"/>
    <n v="4087"/>
    <n v="25174"/>
    <n v="4"/>
    <s v="Y"/>
    <s v="No"/>
    <n v="14"/>
    <n v="3"/>
    <n v="2"/>
    <n v="80"/>
    <n v="1"/>
    <n v="9"/>
    <n v="3"/>
    <n v="2"/>
    <n v="6"/>
    <n v="5"/>
    <x v="1"/>
    <n v="2"/>
    <s v="OK"/>
    <s v="OK"/>
    <s v="OK"/>
    <s v="OK"/>
    <n v="0.16666666666666666"/>
    <n v="0.83333333333333337"/>
    <n v="0.5"/>
    <n v="0.33333333333333331"/>
  </r>
  <r>
    <n v="48"/>
    <s v="No"/>
    <s v="Travel_Rarely"/>
    <n v="1108"/>
    <s v="Research &amp; Development"/>
    <n v="15"/>
    <n v="4"/>
    <s v="Other"/>
    <n v="1"/>
    <n v="1576"/>
    <n v="3"/>
    <s v="Female"/>
    <n v="65"/>
    <n v="3"/>
    <n v="1"/>
    <x v="1"/>
    <n v="1"/>
    <s v="Married"/>
    <n v="2367"/>
    <n v="16530"/>
    <n v="8"/>
    <s v="Y"/>
    <s v="No"/>
    <n v="12"/>
    <n v="3"/>
    <n v="4"/>
    <n v="80"/>
    <n v="1"/>
    <n v="10"/>
    <n v="3"/>
    <n v="2"/>
    <n v="8"/>
    <n v="2"/>
    <x v="4"/>
    <n v="6"/>
    <s v="OK"/>
    <s v="OK"/>
    <s v="OK"/>
    <s v="OK"/>
    <n v="0.875"/>
    <n v="0.25"/>
    <n v="0.375"/>
    <n v="0.75"/>
  </r>
  <r>
    <n v="34"/>
    <s v="No"/>
    <s v="Travel_Rarely"/>
    <n v="479"/>
    <s v="Research &amp; Development"/>
    <n v="7"/>
    <n v="4"/>
    <s v="Medical"/>
    <n v="1"/>
    <n v="1577"/>
    <n v="1"/>
    <s v="Male"/>
    <n v="35"/>
    <n v="3"/>
    <n v="1"/>
    <x v="1"/>
    <n v="4"/>
    <s v="Single"/>
    <n v="2972"/>
    <n v="22061"/>
    <n v="1"/>
    <s v="Y"/>
    <s v="No"/>
    <n v="13"/>
    <n v="3"/>
    <n v="3"/>
    <n v="80"/>
    <n v="0"/>
    <n v="1"/>
    <n v="4"/>
    <n v="1"/>
    <n v="1"/>
    <n v="0"/>
    <x v="0"/>
    <n v="0"/>
    <s v="OK"/>
    <s v="OK"/>
    <s v="OK"/>
    <s v="OK"/>
    <n v="0"/>
    <n v="0"/>
    <n v="4"/>
    <n v="0"/>
  </r>
  <r>
    <n v="55"/>
    <s v="No"/>
    <s v="Travel_Rarely"/>
    <n v="685"/>
    <s v="Sales"/>
    <n v="26"/>
    <n v="5"/>
    <s v="Marketing"/>
    <n v="1"/>
    <n v="1578"/>
    <n v="3"/>
    <s v="Male"/>
    <n v="60"/>
    <n v="2"/>
    <n v="5"/>
    <x v="5"/>
    <n v="4"/>
    <s v="Married"/>
    <n v="19586"/>
    <n v="23037"/>
    <n v="1"/>
    <s v="Y"/>
    <s v="No"/>
    <n v="21"/>
    <n v="4"/>
    <n v="3"/>
    <n v="80"/>
    <n v="1"/>
    <n v="36"/>
    <n v="3"/>
    <n v="3"/>
    <n v="36"/>
    <n v="6"/>
    <x v="3"/>
    <n v="13"/>
    <s v="OK"/>
    <s v="OK"/>
    <s v="OK"/>
    <s v="OK"/>
    <n v="5.5555555555555552E-2"/>
    <n v="0.16666666666666666"/>
    <n v="8.3333333333333329E-2"/>
    <n v="0.3611111111111111"/>
  </r>
  <r>
    <n v="34"/>
    <s v="No"/>
    <s v="Travel_Rarely"/>
    <n v="1351"/>
    <s v="Research &amp; Development"/>
    <n v="1"/>
    <n v="4"/>
    <s v="Life Sciences"/>
    <n v="1"/>
    <n v="1580"/>
    <n v="2"/>
    <s v="Male"/>
    <n v="45"/>
    <n v="3"/>
    <n v="2"/>
    <x v="1"/>
    <n v="4"/>
    <s v="Married"/>
    <n v="5484"/>
    <n v="13008"/>
    <n v="9"/>
    <s v="Y"/>
    <s v="No"/>
    <n v="17"/>
    <n v="3"/>
    <n v="2"/>
    <n v="80"/>
    <n v="1"/>
    <n v="9"/>
    <n v="3"/>
    <n v="2"/>
    <n v="2"/>
    <n v="2"/>
    <x v="3"/>
    <n v="1"/>
    <s v="OK"/>
    <s v="OK"/>
    <s v="OK"/>
    <s v="OK"/>
    <n v="1"/>
    <n v="1"/>
    <n v="1.5"/>
    <n v="0.5"/>
  </r>
  <r>
    <n v="26"/>
    <s v="No"/>
    <s v="Travel_Rarely"/>
    <n v="474"/>
    <s v="Research &amp; Development"/>
    <n v="3"/>
    <n v="3"/>
    <s v="Life Sciences"/>
    <n v="1"/>
    <n v="1581"/>
    <n v="1"/>
    <s v="Female"/>
    <n v="89"/>
    <n v="3"/>
    <n v="1"/>
    <x v="1"/>
    <n v="4"/>
    <s v="Married"/>
    <n v="2061"/>
    <n v="11133"/>
    <n v="1"/>
    <s v="Y"/>
    <s v="No"/>
    <n v="21"/>
    <n v="4"/>
    <n v="1"/>
    <n v="80"/>
    <n v="0"/>
    <n v="1"/>
    <n v="5"/>
    <n v="3"/>
    <n v="1"/>
    <n v="0"/>
    <x v="0"/>
    <n v="0"/>
    <s v="OK"/>
    <s v="OK"/>
    <s v="OK"/>
    <s v="OK"/>
    <n v="0"/>
    <n v="0"/>
    <n v="5"/>
    <n v="0"/>
  </r>
  <r>
    <n v="38"/>
    <s v="No"/>
    <s v="Travel_Rarely"/>
    <n v="1245"/>
    <s v="Sales"/>
    <n v="14"/>
    <n v="3"/>
    <s v="Life Sciences"/>
    <n v="1"/>
    <n v="1582"/>
    <n v="3"/>
    <s v="Male"/>
    <n v="80"/>
    <n v="3"/>
    <n v="2"/>
    <x v="0"/>
    <n v="2"/>
    <s v="Married"/>
    <n v="9924"/>
    <n v="12355"/>
    <n v="0"/>
    <s v="Y"/>
    <s v="No"/>
    <n v="11"/>
    <n v="3"/>
    <n v="4"/>
    <n v="80"/>
    <n v="1"/>
    <n v="10"/>
    <n v="3"/>
    <n v="3"/>
    <n v="9"/>
    <n v="8"/>
    <x v="4"/>
    <n v="7"/>
    <s v="OK"/>
    <s v="OK"/>
    <s v="OK"/>
    <s v="OK"/>
    <n v="0.77777777777777779"/>
    <n v="0.88888888888888884"/>
    <n v="0.33333333333333331"/>
    <n v="0.77777777777777779"/>
  </r>
  <r>
    <n v="38"/>
    <s v="No"/>
    <s v="Travel_Rarely"/>
    <n v="437"/>
    <s v="Sales"/>
    <n v="16"/>
    <n v="3"/>
    <s v="Life Sciences"/>
    <n v="1"/>
    <n v="1583"/>
    <n v="2"/>
    <s v="Female"/>
    <n v="90"/>
    <n v="3"/>
    <n v="2"/>
    <x v="0"/>
    <n v="2"/>
    <s v="Single"/>
    <n v="4198"/>
    <n v="16379"/>
    <n v="2"/>
    <s v="Y"/>
    <s v="No"/>
    <n v="12"/>
    <n v="3"/>
    <n v="2"/>
    <n v="80"/>
    <n v="0"/>
    <n v="8"/>
    <n v="5"/>
    <n v="4"/>
    <n v="3"/>
    <n v="2"/>
    <x v="1"/>
    <n v="2"/>
    <s v="OK"/>
    <s v="OK"/>
    <s v="OK"/>
    <s v="OK"/>
    <n v="0.33333333333333331"/>
    <n v="0.66666666666666663"/>
    <n v="1.6666666666666667"/>
    <n v="0.66666666666666663"/>
  </r>
  <r>
    <n v="36"/>
    <s v="No"/>
    <s v="Travel_Rarely"/>
    <n v="884"/>
    <s v="Sales"/>
    <n v="1"/>
    <n v="4"/>
    <s v="Life Sciences"/>
    <n v="1"/>
    <n v="1585"/>
    <n v="2"/>
    <s v="Female"/>
    <n v="73"/>
    <n v="3"/>
    <n v="2"/>
    <x v="0"/>
    <n v="3"/>
    <s v="Single"/>
    <n v="6815"/>
    <n v="21447"/>
    <n v="6"/>
    <s v="Y"/>
    <s v="No"/>
    <n v="13"/>
    <n v="3"/>
    <n v="1"/>
    <n v="80"/>
    <n v="0"/>
    <n v="15"/>
    <n v="5"/>
    <n v="3"/>
    <n v="1"/>
    <n v="0"/>
    <x v="0"/>
    <n v="0"/>
    <s v="OK"/>
    <s v="OK"/>
    <s v="OK"/>
    <s v="OK"/>
    <n v="0"/>
    <n v="0"/>
    <n v="5"/>
    <n v="0"/>
  </r>
  <r>
    <n v="29"/>
    <s v="No"/>
    <s v="Travel_Rarely"/>
    <n v="1370"/>
    <s v="Research &amp; Development"/>
    <n v="3"/>
    <n v="1"/>
    <s v="Medical"/>
    <n v="1"/>
    <n v="1586"/>
    <n v="2"/>
    <s v="Male"/>
    <n v="87"/>
    <n v="3"/>
    <n v="1"/>
    <x v="2"/>
    <n v="1"/>
    <s v="Single"/>
    <n v="4723"/>
    <n v="16213"/>
    <n v="1"/>
    <s v="Y"/>
    <s v="Yes"/>
    <n v="18"/>
    <n v="3"/>
    <n v="4"/>
    <n v="80"/>
    <n v="0"/>
    <n v="10"/>
    <n v="3"/>
    <n v="3"/>
    <n v="10"/>
    <n v="9"/>
    <x v="1"/>
    <n v="5"/>
    <s v="OK"/>
    <s v="OK"/>
    <s v="OK"/>
    <s v="OK"/>
    <n v="0.1"/>
    <n v="0.9"/>
    <n v="0.3"/>
    <n v="0.5"/>
  </r>
  <r>
    <n v="35"/>
    <s v="No"/>
    <s v="Travel_Rarely"/>
    <n v="670"/>
    <s v="Research &amp; Development"/>
    <n v="10"/>
    <n v="4"/>
    <s v="Medical"/>
    <n v="1"/>
    <n v="1587"/>
    <n v="1"/>
    <s v="Female"/>
    <n v="51"/>
    <n v="3"/>
    <n v="2"/>
    <x v="4"/>
    <n v="3"/>
    <s v="Single"/>
    <n v="6142"/>
    <n v="4223"/>
    <n v="3"/>
    <s v="Y"/>
    <s v="Yes"/>
    <n v="16"/>
    <n v="3"/>
    <n v="3"/>
    <n v="80"/>
    <n v="0"/>
    <n v="10"/>
    <n v="4"/>
    <n v="3"/>
    <n v="5"/>
    <n v="2"/>
    <x v="0"/>
    <n v="4"/>
    <s v="OK"/>
    <s v="OK"/>
    <s v="OK"/>
    <s v="OK"/>
    <n v="0"/>
    <n v="0.4"/>
    <n v="0.8"/>
    <n v="0.8"/>
  </r>
  <r>
    <n v="39"/>
    <s v="No"/>
    <s v="Travel_Rarely"/>
    <n v="1462"/>
    <s v="Sales"/>
    <n v="6"/>
    <n v="3"/>
    <s v="Medical"/>
    <n v="1"/>
    <n v="1588"/>
    <n v="4"/>
    <s v="Male"/>
    <n v="38"/>
    <n v="4"/>
    <n v="3"/>
    <x v="0"/>
    <n v="3"/>
    <s v="Married"/>
    <n v="8237"/>
    <n v="4658"/>
    <n v="2"/>
    <s v="Y"/>
    <s v="No"/>
    <n v="11"/>
    <n v="3"/>
    <n v="1"/>
    <n v="80"/>
    <n v="1"/>
    <n v="11"/>
    <n v="3"/>
    <n v="3"/>
    <n v="7"/>
    <n v="6"/>
    <x v="4"/>
    <n v="6"/>
    <s v="OK"/>
    <s v="OK"/>
    <s v="OK"/>
    <s v="OK"/>
    <n v="1"/>
    <n v="0.8571428571428571"/>
    <n v="0.42857142857142855"/>
    <n v="0.8571428571428571"/>
  </r>
  <r>
    <n v="29"/>
    <s v="No"/>
    <s v="Travel_Frequently"/>
    <n v="995"/>
    <s v="Research &amp; Development"/>
    <n v="2"/>
    <n v="1"/>
    <s v="Life Sciences"/>
    <n v="1"/>
    <n v="1590"/>
    <n v="1"/>
    <s v="Male"/>
    <n v="87"/>
    <n v="3"/>
    <n v="2"/>
    <x v="4"/>
    <n v="4"/>
    <s v="Divorced"/>
    <n v="8853"/>
    <n v="24483"/>
    <n v="1"/>
    <s v="Y"/>
    <s v="No"/>
    <n v="19"/>
    <n v="3"/>
    <n v="4"/>
    <n v="80"/>
    <n v="1"/>
    <n v="6"/>
    <n v="0"/>
    <n v="4"/>
    <n v="6"/>
    <n v="4"/>
    <x v="1"/>
    <n v="3"/>
    <s v="OK"/>
    <s v="OK"/>
    <s v="OK"/>
    <s v="OK"/>
    <n v="0.16666666666666666"/>
    <n v="0.66666666666666663"/>
    <n v="0"/>
    <n v="0.5"/>
  </r>
  <r>
    <n v="50"/>
    <s v="No"/>
    <s v="Travel_Rarely"/>
    <n v="264"/>
    <s v="Sales"/>
    <n v="9"/>
    <n v="3"/>
    <s v="Marketing"/>
    <n v="1"/>
    <n v="1591"/>
    <n v="3"/>
    <s v="Male"/>
    <n v="59"/>
    <n v="3"/>
    <n v="5"/>
    <x v="5"/>
    <n v="3"/>
    <s v="Married"/>
    <n v="19331"/>
    <n v="19519"/>
    <n v="4"/>
    <s v="Y"/>
    <s v="Yes"/>
    <n v="16"/>
    <n v="3"/>
    <n v="3"/>
    <n v="80"/>
    <n v="1"/>
    <n v="27"/>
    <n v="2"/>
    <n v="3"/>
    <n v="1"/>
    <n v="0"/>
    <x v="0"/>
    <n v="0"/>
    <s v="OK"/>
    <s v="OK"/>
    <s v="OK"/>
    <s v="OK"/>
    <n v="0"/>
    <n v="0"/>
    <n v="2"/>
    <n v="0"/>
  </r>
  <r>
    <n v="23"/>
    <s v="No"/>
    <s v="Travel_Rarely"/>
    <n v="977"/>
    <s v="Research &amp; Development"/>
    <n v="10"/>
    <n v="3"/>
    <s v="Technical Degree"/>
    <n v="1"/>
    <n v="1592"/>
    <n v="4"/>
    <s v="Male"/>
    <n v="45"/>
    <n v="4"/>
    <n v="1"/>
    <x v="1"/>
    <n v="3"/>
    <s v="Married"/>
    <n v="2073"/>
    <n v="12826"/>
    <n v="2"/>
    <s v="Y"/>
    <s v="No"/>
    <n v="16"/>
    <n v="3"/>
    <n v="4"/>
    <n v="80"/>
    <n v="1"/>
    <n v="4"/>
    <n v="2"/>
    <n v="3"/>
    <n v="2"/>
    <n v="2"/>
    <x v="3"/>
    <n v="2"/>
    <s v="OK"/>
    <s v="OK"/>
    <s v="OK"/>
    <s v="OK"/>
    <n v="1"/>
    <n v="1"/>
    <n v="1"/>
    <n v="1"/>
  </r>
  <r>
    <n v="36"/>
    <s v="No"/>
    <s v="Travel_Frequently"/>
    <n v="1302"/>
    <s v="Research &amp; Development"/>
    <n v="6"/>
    <n v="4"/>
    <s v="Life Sciences"/>
    <n v="1"/>
    <n v="1594"/>
    <n v="1"/>
    <s v="Male"/>
    <n v="80"/>
    <n v="4"/>
    <n v="2"/>
    <x v="2"/>
    <n v="1"/>
    <s v="Married"/>
    <n v="5562"/>
    <n v="19711"/>
    <n v="3"/>
    <s v="Y"/>
    <s v="Yes"/>
    <n v="13"/>
    <n v="3"/>
    <n v="4"/>
    <n v="80"/>
    <n v="1"/>
    <n v="9"/>
    <n v="3"/>
    <n v="3"/>
    <n v="3"/>
    <n v="2"/>
    <x v="0"/>
    <n v="2"/>
    <s v="OK"/>
    <s v="OK"/>
    <s v="OK"/>
    <s v="OK"/>
    <n v="0"/>
    <n v="0.66666666666666663"/>
    <n v="1"/>
    <n v="0.66666666666666663"/>
  </r>
  <r>
    <n v="42"/>
    <s v="No"/>
    <s v="Travel_Rarely"/>
    <n v="1059"/>
    <s v="Research &amp; Development"/>
    <n v="9"/>
    <n v="2"/>
    <s v="Other"/>
    <n v="1"/>
    <n v="1595"/>
    <n v="4"/>
    <s v="Male"/>
    <n v="93"/>
    <n v="2"/>
    <n v="5"/>
    <x v="5"/>
    <n v="4"/>
    <s v="Single"/>
    <n v="19613"/>
    <n v="26362"/>
    <n v="8"/>
    <s v="Y"/>
    <s v="No"/>
    <n v="22"/>
    <n v="4"/>
    <n v="4"/>
    <n v="80"/>
    <n v="0"/>
    <n v="24"/>
    <n v="2"/>
    <n v="3"/>
    <n v="1"/>
    <n v="0"/>
    <x v="0"/>
    <n v="1"/>
    <s v="OK"/>
    <s v="OK"/>
    <s v="OK"/>
    <s v="OK"/>
    <n v="0"/>
    <n v="0"/>
    <n v="2"/>
    <n v="1"/>
  </r>
  <r>
    <n v="35"/>
    <s v="No"/>
    <s v="Travel_Rarely"/>
    <n v="750"/>
    <s v="Research &amp; Development"/>
    <n v="28"/>
    <n v="3"/>
    <s v="Life Sciences"/>
    <n v="1"/>
    <n v="1596"/>
    <n v="2"/>
    <s v="Male"/>
    <n v="46"/>
    <n v="4"/>
    <n v="2"/>
    <x v="2"/>
    <n v="3"/>
    <s v="Married"/>
    <n v="3407"/>
    <n v="25348"/>
    <n v="1"/>
    <s v="Y"/>
    <s v="No"/>
    <n v="17"/>
    <n v="3"/>
    <n v="4"/>
    <n v="80"/>
    <n v="2"/>
    <n v="10"/>
    <n v="3"/>
    <n v="2"/>
    <n v="10"/>
    <n v="9"/>
    <x v="7"/>
    <n v="8"/>
    <s v="OK"/>
    <s v="OK"/>
    <s v="OK"/>
    <s v="OK"/>
    <n v="0.6"/>
    <n v="0.9"/>
    <n v="0.3"/>
    <n v="0.8"/>
  </r>
  <r>
    <n v="34"/>
    <s v="No"/>
    <s v="Travel_Frequently"/>
    <n v="653"/>
    <s v="Research &amp; Development"/>
    <n v="10"/>
    <n v="4"/>
    <s v="Technical Degree"/>
    <n v="1"/>
    <n v="1597"/>
    <n v="4"/>
    <s v="Male"/>
    <n v="92"/>
    <n v="2"/>
    <n v="2"/>
    <x v="4"/>
    <n v="3"/>
    <s v="Married"/>
    <n v="5063"/>
    <n v="15332"/>
    <n v="1"/>
    <s v="Y"/>
    <s v="No"/>
    <n v="14"/>
    <n v="3"/>
    <n v="2"/>
    <n v="80"/>
    <n v="1"/>
    <n v="8"/>
    <n v="3"/>
    <n v="2"/>
    <n v="8"/>
    <n v="2"/>
    <x v="4"/>
    <n v="7"/>
    <s v="OK"/>
    <s v="OK"/>
    <s v="OK"/>
    <s v="OK"/>
    <n v="0.875"/>
    <n v="0.25"/>
    <n v="0.375"/>
    <n v="0.875"/>
  </r>
  <r>
    <n v="40"/>
    <s v="No"/>
    <s v="Travel_Rarely"/>
    <n v="118"/>
    <s v="Sales"/>
    <n v="14"/>
    <n v="2"/>
    <s v="Life Sciences"/>
    <n v="1"/>
    <n v="1598"/>
    <n v="4"/>
    <s v="Female"/>
    <n v="84"/>
    <n v="3"/>
    <n v="2"/>
    <x v="0"/>
    <n v="1"/>
    <s v="Married"/>
    <n v="4639"/>
    <n v="11262"/>
    <n v="1"/>
    <s v="Y"/>
    <s v="No"/>
    <n v="15"/>
    <n v="3"/>
    <n v="3"/>
    <n v="80"/>
    <n v="1"/>
    <n v="5"/>
    <n v="2"/>
    <n v="3"/>
    <n v="5"/>
    <n v="4"/>
    <x v="1"/>
    <n v="2"/>
    <s v="OK"/>
    <s v="OK"/>
    <s v="OK"/>
    <s v="OK"/>
    <n v="0.2"/>
    <n v="0.8"/>
    <n v="0.4"/>
    <n v="0.4"/>
  </r>
  <r>
    <n v="43"/>
    <s v="No"/>
    <s v="Travel_Rarely"/>
    <n v="990"/>
    <s v="Research &amp; Development"/>
    <n v="27"/>
    <n v="3"/>
    <s v="Technical Degree"/>
    <n v="1"/>
    <n v="1599"/>
    <n v="4"/>
    <s v="Male"/>
    <n v="87"/>
    <n v="4"/>
    <n v="1"/>
    <x v="2"/>
    <n v="2"/>
    <s v="Divorced"/>
    <n v="4876"/>
    <n v="5855"/>
    <n v="5"/>
    <s v="Y"/>
    <s v="No"/>
    <n v="12"/>
    <n v="3"/>
    <n v="3"/>
    <n v="80"/>
    <n v="1"/>
    <n v="8"/>
    <n v="0"/>
    <n v="3"/>
    <n v="6"/>
    <n v="4"/>
    <x v="0"/>
    <n v="2"/>
    <s v="OK"/>
    <s v="OK"/>
    <s v="OK"/>
    <s v="OK"/>
    <n v="0"/>
    <n v="0.66666666666666663"/>
    <n v="0"/>
    <n v="0.33333333333333331"/>
  </r>
  <r>
    <n v="35"/>
    <s v="No"/>
    <s v="Travel_Rarely"/>
    <n v="1349"/>
    <s v="Research &amp; Development"/>
    <n v="7"/>
    <n v="2"/>
    <s v="Life Sciences"/>
    <n v="1"/>
    <n v="1601"/>
    <n v="3"/>
    <s v="Male"/>
    <n v="63"/>
    <n v="2"/>
    <n v="1"/>
    <x v="2"/>
    <n v="4"/>
    <s v="Married"/>
    <n v="2690"/>
    <n v="7713"/>
    <n v="1"/>
    <s v="Y"/>
    <s v="No"/>
    <n v="18"/>
    <n v="3"/>
    <n v="4"/>
    <n v="80"/>
    <n v="1"/>
    <n v="1"/>
    <n v="5"/>
    <n v="2"/>
    <n v="1"/>
    <n v="0"/>
    <x v="0"/>
    <n v="1"/>
    <s v="OK"/>
    <s v="OK"/>
    <s v="OK"/>
    <s v="OK"/>
    <n v="0"/>
    <n v="0"/>
    <n v="5"/>
    <n v="1"/>
  </r>
  <r>
    <n v="46"/>
    <s v="No"/>
    <s v="Travel_Rarely"/>
    <n v="563"/>
    <s v="Sales"/>
    <n v="1"/>
    <n v="4"/>
    <s v="Life Sciences"/>
    <n v="1"/>
    <n v="1602"/>
    <n v="4"/>
    <s v="Male"/>
    <n v="56"/>
    <n v="4"/>
    <n v="4"/>
    <x v="5"/>
    <n v="1"/>
    <s v="Single"/>
    <n v="17567"/>
    <n v="3156"/>
    <n v="1"/>
    <s v="Y"/>
    <s v="No"/>
    <n v="15"/>
    <n v="3"/>
    <n v="2"/>
    <n v="80"/>
    <n v="0"/>
    <n v="27"/>
    <n v="5"/>
    <n v="1"/>
    <n v="26"/>
    <n v="0"/>
    <x v="0"/>
    <n v="12"/>
    <s v="OK"/>
    <s v="OK"/>
    <s v="OK"/>
    <s v="OK"/>
    <n v="0"/>
    <n v="0"/>
    <n v="0.19230769230769232"/>
    <n v="0.46153846153846156"/>
  </r>
  <r>
    <n v="28"/>
    <s v="Yes"/>
    <s v="Travel_Rarely"/>
    <n v="329"/>
    <s v="Research &amp; Development"/>
    <n v="24"/>
    <n v="3"/>
    <s v="Medical"/>
    <n v="1"/>
    <n v="1604"/>
    <n v="3"/>
    <s v="Male"/>
    <n v="51"/>
    <n v="3"/>
    <n v="1"/>
    <x v="2"/>
    <n v="2"/>
    <s v="Married"/>
    <n v="2408"/>
    <n v="7324"/>
    <n v="1"/>
    <s v="Y"/>
    <s v="Yes"/>
    <n v="17"/>
    <n v="3"/>
    <n v="3"/>
    <n v="80"/>
    <n v="3"/>
    <n v="1"/>
    <n v="3"/>
    <n v="3"/>
    <n v="1"/>
    <n v="1"/>
    <x v="0"/>
    <n v="0"/>
    <s v="OK"/>
    <s v="OK"/>
    <s v="OK"/>
    <s v="OK"/>
    <n v="0"/>
    <n v="1"/>
    <n v="3"/>
    <n v="0"/>
  </r>
  <r>
    <n v="22"/>
    <s v="No"/>
    <s v="Non-Travel"/>
    <n v="457"/>
    <s v="Research &amp; Development"/>
    <n v="26"/>
    <n v="2"/>
    <s v="Other"/>
    <n v="1"/>
    <n v="1605"/>
    <n v="2"/>
    <s v="Female"/>
    <n v="85"/>
    <n v="2"/>
    <n v="1"/>
    <x v="1"/>
    <n v="3"/>
    <s v="Married"/>
    <n v="2814"/>
    <n v="10293"/>
    <n v="1"/>
    <s v="Y"/>
    <s v="Yes"/>
    <n v="14"/>
    <n v="3"/>
    <n v="2"/>
    <n v="80"/>
    <n v="0"/>
    <n v="4"/>
    <n v="2"/>
    <n v="2"/>
    <n v="4"/>
    <n v="2"/>
    <x v="1"/>
    <n v="3"/>
    <s v="OK"/>
    <s v="OK"/>
    <s v="OK"/>
    <s v="OK"/>
    <n v="0.25"/>
    <n v="0.5"/>
    <n v="0.5"/>
    <n v="0.75"/>
  </r>
  <r>
    <n v="50"/>
    <s v="No"/>
    <s v="Travel_Frequently"/>
    <n v="1234"/>
    <s v="Research &amp; Development"/>
    <n v="20"/>
    <n v="5"/>
    <s v="Medical"/>
    <n v="1"/>
    <n v="1606"/>
    <n v="2"/>
    <s v="Male"/>
    <n v="41"/>
    <n v="3"/>
    <n v="4"/>
    <x v="4"/>
    <n v="3"/>
    <s v="Married"/>
    <n v="11245"/>
    <n v="20689"/>
    <n v="2"/>
    <s v="Y"/>
    <s v="Yes"/>
    <n v="15"/>
    <n v="3"/>
    <n v="3"/>
    <n v="80"/>
    <n v="1"/>
    <n v="32"/>
    <n v="3"/>
    <n v="3"/>
    <n v="30"/>
    <n v="8"/>
    <x v="12"/>
    <n v="13"/>
    <s v="OK"/>
    <s v="OK"/>
    <s v="OK"/>
    <s v="OK"/>
    <n v="0.4"/>
    <n v="0.26666666666666666"/>
    <n v="0.1"/>
    <n v="0.43333333333333335"/>
  </r>
  <r>
    <n v="32"/>
    <s v="No"/>
    <s v="Travel_Rarely"/>
    <n v="634"/>
    <s v="Research &amp; Development"/>
    <n v="5"/>
    <n v="4"/>
    <s v="Other"/>
    <n v="1"/>
    <n v="1607"/>
    <n v="2"/>
    <s v="Female"/>
    <n v="35"/>
    <n v="4"/>
    <n v="1"/>
    <x v="1"/>
    <n v="4"/>
    <s v="Married"/>
    <n v="3312"/>
    <n v="18783"/>
    <n v="3"/>
    <s v="Y"/>
    <s v="No"/>
    <n v="17"/>
    <n v="3"/>
    <n v="4"/>
    <n v="80"/>
    <n v="2"/>
    <n v="6"/>
    <n v="3"/>
    <n v="3"/>
    <n v="3"/>
    <n v="2"/>
    <x v="0"/>
    <n v="2"/>
    <s v="OK"/>
    <s v="OK"/>
    <s v="OK"/>
    <s v="OK"/>
    <n v="0"/>
    <n v="0.66666666666666663"/>
    <n v="1"/>
    <n v="0.66666666666666663"/>
  </r>
  <r>
    <n v="44"/>
    <s v="No"/>
    <s v="Travel_Rarely"/>
    <n v="1313"/>
    <s v="Research &amp; Development"/>
    <n v="7"/>
    <n v="3"/>
    <s v="Medical"/>
    <n v="1"/>
    <n v="1608"/>
    <n v="2"/>
    <s v="Female"/>
    <n v="31"/>
    <n v="3"/>
    <n v="5"/>
    <x v="7"/>
    <n v="4"/>
    <s v="Divorced"/>
    <n v="19049"/>
    <n v="3549"/>
    <n v="0"/>
    <s v="Y"/>
    <s v="Yes"/>
    <n v="14"/>
    <n v="3"/>
    <n v="4"/>
    <n v="80"/>
    <n v="1"/>
    <n v="23"/>
    <n v="4"/>
    <n v="2"/>
    <n v="22"/>
    <n v="7"/>
    <x v="1"/>
    <n v="10"/>
    <s v="OK"/>
    <s v="OK"/>
    <s v="OK"/>
    <s v="OK"/>
    <n v="4.5454545454545456E-2"/>
    <n v="0.31818181818181818"/>
    <n v="0.18181818181818182"/>
    <n v="0.45454545454545453"/>
  </r>
  <r>
    <n v="30"/>
    <s v="No"/>
    <s v="Travel_Rarely"/>
    <n v="241"/>
    <s v="Research &amp; Development"/>
    <n v="7"/>
    <n v="3"/>
    <s v="Medical"/>
    <n v="1"/>
    <n v="1609"/>
    <n v="2"/>
    <s v="Male"/>
    <n v="48"/>
    <n v="2"/>
    <n v="1"/>
    <x v="1"/>
    <n v="2"/>
    <s v="Married"/>
    <n v="2141"/>
    <n v="5348"/>
    <n v="1"/>
    <s v="Y"/>
    <s v="No"/>
    <n v="12"/>
    <n v="3"/>
    <n v="2"/>
    <n v="80"/>
    <n v="1"/>
    <n v="6"/>
    <n v="3"/>
    <n v="2"/>
    <n v="6"/>
    <n v="4"/>
    <x v="1"/>
    <n v="1"/>
    <s v="OK"/>
    <s v="OK"/>
    <s v="OK"/>
    <s v="OK"/>
    <n v="0.16666666666666666"/>
    <n v="0.66666666666666663"/>
    <n v="0.5"/>
    <n v="0.16666666666666666"/>
  </r>
  <r>
    <n v="45"/>
    <s v="No"/>
    <s v="Travel_Rarely"/>
    <n v="1015"/>
    <s v="Research &amp; Development"/>
    <n v="5"/>
    <n v="5"/>
    <s v="Medical"/>
    <n v="1"/>
    <n v="1611"/>
    <n v="3"/>
    <s v="Female"/>
    <n v="50"/>
    <n v="1"/>
    <n v="2"/>
    <x v="2"/>
    <n v="1"/>
    <s v="Single"/>
    <n v="5769"/>
    <n v="23447"/>
    <n v="1"/>
    <s v="Y"/>
    <s v="Yes"/>
    <n v="14"/>
    <n v="3"/>
    <n v="1"/>
    <n v="80"/>
    <n v="0"/>
    <n v="10"/>
    <n v="3"/>
    <n v="3"/>
    <n v="10"/>
    <n v="7"/>
    <x v="1"/>
    <n v="4"/>
    <s v="OK"/>
    <s v="OK"/>
    <s v="OK"/>
    <s v="OK"/>
    <n v="0.1"/>
    <n v="0.7"/>
    <n v="0.3"/>
    <n v="0.4"/>
  </r>
  <r>
    <n v="45"/>
    <s v="No"/>
    <s v="Non-Travel"/>
    <n v="336"/>
    <s v="Sales"/>
    <n v="26"/>
    <n v="3"/>
    <s v="Marketing"/>
    <n v="1"/>
    <n v="1612"/>
    <n v="1"/>
    <s v="Male"/>
    <n v="52"/>
    <n v="2"/>
    <n v="2"/>
    <x v="0"/>
    <n v="1"/>
    <s v="Married"/>
    <n v="4385"/>
    <n v="24162"/>
    <n v="1"/>
    <s v="Y"/>
    <s v="No"/>
    <n v="15"/>
    <n v="3"/>
    <n v="1"/>
    <n v="80"/>
    <n v="1"/>
    <n v="10"/>
    <n v="2"/>
    <n v="3"/>
    <n v="10"/>
    <n v="7"/>
    <x v="5"/>
    <n v="5"/>
    <s v="OK"/>
    <s v="OK"/>
    <s v="OK"/>
    <s v="OK"/>
    <n v="0.4"/>
    <n v="0.7"/>
    <n v="0.2"/>
    <n v="0.5"/>
  </r>
  <r>
    <n v="31"/>
    <s v="No"/>
    <s v="Travel_Frequently"/>
    <n v="715"/>
    <s v="Sales"/>
    <n v="2"/>
    <n v="4"/>
    <s v="Other"/>
    <n v="1"/>
    <n v="1613"/>
    <n v="4"/>
    <s v="Male"/>
    <n v="54"/>
    <n v="3"/>
    <n v="2"/>
    <x v="0"/>
    <n v="1"/>
    <s v="Single"/>
    <n v="5332"/>
    <n v="21602"/>
    <n v="7"/>
    <s v="Y"/>
    <s v="No"/>
    <n v="13"/>
    <n v="3"/>
    <n v="4"/>
    <n v="80"/>
    <n v="0"/>
    <n v="10"/>
    <n v="3"/>
    <n v="3"/>
    <n v="5"/>
    <n v="2"/>
    <x v="0"/>
    <n v="3"/>
    <s v="OK"/>
    <s v="OK"/>
    <s v="OK"/>
    <s v="OK"/>
    <n v="0"/>
    <n v="0.4"/>
    <n v="0.6"/>
    <n v="0.6"/>
  </r>
  <r>
    <n v="36"/>
    <s v="No"/>
    <s v="Travel_Rarely"/>
    <n v="559"/>
    <s v="Research &amp; Development"/>
    <n v="12"/>
    <n v="4"/>
    <s v="Life Sciences"/>
    <n v="1"/>
    <n v="1614"/>
    <n v="3"/>
    <s v="Female"/>
    <n v="76"/>
    <n v="3"/>
    <n v="2"/>
    <x v="3"/>
    <n v="3"/>
    <s v="Married"/>
    <n v="4663"/>
    <n v="12421"/>
    <n v="9"/>
    <s v="Y"/>
    <s v="Yes"/>
    <n v="12"/>
    <n v="3"/>
    <n v="2"/>
    <n v="80"/>
    <n v="2"/>
    <n v="7"/>
    <n v="2"/>
    <n v="3"/>
    <n v="3"/>
    <n v="2"/>
    <x v="1"/>
    <n v="1"/>
    <s v="OK"/>
    <s v="OK"/>
    <s v="OK"/>
    <s v="OK"/>
    <n v="0.33333333333333331"/>
    <n v="0.66666666666666663"/>
    <n v="0.66666666666666663"/>
    <n v="0.33333333333333331"/>
  </r>
  <r>
    <n v="34"/>
    <s v="No"/>
    <s v="Travel_Frequently"/>
    <n v="426"/>
    <s v="Research &amp; Development"/>
    <n v="10"/>
    <n v="4"/>
    <s v="Life Sciences"/>
    <n v="1"/>
    <n v="1615"/>
    <n v="3"/>
    <s v="Male"/>
    <n v="42"/>
    <n v="4"/>
    <n v="2"/>
    <x v="3"/>
    <n v="4"/>
    <s v="Divorced"/>
    <n v="4724"/>
    <n v="17000"/>
    <n v="1"/>
    <s v="Y"/>
    <s v="No"/>
    <n v="13"/>
    <n v="3"/>
    <n v="1"/>
    <n v="80"/>
    <n v="1"/>
    <n v="9"/>
    <n v="3"/>
    <n v="3"/>
    <n v="9"/>
    <n v="7"/>
    <x v="4"/>
    <n v="2"/>
    <s v="OK"/>
    <s v="OK"/>
    <s v="OK"/>
    <s v="OK"/>
    <n v="0.77777777777777779"/>
    <n v="0.77777777777777779"/>
    <n v="0.33333333333333331"/>
    <n v="0.22222222222222221"/>
  </r>
  <r>
    <n v="49"/>
    <s v="No"/>
    <s v="Travel_Rarely"/>
    <n v="722"/>
    <s v="Research &amp; Development"/>
    <n v="25"/>
    <n v="4"/>
    <s v="Life Sciences"/>
    <n v="1"/>
    <n v="1617"/>
    <n v="3"/>
    <s v="Female"/>
    <n v="84"/>
    <n v="3"/>
    <n v="1"/>
    <x v="2"/>
    <n v="1"/>
    <s v="Married"/>
    <n v="3211"/>
    <n v="22102"/>
    <n v="1"/>
    <s v="Y"/>
    <s v="No"/>
    <n v="14"/>
    <n v="3"/>
    <n v="4"/>
    <n v="80"/>
    <n v="1"/>
    <n v="10"/>
    <n v="3"/>
    <n v="2"/>
    <n v="9"/>
    <n v="6"/>
    <x v="1"/>
    <n v="4"/>
    <s v="OK"/>
    <s v="OK"/>
    <s v="OK"/>
    <s v="OK"/>
    <n v="0.1111111111111111"/>
    <n v="0.66666666666666663"/>
    <n v="0.33333333333333331"/>
    <n v="0.44444444444444442"/>
  </r>
  <r>
    <n v="39"/>
    <s v="No"/>
    <s v="Travel_Rarely"/>
    <n v="1387"/>
    <s v="Research &amp; Development"/>
    <n v="10"/>
    <n v="5"/>
    <s v="Medical"/>
    <n v="1"/>
    <n v="1618"/>
    <n v="2"/>
    <s v="Male"/>
    <n v="76"/>
    <n v="3"/>
    <n v="2"/>
    <x v="3"/>
    <n v="1"/>
    <s v="Married"/>
    <n v="5377"/>
    <n v="3835"/>
    <n v="2"/>
    <s v="Y"/>
    <s v="No"/>
    <n v="13"/>
    <n v="3"/>
    <n v="4"/>
    <n v="80"/>
    <n v="3"/>
    <n v="10"/>
    <n v="3"/>
    <n v="3"/>
    <n v="7"/>
    <n v="7"/>
    <x v="4"/>
    <n v="7"/>
    <s v="OK"/>
    <s v="OK"/>
    <s v="OK"/>
    <s v="OK"/>
    <n v="1"/>
    <n v="1"/>
    <n v="0.42857142857142855"/>
    <n v="1"/>
  </r>
  <r>
    <n v="27"/>
    <s v="No"/>
    <s v="Travel_Rarely"/>
    <n v="1302"/>
    <s v="Research &amp; Development"/>
    <n v="19"/>
    <n v="3"/>
    <s v="Other"/>
    <n v="1"/>
    <n v="1619"/>
    <n v="4"/>
    <s v="Male"/>
    <n v="67"/>
    <n v="2"/>
    <n v="1"/>
    <x v="2"/>
    <n v="1"/>
    <s v="Divorced"/>
    <n v="4066"/>
    <n v="16290"/>
    <n v="1"/>
    <s v="Y"/>
    <s v="No"/>
    <n v="11"/>
    <n v="3"/>
    <n v="1"/>
    <n v="80"/>
    <n v="2"/>
    <n v="7"/>
    <n v="3"/>
    <n v="3"/>
    <n v="7"/>
    <n v="7"/>
    <x v="0"/>
    <n v="7"/>
    <s v="OK"/>
    <s v="OK"/>
    <s v="OK"/>
    <s v="OK"/>
    <n v="0"/>
    <n v="1"/>
    <n v="0.42857142857142855"/>
    <n v="1"/>
  </r>
  <r>
    <n v="35"/>
    <s v="No"/>
    <s v="Travel_Rarely"/>
    <n v="819"/>
    <s v="Research &amp; Development"/>
    <n v="18"/>
    <n v="5"/>
    <s v="Life Sciences"/>
    <n v="1"/>
    <n v="1621"/>
    <n v="2"/>
    <s v="Male"/>
    <n v="48"/>
    <n v="4"/>
    <n v="2"/>
    <x v="1"/>
    <n v="1"/>
    <s v="Married"/>
    <n v="5208"/>
    <n v="26312"/>
    <n v="1"/>
    <s v="Y"/>
    <s v="No"/>
    <n v="11"/>
    <n v="3"/>
    <n v="4"/>
    <n v="80"/>
    <n v="0"/>
    <n v="16"/>
    <n v="2"/>
    <n v="3"/>
    <n v="16"/>
    <n v="15"/>
    <x v="1"/>
    <n v="10"/>
    <s v="OK"/>
    <s v="OK"/>
    <s v="OK"/>
    <s v="OK"/>
    <n v="6.25E-2"/>
    <n v="0.9375"/>
    <n v="0.125"/>
    <n v="0.625"/>
  </r>
  <r>
    <n v="28"/>
    <s v="No"/>
    <s v="Travel_Rarely"/>
    <n v="580"/>
    <s v="Research &amp; Development"/>
    <n v="27"/>
    <n v="3"/>
    <s v="Medical"/>
    <n v="1"/>
    <n v="1622"/>
    <n v="2"/>
    <s v="Female"/>
    <n v="39"/>
    <n v="1"/>
    <n v="2"/>
    <x v="3"/>
    <n v="1"/>
    <s v="Divorced"/>
    <n v="4877"/>
    <n v="20460"/>
    <n v="0"/>
    <s v="Y"/>
    <s v="No"/>
    <n v="21"/>
    <n v="4"/>
    <n v="2"/>
    <n v="80"/>
    <n v="1"/>
    <n v="6"/>
    <n v="5"/>
    <n v="2"/>
    <n v="5"/>
    <n v="3"/>
    <x v="0"/>
    <n v="0"/>
    <s v="OK"/>
    <s v="OK"/>
    <s v="OK"/>
    <s v="OK"/>
    <n v="0"/>
    <n v="0.6"/>
    <n v="1"/>
    <n v="0"/>
  </r>
  <r>
    <n v="21"/>
    <s v="No"/>
    <s v="Travel_Rarely"/>
    <n v="546"/>
    <s v="Research &amp; Development"/>
    <n v="5"/>
    <n v="1"/>
    <s v="Medical"/>
    <n v="1"/>
    <n v="1623"/>
    <n v="3"/>
    <s v="Male"/>
    <n v="97"/>
    <n v="3"/>
    <n v="1"/>
    <x v="1"/>
    <n v="4"/>
    <s v="Single"/>
    <n v="3117"/>
    <n v="26009"/>
    <n v="1"/>
    <s v="Y"/>
    <s v="No"/>
    <n v="18"/>
    <n v="3"/>
    <n v="3"/>
    <n v="80"/>
    <n v="0"/>
    <n v="3"/>
    <n v="2"/>
    <n v="3"/>
    <n v="2"/>
    <n v="2"/>
    <x v="3"/>
    <n v="2"/>
    <s v="OK"/>
    <s v="OK"/>
    <s v="OK"/>
    <s v="OK"/>
    <n v="1"/>
    <n v="1"/>
    <n v="1"/>
    <n v="1"/>
  </r>
  <r>
    <n v="18"/>
    <s v="Yes"/>
    <s v="Travel_Frequently"/>
    <n v="544"/>
    <s v="Sales"/>
    <n v="3"/>
    <n v="2"/>
    <s v="Medical"/>
    <n v="1"/>
    <n v="1624"/>
    <n v="2"/>
    <s v="Female"/>
    <n v="70"/>
    <n v="3"/>
    <n v="1"/>
    <x v="6"/>
    <n v="4"/>
    <s v="Single"/>
    <n v="1569"/>
    <n v="18420"/>
    <n v="1"/>
    <s v="Y"/>
    <s v="Yes"/>
    <n v="12"/>
    <n v="3"/>
    <n v="3"/>
    <n v="80"/>
    <n v="0"/>
    <n v="0"/>
    <n v="2"/>
    <n v="4"/>
    <n v="0"/>
    <n v="0"/>
    <x v="0"/>
    <n v="0"/>
    <s v="OK"/>
    <s v="OK"/>
    <s v="OK"/>
    <s v="OK"/>
    <n v="0"/>
    <n v="0"/>
    <n v="0"/>
    <n v="0"/>
  </r>
  <r>
    <n v="47"/>
    <s v="No"/>
    <s v="Travel_Rarely"/>
    <n v="1176"/>
    <s v="Human Resources"/>
    <n v="26"/>
    <n v="4"/>
    <s v="Life Sciences"/>
    <n v="1"/>
    <n v="1625"/>
    <n v="4"/>
    <s v="Female"/>
    <n v="98"/>
    <n v="3"/>
    <n v="5"/>
    <x v="5"/>
    <n v="3"/>
    <s v="Married"/>
    <n v="19658"/>
    <n v="5220"/>
    <n v="3"/>
    <s v="Y"/>
    <s v="No"/>
    <n v="11"/>
    <n v="3"/>
    <n v="3"/>
    <n v="80"/>
    <n v="1"/>
    <n v="27"/>
    <n v="2"/>
    <n v="3"/>
    <n v="5"/>
    <n v="2"/>
    <x v="1"/>
    <n v="0"/>
    <s v="OK"/>
    <s v="OK"/>
    <s v="OK"/>
    <s v="OK"/>
    <n v="0.2"/>
    <n v="0.4"/>
    <n v="0.4"/>
    <n v="0"/>
  </r>
  <r>
    <n v="39"/>
    <s v="No"/>
    <s v="Travel_Rarely"/>
    <n v="170"/>
    <s v="Research &amp; Development"/>
    <n v="3"/>
    <n v="2"/>
    <s v="Medical"/>
    <n v="1"/>
    <n v="1627"/>
    <n v="3"/>
    <s v="Male"/>
    <n v="76"/>
    <n v="2"/>
    <n v="2"/>
    <x v="2"/>
    <n v="3"/>
    <s v="Divorced"/>
    <n v="3069"/>
    <n v="10302"/>
    <n v="0"/>
    <s v="Y"/>
    <s v="No"/>
    <n v="15"/>
    <n v="3"/>
    <n v="4"/>
    <n v="80"/>
    <n v="1"/>
    <n v="11"/>
    <n v="3"/>
    <n v="3"/>
    <n v="10"/>
    <n v="8"/>
    <x v="0"/>
    <n v="7"/>
    <s v="OK"/>
    <s v="OK"/>
    <s v="OK"/>
    <s v="OK"/>
    <n v="0"/>
    <n v="0.8"/>
    <n v="0.3"/>
    <n v="0.7"/>
  </r>
  <r>
    <n v="40"/>
    <s v="No"/>
    <s v="Travel_Rarely"/>
    <n v="884"/>
    <s v="Research &amp; Development"/>
    <n v="15"/>
    <n v="3"/>
    <s v="Life Sciences"/>
    <n v="1"/>
    <n v="1628"/>
    <n v="1"/>
    <s v="Female"/>
    <n v="80"/>
    <n v="2"/>
    <n v="3"/>
    <x v="3"/>
    <n v="3"/>
    <s v="Married"/>
    <n v="10435"/>
    <n v="25800"/>
    <n v="1"/>
    <s v="Y"/>
    <s v="No"/>
    <n v="13"/>
    <n v="3"/>
    <n v="4"/>
    <n v="80"/>
    <n v="2"/>
    <n v="18"/>
    <n v="2"/>
    <n v="3"/>
    <n v="18"/>
    <n v="15"/>
    <x v="15"/>
    <n v="12"/>
    <s v="OK"/>
    <s v="OK"/>
    <s v="OK"/>
    <s v="OK"/>
    <n v="0.77777777777777779"/>
    <n v="0.83333333333333337"/>
    <n v="0.1111111111111111"/>
    <n v="0.66666666666666663"/>
  </r>
  <r>
    <n v="35"/>
    <s v="No"/>
    <s v="Non-Travel"/>
    <n v="208"/>
    <s v="Research &amp; Development"/>
    <n v="8"/>
    <n v="4"/>
    <s v="Life Sciences"/>
    <n v="1"/>
    <n v="1630"/>
    <n v="3"/>
    <s v="Female"/>
    <n v="52"/>
    <n v="3"/>
    <n v="2"/>
    <x v="4"/>
    <n v="3"/>
    <s v="Married"/>
    <n v="4148"/>
    <n v="12250"/>
    <n v="1"/>
    <s v="Y"/>
    <s v="No"/>
    <n v="12"/>
    <n v="3"/>
    <n v="4"/>
    <n v="80"/>
    <n v="1"/>
    <n v="15"/>
    <n v="5"/>
    <n v="3"/>
    <n v="14"/>
    <n v="11"/>
    <x v="3"/>
    <n v="9"/>
    <s v="OK"/>
    <s v="OK"/>
    <s v="OK"/>
    <s v="OK"/>
    <n v="0.14285714285714285"/>
    <n v="0.7857142857142857"/>
    <n v="0.35714285714285715"/>
    <n v="0.6428571428571429"/>
  </r>
  <r>
    <n v="37"/>
    <s v="No"/>
    <s v="Travel_Rarely"/>
    <n v="671"/>
    <s v="Research &amp; Development"/>
    <n v="19"/>
    <n v="3"/>
    <s v="Life Sciences"/>
    <n v="1"/>
    <n v="1631"/>
    <n v="3"/>
    <s v="Male"/>
    <n v="85"/>
    <n v="3"/>
    <n v="2"/>
    <x v="3"/>
    <n v="3"/>
    <s v="Married"/>
    <n v="5768"/>
    <n v="26493"/>
    <n v="3"/>
    <s v="Y"/>
    <s v="No"/>
    <n v="17"/>
    <n v="3"/>
    <n v="1"/>
    <n v="80"/>
    <n v="3"/>
    <n v="9"/>
    <n v="2"/>
    <n v="2"/>
    <n v="4"/>
    <n v="3"/>
    <x v="0"/>
    <n v="2"/>
    <s v="OK"/>
    <s v="OK"/>
    <s v="OK"/>
    <s v="OK"/>
    <n v="0"/>
    <n v="0.75"/>
    <n v="0.5"/>
    <n v="0.5"/>
  </r>
  <r>
    <n v="39"/>
    <s v="No"/>
    <s v="Travel_Frequently"/>
    <n v="711"/>
    <s v="Research &amp; Development"/>
    <n v="4"/>
    <n v="3"/>
    <s v="Medical"/>
    <n v="1"/>
    <n v="1633"/>
    <n v="1"/>
    <s v="Female"/>
    <n v="81"/>
    <n v="3"/>
    <n v="2"/>
    <x v="3"/>
    <n v="3"/>
    <s v="Single"/>
    <n v="5042"/>
    <n v="3140"/>
    <n v="0"/>
    <s v="Y"/>
    <s v="No"/>
    <n v="13"/>
    <n v="3"/>
    <n v="4"/>
    <n v="80"/>
    <n v="0"/>
    <n v="10"/>
    <n v="2"/>
    <n v="1"/>
    <n v="9"/>
    <n v="2"/>
    <x v="2"/>
    <n v="8"/>
    <s v="OK"/>
    <s v="OK"/>
    <s v="OK"/>
    <s v="OK"/>
    <n v="0.33333333333333331"/>
    <n v="0.22222222222222221"/>
    <n v="0.22222222222222221"/>
    <n v="0.88888888888888884"/>
  </r>
  <r>
    <n v="45"/>
    <s v="No"/>
    <s v="Travel_Rarely"/>
    <n v="1329"/>
    <s v="Research &amp; Development"/>
    <n v="2"/>
    <n v="2"/>
    <s v="Other"/>
    <n v="1"/>
    <n v="1635"/>
    <n v="4"/>
    <s v="Female"/>
    <n v="59"/>
    <n v="2"/>
    <n v="2"/>
    <x v="3"/>
    <n v="4"/>
    <s v="Divorced"/>
    <n v="5770"/>
    <n v="5388"/>
    <n v="1"/>
    <s v="Y"/>
    <s v="No"/>
    <n v="19"/>
    <n v="3"/>
    <n v="1"/>
    <n v="80"/>
    <n v="2"/>
    <n v="10"/>
    <n v="3"/>
    <n v="3"/>
    <n v="10"/>
    <n v="7"/>
    <x v="2"/>
    <n v="9"/>
    <s v="OK"/>
    <s v="OK"/>
    <s v="OK"/>
    <s v="OK"/>
    <n v="0.3"/>
    <n v="0.7"/>
    <n v="0.3"/>
    <n v="0.9"/>
  </r>
  <r>
    <n v="38"/>
    <s v="No"/>
    <s v="Travel_Rarely"/>
    <n v="397"/>
    <s v="Research &amp; Development"/>
    <n v="2"/>
    <n v="2"/>
    <s v="Medical"/>
    <n v="1"/>
    <n v="1638"/>
    <n v="4"/>
    <s v="Female"/>
    <n v="54"/>
    <n v="2"/>
    <n v="3"/>
    <x v="3"/>
    <n v="3"/>
    <s v="Married"/>
    <n v="7756"/>
    <n v="14199"/>
    <n v="3"/>
    <s v="Y"/>
    <s v="Yes"/>
    <n v="19"/>
    <n v="3"/>
    <n v="4"/>
    <n v="80"/>
    <n v="1"/>
    <n v="10"/>
    <n v="6"/>
    <n v="4"/>
    <n v="5"/>
    <n v="4"/>
    <x v="0"/>
    <n v="2"/>
    <s v="OK"/>
    <s v="OK"/>
    <s v="OK"/>
    <s v="OK"/>
    <n v="0"/>
    <n v="0.8"/>
    <n v="1.2"/>
    <n v="0.4"/>
  </r>
  <r>
    <n v="35"/>
    <s v="Yes"/>
    <s v="Travel_Rarely"/>
    <n v="737"/>
    <s v="Sales"/>
    <n v="10"/>
    <n v="3"/>
    <s v="Medical"/>
    <n v="1"/>
    <n v="1639"/>
    <n v="4"/>
    <s v="Male"/>
    <n v="55"/>
    <n v="2"/>
    <n v="3"/>
    <x v="0"/>
    <n v="1"/>
    <s v="Married"/>
    <n v="10306"/>
    <n v="21530"/>
    <n v="9"/>
    <s v="Y"/>
    <s v="No"/>
    <n v="17"/>
    <n v="3"/>
    <n v="3"/>
    <n v="80"/>
    <n v="0"/>
    <n v="15"/>
    <n v="3"/>
    <n v="3"/>
    <n v="13"/>
    <n v="12"/>
    <x v="7"/>
    <n v="0"/>
    <s v="OK"/>
    <s v="OK"/>
    <s v="OK"/>
    <s v="OK"/>
    <n v="0.46153846153846156"/>
    <n v="0.92307692307692313"/>
    <n v="0.23076923076923078"/>
    <n v="0"/>
  </r>
  <r>
    <n v="37"/>
    <s v="No"/>
    <s v="Travel_Rarely"/>
    <n v="1470"/>
    <s v="Research &amp; Development"/>
    <n v="10"/>
    <n v="3"/>
    <s v="Medical"/>
    <n v="1"/>
    <n v="1640"/>
    <n v="2"/>
    <s v="Female"/>
    <n v="71"/>
    <n v="3"/>
    <n v="1"/>
    <x v="1"/>
    <n v="2"/>
    <s v="Married"/>
    <n v="3936"/>
    <n v="9953"/>
    <n v="1"/>
    <s v="Y"/>
    <s v="No"/>
    <n v="11"/>
    <n v="3"/>
    <n v="1"/>
    <n v="80"/>
    <n v="1"/>
    <n v="8"/>
    <n v="2"/>
    <n v="1"/>
    <n v="8"/>
    <n v="4"/>
    <x v="4"/>
    <n v="7"/>
    <s v="OK"/>
    <s v="OK"/>
    <s v="OK"/>
    <s v="OK"/>
    <n v="0.875"/>
    <n v="0.5"/>
    <n v="0.25"/>
    <n v="0.875"/>
  </r>
  <r>
    <n v="40"/>
    <s v="No"/>
    <s v="Travel_Rarely"/>
    <n v="448"/>
    <s v="Research &amp; Development"/>
    <n v="16"/>
    <n v="3"/>
    <s v="Life Sciences"/>
    <n v="1"/>
    <n v="1641"/>
    <n v="3"/>
    <s v="Female"/>
    <n v="84"/>
    <n v="3"/>
    <n v="3"/>
    <x v="3"/>
    <n v="4"/>
    <s v="Single"/>
    <n v="7945"/>
    <n v="19948"/>
    <n v="6"/>
    <s v="Y"/>
    <s v="Yes"/>
    <n v="15"/>
    <n v="3"/>
    <n v="4"/>
    <n v="80"/>
    <n v="0"/>
    <n v="18"/>
    <n v="2"/>
    <n v="2"/>
    <n v="4"/>
    <n v="2"/>
    <x v="2"/>
    <n v="3"/>
    <s v="OK"/>
    <s v="OK"/>
    <s v="OK"/>
    <s v="OK"/>
    <n v="0.75"/>
    <n v="0.5"/>
    <n v="0.5"/>
    <n v="0.75"/>
  </r>
  <r>
    <n v="44"/>
    <s v="No"/>
    <s v="Travel_Frequently"/>
    <n v="602"/>
    <s v="Human Resources"/>
    <n v="1"/>
    <n v="5"/>
    <s v="Human Resources"/>
    <n v="1"/>
    <n v="1642"/>
    <n v="1"/>
    <s v="Male"/>
    <n v="37"/>
    <n v="3"/>
    <n v="2"/>
    <x v="8"/>
    <n v="4"/>
    <s v="Married"/>
    <n v="5743"/>
    <n v="10503"/>
    <n v="4"/>
    <s v="Y"/>
    <s v="Yes"/>
    <n v="11"/>
    <n v="3"/>
    <n v="3"/>
    <n v="80"/>
    <n v="0"/>
    <n v="14"/>
    <n v="3"/>
    <n v="3"/>
    <n v="10"/>
    <n v="7"/>
    <x v="0"/>
    <n v="2"/>
    <s v="OK"/>
    <s v="OK"/>
    <s v="OK"/>
    <s v="OK"/>
    <n v="0"/>
    <n v="0.7"/>
    <n v="0.3"/>
    <n v="0.2"/>
  </r>
  <r>
    <n v="48"/>
    <s v="No"/>
    <s v="Travel_Frequently"/>
    <n v="365"/>
    <s v="Research &amp; Development"/>
    <n v="4"/>
    <n v="5"/>
    <s v="Medical"/>
    <n v="1"/>
    <n v="1644"/>
    <n v="3"/>
    <s v="Male"/>
    <n v="89"/>
    <n v="2"/>
    <n v="4"/>
    <x v="5"/>
    <n v="4"/>
    <s v="Married"/>
    <n v="15202"/>
    <n v="5602"/>
    <n v="2"/>
    <s v="Y"/>
    <s v="No"/>
    <n v="25"/>
    <n v="4"/>
    <n v="2"/>
    <n v="80"/>
    <n v="1"/>
    <n v="23"/>
    <n v="3"/>
    <n v="3"/>
    <n v="2"/>
    <n v="2"/>
    <x v="3"/>
    <n v="2"/>
    <s v="OK"/>
    <s v="OK"/>
    <s v="OK"/>
    <s v="OK"/>
    <n v="1"/>
    <n v="1"/>
    <n v="1.5"/>
    <n v="1"/>
  </r>
  <r>
    <n v="35"/>
    <s v="Yes"/>
    <s v="Travel_Rarely"/>
    <n v="763"/>
    <s v="Sales"/>
    <n v="15"/>
    <n v="2"/>
    <s v="Medical"/>
    <n v="1"/>
    <n v="1645"/>
    <n v="1"/>
    <s v="Male"/>
    <n v="59"/>
    <n v="1"/>
    <n v="2"/>
    <x v="0"/>
    <n v="4"/>
    <s v="Divorced"/>
    <n v="5440"/>
    <n v="22098"/>
    <n v="6"/>
    <s v="Y"/>
    <s v="Yes"/>
    <n v="14"/>
    <n v="3"/>
    <n v="4"/>
    <n v="80"/>
    <n v="2"/>
    <n v="7"/>
    <n v="2"/>
    <n v="2"/>
    <n v="2"/>
    <n v="2"/>
    <x v="3"/>
    <n v="2"/>
    <s v="OK"/>
    <s v="OK"/>
    <s v="OK"/>
    <s v="OK"/>
    <n v="1"/>
    <n v="1"/>
    <n v="1"/>
    <n v="1"/>
  </r>
  <r>
    <n v="24"/>
    <s v="No"/>
    <s v="Travel_Frequently"/>
    <n v="567"/>
    <s v="Research &amp; Development"/>
    <n v="2"/>
    <n v="1"/>
    <s v="Technical Degree"/>
    <n v="1"/>
    <n v="1646"/>
    <n v="1"/>
    <s v="Female"/>
    <n v="32"/>
    <n v="3"/>
    <n v="1"/>
    <x v="1"/>
    <n v="4"/>
    <s v="Single"/>
    <n v="3760"/>
    <n v="17218"/>
    <n v="1"/>
    <s v="Y"/>
    <s v="Yes"/>
    <n v="13"/>
    <n v="3"/>
    <n v="3"/>
    <n v="80"/>
    <n v="0"/>
    <n v="6"/>
    <n v="2"/>
    <n v="3"/>
    <n v="6"/>
    <n v="3"/>
    <x v="1"/>
    <n v="3"/>
    <s v="OK"/>
    <s v="OK"/>
    <s v="OK"/>
    <s v="OK"/>
    <n v="0.16666666666666666"/>
    <n v="0.5"/>
    <n v="0.33333333333333331"/>
    <n v="0.5"/>
  </r>
  <r>
    <n v="27"/>
    <s v="No"/>
    <s v="Travel_Rarely"/>
    <n v="486"/>
    <s v="Research &amp; Development"/>
    <n v="8"/>
    <n v="3"/>
    <s v="Medical"/>
    <n v="1"/>
    <n v="1647"/>
    <n v="2"/>
    <s v="Female"/>
    <n v="86"/>
    <n v="4"/>
    <n v="1"/>
    <x v="1"/>
    <n v="3"/>
    <s v="Married"/>
    <n v="3517"/>
    <n v="22490"/>
    <n v="7"/>
    <s v="Y"/>
    <s v="No"/>
    <n v="17"/>
    <n v="3"/>
    <n v="1"/>
    <n v="80"/>
    <n v="0"/>
    <n v="5"/>
    <n v="0"/>
    <n v="3"/>
    <n v="3"/>
    <n v="2"/>
    <x v="0"/>
    <n v="2"/>
    <s v="OK"/>
    <s v="OK"/>
    <s v="OK"/>
    <s v="OK"/>
    <n v="0"/>
    <n v="0.66666666666666663"/>
    <n v="0"/>
    <n v="0.66666666666666663"/>
  </r>
  <r>
    <n v="27"/>
    <s v="No"/>
    <s v="Travel_Frequently"/>
    <n v="591"/>
    <s v="Research &amp; Development"/>
    <n v="2"/>
    <n v="3"/>
    <s v="Medical"/>
    <n v="1"/>
    <n v="1648"/>
    <n v="4"/>
    <s v="Male"/>
    <n v="87"/>
    <n v="3"/>
    <n v="1"/>
    <x v="1"/>
    <n v="4"/>
    <s v="Single"/>
    <n v="2580"/>
    <n v="6297"/>
    <n v="2"/>
    <s v="Y"/>
    <s v="No"/>
    <n v="13"/>
    <n v="3"/>
    <n v="3"/>
    <n v="80"/>
    <n v="0"/>
    <n v="6"/>
    <n v="0"/>
    <n v="2"/>
    <n v="4"/>
    <n v="2"/>
    <x v="1"/>
    <n v="2"/>
    <s v="OK"/>
    <s v="OK"/>
    <s v="OK"/>
    <s v="OK"/>
    <n v="0.25"/>
    <n v="0.5"/>
    <n v="0"/>
    <n v="0.5"/>
  </r>
  <r>
    <n v="40"/>
    <s v="Yes"/>
    <s v="Travel_Rarely"/>
    <n v="1329"/>
    <s v="Research &amp; Development"/>
    <n v="7"/>
    <n v="3"/>
    <s v="Life Sciences"/>
    <n v="1"/>
    <n v="1649"/>
    <n v="1"/>
    <s v="Male"/>
    <n v="73"/>
    <n v="3"/>
    <n v="1"/>
    <x v="2"/>
    <n v="1"/>
    <s v="Single"/>
    <n v="2166"/>
    <n v="3339"/>
    <n v="3"/>
    <s v="Y"/>
    <s v="Yes"/>
    <n v="14"/>
    <n v="3"/>
    <n v="2"/>
    <n v="80"/>
    <n v="0"/>
    <n v="10"/>
    <n v="3"/>
    <n v="1"/>
    <n v="4"/>
    <n v="2"/>
    <x v="0"/>
    <n v="3"/>
    <s v="OK"/>
    <s v="OK"/>
    <s v="OK"/>
    <s v="OK"/>
    <n v="0"/>
    <n v="0.5"/>
    <n v="0.75"/>
    <n v="0.75"/>
  </r>
  <r>
    <n v="29"/>
    <s v="No"/>
    <s v="Travel_Rarely"/>
    <n v="469"/>
    <s v="Sales"/>
    <n v="10"/>
    <n v="3"/>
    <s v="Medical"/>
    <n v="1"/>
    <n v="1650"/>
    <n v="3"/>
    <s v="Male"/>
    <n v="42"/>
    <n v="2"/>
    <n v="2"/>
    <x v="0"/>
    <n v="3"/>
    <s v="Single"/>
    <n v="5869"/>
    <n v="23413"/>
    <n v="9"/>
    <s v="Y"/>
    <s v="No"/>
    <n v="11"/>
    <n v="3"/>
    <n v="3"/>
    <n v="80"/>
    <n v="0"/>
    <n v="8"/>
    <n v="2"/>
    <n v="3"/>
    <n v="5"/>
    <n v="2"/>
    <x v="1"/>
    <n v="4"/>
    <s v="OK"/>
    <s v="OK"/>
    <s v="OK"/>
    <s v="OK"/>
    <n v="0.2"/>
    <n v="0.4"/>
    <n v="0.4"/>
    <n v="0.8"/>
  </r>
  <r>
    <n v="36"/>
    <s v="No"/>
    <s v="Travel_Rarely"/>
    <n v="711"/>
    <s v="Research &amp; Development"/>
    <n v="5"/>
    <n v="4"/>
    <s v="Life Sciences"/>
    <n v="1"/>
    <n v="1651"/>
    <n v="2"/>
    <s v="Female"/>
    <n v="42"/>
    <n v="3"/>
    <n v="3"/>
    <x v="4"/>
    <n v="1"/>
    <s v="Married"/>
    <n v="8008"/>
    <n v="22792"/>
    <n v="4"/>
    <s v="Y"/>
    <s v="No"/>
    <n v="12"/>
    <n v="3"/>
    <n v="3"/>
    <n v="80"/>
    <n v="2"/>
    <n v="9"/>
    <n v="6"/>
    <n v="3"/>
    <n v="3"/>
    <n v="2"/>
    <x v="0"/>
    <n v="2"/>
    <s v="OK"/>
    <s v="OK"/>
    <s v="OK"/>
    <s v="OK"/>
    <n v="0"/>
    <n v="0.66666666666666663"/>
    <n v="2"/>
    <n v="0.66666666666666663"/>
  </r>
  <r>
    <n v="25"/>
    <s v="No"/>
    <s v="Travel_Frequently"/>
    <n v="772"/>
    <s v="Research &amp; Development"/>
    <n v="2"/>
    <n v="1"/>
    <s v="Life Sciences"/>
    <n v="1"/>
    <n v="1653"/>
    <n v="4"/>
    <s v="Male"/>
    <n v="77"/>
    <n v="4"/>
    <n v="2"/>
    <x v="3"/>
    <n v="3"/>
    <s v="Divorced"/>
    <n v="5206"/>
    <n v="4973"/>
    <n v="1"/>
    <s v="Y"/>
    <s v="No"/>
    <n v="17"/>
    <n v="3"/>
    <n v="3"/>
    <n v="80"/>
    <n v="2"/>
    <n v="7"/>
    <n v="6"/>
    <n v="3"/>
    <n v="7"/>
    <n v="7"/>
    <x v="0"/>
    <n v="7"/>
    <s v="OK"/>
    <s v="OK"/>
    <s v="OK"/>
    <s v="OK"/>
    <n v="0"/>
    <n v="1"/>
    <n v="0.8571428571428571"/>
    <n v="1"/>
  </r>
  <r>
    <n v="39"/>
    <s v="No"/>
    <s v="Travel_Rarely"/>
    <n v="492"/>
    <s v="Research &amp; Development"/>
    <n v="12"/>
    <n v="3"/>
    <s v="Medical"/>
    <n v="1"/>
    <n v="1654"/>
    <n v="4"/>
    <s v="Male"/>
    <n v="66"/>
    <n v="3"/>
    <n v="2"/>
    <x v="3"/>
    <n v="2"/>
    <s v="Married"/>
    <n v="5295"/>
    <n v="7693"/>
    <n v="4"/>
    <s v="Y"/>
    <s v="No"/>
    <n v="21"/>
    <n v="4"/>
    <n v="3"/>
    <n v="80"/>
    <n v="0"/>
    <n v="7"/>
    <n v="3"/>
    <n v="3"/>
    <n v="5"/>
    <n v="4"/>
    <x v="1"/>
    <n v="0"/>
    <s v="OK"/>
    <s v="OK"/>
    <s v="OK"/>
    <s v="OK"/>
    <n v="0.2"/>
    <n v="0.8"/>
    <n v="0.6"/>
    <n v="0"/>
  </r>
  <r>
    <n v="49"/>
    <s v="No"/>
    <s v="Travel_Rarely"/>
    <n v="301"/>
    <s v="Research &amp; Development"/>
    <n v="22"/>
    <n v="4"/>
    <s v="Other"/>
    <n v="1"/>
    <n v="1655"/>
    <n v="1"/>
    <s v="Female"/>
    <n v="72"/>
    <n v="3"/>
    <n v="4"/>
    <x v="7"/>
    <n v="2"/>
    <s v="Married"/>
    <n v="16413"/>
    <n v="3498"/>
    <n v="3"/>
    <s v="Y"/>
    <s v="No"/>
    <n v="16"/>
    <n v="3"/>
    <n v="2"/>
    <n v="80"/>
    <n v="2"/>
    <n v="27"/>
    <n v="2"/>
    <n v="3"/>
    <n v="4"/>
    <n v="2"/>
    <x v="1"/>
    <n v="2"/>
    <s v="OK"/>
    <s v="OK"/>
    <s v="OK"/>
    <s v="OK"/>
    <n v="0.25"/>
    <n v="0.5"/>
    <n v="0.5"/>
    <n v="0.5"/>
  </r>
  <r>
    <n v="50"/>
    <s v="No"/>
    <s v="Travel_Rarely"/>
    <n v="813"/>
    <s v="Research &amp; Development"/>
    <n v="17"/>
    <n v="5"/>
    <s v="Life Sciences"/>
    <n v="1"/>
    <n v="1656"/>
    <n v="4"/>
    <s v="Female"/>
    <n v="50"/>
    <n v="2"/>
    <n v="3"/>
    <x v="7"/>
    <n v="1"/>
    <s v="Divorced"/>
    <n v="13269"/>
    <n v="21981"/>
    <n v="5"/>
    <s v="Y"/>
    <s v="No"/>
    <n v="15"/>
    <n v="3"/>
    <n v="3"/>
    <n v="80"/>
    <n v="3"/>
    <n v="19"/>
    <n v="3"/>
    <n v="3"/>
    <n v="14"/>
    <n v="11"/>
    <x v="1"/>
    <n v="11"/>
    <s v="OK"/>
    <s v="OK"/>
    <s v="OK"/>
    <s v="OK"/>
    <n v="7.1428571428571425E-2"/>
    <n v="0.7857142857142857"/>
    <n v="0.21428571428571427"/>
    <n v="0.7857142857142857"/>
  </r>
  <r>
    <n v="20"/>
    <s v="No"/>
    <s v="Travel_Rarely"/>
    <n v="1141"/>
    <s v="Sales"/>
    <n v="2"/>
    <n v="3"/>
    <s v="Medical"/>
    <n v="1"/>
    <n v="1657"/>
    <n v="3"/>
    <s v="Female"/>
    <n v="31"/>
    <n v="3"/>
    <n v="1"/>
    <x v="6"/>
    <n v="3"/>
    <s v="Single"/>
    <n v="2783"/>
    <n v="13251"/>
    <n v="1"/>
    <s v="Y"/>
    <s v="No"/>
    <n v="19"/>
    <n v="3"/>
    <n v="1"/>
    <n v="80"/>
    <n v="0"/>
    <n v="2"/>
    <n v="3"/>
    <n v="3"/>
    <n v="2"/>
    <n v="2"/>
    <x v="3"/>
    <n v="2"/>
    <s v="OK"/>
    <s v="OK"/>
    <s v="OK"/>
    <s v="OK"/>
    <n v="1"/>
    <n v="1"/>
    <n v="1.5"/>
    <n v="1"/>
  </r>
  <r>
    <n v="34"/>
    <s v="No"/>
    <s v="Travel_Rarely"/>
    <n v="1130"/>
    <s v="Research &amp; Development"/>
    <n v="3"/>
    <n v="3"/>
    <s v="Life Sciences"/>
    <n v="1"/>
    <n v="1658"/>
    <n v="4"/>
    <s v="Female"/>
    <n v="66"/>
    <n v="3"/>
    <n v="2"/>
    <x v="1"/>
    <n v="2"/>
    <s v="Divorced"/>
    <n v="5433"/>
    <n v="19332"/>
    <n v="1"/>
    <s v="Y"/>
    <s v="No"/>
    <n v="12"/>
    <n v="3"/>
    <n v="3"/>
    <n v="80"/>
    <n v="1"/>
    <n v="11"/>
    <n v="2"/>
    <n v="3"/>
    <n v="11"/>
    <n v="8"/>
    <x v="4"/>
    <n v="9"/>
    <s v="OK"/>
    <s v="OK"/>
    <s v="OK"/>
    <s v="OK"/>
    <n v="0.63636363636363635"/>
    <n v="0.72727272727272729"/>
    <n v="0.18181818181818182"/>
    <n v="0.81818181818181823"/>
  </r>
  <r>
    <n v="36"/>
    <s v="No"/>
    <s v="Travel_Rarely"/>
    <n v="311"/>
    <s v="Research &amp; Development"/>
    <n v="7"/>
    <n v="3"/>
    <s v="Life Sciences"/>
    <n v="1"/>
    <n v="1659"/>
    <n v="1"/>
    <s v="Male"/>
    <n v="77"/>
    <n v="3"/>
    <n v="1"/>
    <x v="2"/>
    <n v="2"/>
    <s v="Single"/>
    <n v="2013"/>
    <n v="10950"/>
    <n v="2"/>
    <s v="Y"/>
    <s v="No"/>
    <n v="11"/>
    <n v="3"/>
    <n v="3"/>
    <n v="80"/>
    <n v="0"/>
    <n v="15"/>
    <n v="4"/>
    <n v="3"/>
    <n v="4"/>
    <n v="3"/>
    <x v="1"/>
    <n v="3"/>
    <s v="OK"/>
    <s v="OK"/>
    <s v="OK"/>
    <s v="OK"/>
    <n v="0.25"/>
    <n v="0.75"/>
    <n v="1"/>
    <n v="0.75"/>
  </r>
  <r>
    <n v="49"/>
    <s v="No"/>
    <s v="Travel_Rarely"/>
    <n v="465"/>
    <s v="Research &amp; Development"/>
    <n v="6"/>
    <n v="1"/>
    <s v="Life Sciences"/>
    <n v="1"/>
    <n v="1661"/>
    <n v="3"/>
    <s v="Female"/>
    <n v="41"/>
    <n v="2"/>
    <n v="4"/>
    <x v="4"/>
    <n v="3"/>
    <s v="Married"/>
    <n v="13966"/>
    <n v="11652"/>
    <n v="2"/>
    <s v="Y"/>
    <s v="Yes"/>
    <n v="19"/>
    <n v="3"/>
    <n v="2"/>
    <n v="80"/>
    <n v="1"/>
    <n v="30"/>
    <n v="3"/>
    <n v="3"/>
    <n v="15"/>
    <n v="11"/>
    <x v="3"/>
    <n v="12"/>
    <s v="OK"/>
    <s v="OK"/>
    <s v="OK"/>
    <s v="OK"/>
    <n v="0.13333333333333333"/>
    <n v="0.73333333333333328"/>
    <n v="0.2"/>
    <n v="0.8"/>
  </r>
  <r>
    <n v="36"/>
    <s v="No"/>
    <s v="Non-Travel"/>
    <n v="894"/>
    <s v="Research &amp; Development"/>
    <n v="1"/>
    <n v="4"/>
    <s v="Medical"/>
    <n v="1"/>
    <n v="1662"/>
    <n v="4"/>
    <s v="Female"/>
    <n v="33"/>
    <n v="2"/>
    <n v="2"/>
    <x v="3"/>
    <n v="3"/>
    <s v="Married"/>
    <n v="4374"/>
    <n v="15411"/>
    <n v="0"/>
    <s v="Y"/>
    <s v="No"/>
    <n v="15"/>
    <n v="3"/>
    <n v="3"/>
    <n v="80"/>
    <n v="0"/>
    <n v="4"/>
    <n v="6"/>
    <n v="3"/>
    <n v="3"/>
    <n v="2"/>
    <x v="1"/>
    <n v="2"/>
    <s v="OK"/>
    <s v="OK"/>
    <s v="OK"/>
    <s v="OK"/>
    <n v="0.33333333333333331"/>
    <n v="0.66666666666666663"/>
    <n v="2"/>
    <n v="0.66666666666666663"/>
  </r>
  <r>
    <n v="36"/>
    <s v="No"/>
    <s v="Travel_Rarely"/>
    <n v="1040"/>
    <s v="Research &amp; Development"/>
    <n v="3"/>
    <n v="2"/>
    <s v="Life Sciences"/>
    <n v="1"/>
    <n v="1664"/>
    <n v="4"/>
    <s v="Male"/>
    <n v="79"/>
    <n v="4"/>
    <n v="2"/>
    <x v="4"/>
    <n v="1"/>
    <s v="Divorced"/>
    <n v="6842"/>
    <n v="26308"/>
    <n v="6"/>
    <s v="Y"/>
    <s v="No"/>
    <n v="20"/>
    <n v="4"/>
    <n v="1"/>
    <n v="80"/>
    <n v="1"/>
    <n v="13"/>
    <n v="3"/>
    <n v="3"/>
    <n v="5"/>
    <n v="4"/>
    <x v="0"/>
    <n v="4"/>
    <s v="OK"/>
    <s v="OK"/>
    <s v="OK"/>
    <s v="OK"/>
    <n v="0"/>
    <n v="0.8"/>
    <n v="0.6"/>
    <n v="0.8"/>
  </r>
  <r>
    <n v="54"/>
    <s v="No"/>
    <s v="Travel_Rarely"/>
    <n v="584"/>
    <s v="Research &amp; Development"/>
    <n v="22"/>
    <n v="5"/>
    <s v="Medical"/>
    <n v="1"/>
    <n v="1665"/>
    <n v="2"/>
    <s v="Female"/>
    <n v="91"/>
    <n v="3"/>
    <n v="4"/>
    <x v="5"/>
    <n v="3"/>
    <s v="Married"/>
    <n v="17426"/>
    <n v="18685"/>
    <n v="3"/>
    <s v="Y"/>
    <s v="No"/>
    <n v="25"/>
    <n v="4"/>
    <n v="3"/>
    <n v="80"/>
    <n v="1"/>
    <n v="36"/>
    <n v="6"/>
    <n v="3"/>
    <n v="10"/>
    <n v="8"/>
    <x v="5"/>
    <n v="7"/>
    <s v="OK"/>
    <s v="OK"/>
    <s v="OK"/>
    <s v="OK"/>
    <n v="0.4"/>
    <n v="0.8"/>
    <n v="0.6"/>
    <n v="0.7"/>
  </r>
  <r>
    <n v="43"/>
    <s v="No"/>
    <s v="Travel_Rarely"/>
    <n v="1291"/>
    <s v="Research &amp; Development"/>
    <n v="15"/>
    <n v="2"/>
    <s v="Life Sciences"/>
    <n v="1"/>
    <n v="1666"/>
    <n v="3"/>
    <s v="Male"/>
    <n v="65"/>
    <n v="2"/>
    <n v="4"/>
    <x v="7"/>
    <n v="3"/>
    <s v="Married"/>
    <n v="17603"/>
    <n v="3525"/>
    <n v="1"/>
    <s v="Y"/>
    <s v="No"/>
    <n v="24"/>
    <n v="4"/>
    <n v="1"/>
    <n v="80"/>
    <n v="1"/>
    <n v="14"/>
    <n v="3"/>
    <n v="3"/>
    <n v="14"/>
    <n v="10"/>
    <x v="7"/>
    <n v="11"/>
    <s v="OK"/>
    <s v="OK"/>
    <s v="OK"/>
    <s v="OK"/>
    <n v="0.42857142857142855"/>
    <n v="0.7142857142857143"/>
    <n v="0.21428571428571427"/>
    <n v="0.7857142857142857"/>
  </r>
  <r>
    <n v="35"/>
    <s v="Yes"/>
    <s v="Travel_Frequently"/>
    <n v="880"/>
    <s v="Sales"/>
    <n v="12"/>
    <n v="4"/>
    <s v="Other"/>
    <n v="1"/>
    <n v="1667"/>
    <n v="4"/>
    <s v="Male"/>
    <n v="36"/>
    <n v="3"/>
    <n v="2"/>
    <x v="0"/>
    <n v="4"/>
    <s v="Single"/>
    <n v="4581"/>
    <n v="10414"/>
    <n v="3"/>
    <s v="Y"/>
    <s v="Yes"/>
    <n v="24"/>
    <n v="4"/>
    <n v="1"/>
    <n v="80"/>
    <n v="0"/>
    <n v="13"/>
    <n v="2"/>
    <n v="4"/>
    <n v="11"/>
    <n v="9"/>
    <x v="7"/>
    <n v="7"/>
    <s v="OK"/>
    <s v="OK"/>
    <s v="OK"/>
    <s v="OK"/>
    <n v="0.54545454545454541"/>
    <n v="0.81818181818181823"/>
    <n v="0.18181818181818182"/>
    <n v="0.63636363636363635"/>
  </r>
  <r>
    <n v="38"/>
    <s v="No"/>
    <s v="Travel_Frequently"/>
    <n v="1189"/>
    <s v="Research &amp; Development"/>
    <n v="1"/>
    <n v="3"/>
    <s v="Life Sciences"/>
    <n v="1"/>
    <n v="1668"/>
    <n v="4"/>
    <s v="Male"/>
    <n v="90"/>
    <n v="3"/>
    <n v="2"/>
    <x v="1"/>
    <n v="4"/>
    <s v="Married"/>
    <n v="4735"/>
    <n v="9867"/>
    <n v="7"/>
    <s v="Y"/>
    <s v="No"/>
    <n v="15"/>
    <n v="3"/>
    <n v="4"/>
    <n v="80"/>
    <n v="2"/>
    <n v="19"/>
    <n v="4"/>
    <n v="4"/>
    <n v="13"/>
    <n v="11"/>
    <x v="3"/>
    <n v="9"/>
    <s v="OK"/>
    <s v="OK"/>
    <s v="OK"/>
    <s v="OK"/>
    <n v="0.15384615384615385"/>
    <n v="0.84615384615384615"/>
    <n v="0.30769230769230771"/>
    <n v="0.69230769230769229"/>
  </r>
  <r>
    <n v="29"/>
    <s v="No"/>
    <s v="Travel_Rarely"/>
    <n v="991"/>
    <s v="Sales"/>
    <n v="5"/>
    <n v="3"/>
    <s v="Medical"/>
    <n v="1"/>
    <n v="1669"/>
    <n v="1"/>
    <s v="Male"/>
    <n v="43"/>
    <n v="2"/>
    <n v="2"/>
    <x v="0"/>
    <n v="2"/>
    <s v="Divorced"/>
    <n v="4187"/>
    <n v="3356"/>
    <n v="1"/>
    <s v="Y"/>
    <s v="Yes"/>
    <n v="13"/>
    <n v="3"/>
    <n v="2"/>
    <n v="80"/>
    <n v="1"/>
    <n v="10"/>
    <n v="3"/>
    <n v="2"/>
    <n v="10"/>
    <n v="0"/>
    <x v="0"/>
    <n v="9"/>
    <s v="OK"/>
    <s v="OK"/>
    <s v="OK"/>
    <s v="OK"/>
    <n v="0"/>
    <n v="0"/>
    <n v="0.3"/>
    <n v="0.9"/>
  </r>
  <r>
    <n v="33"/>
    <s v="No"/>
    <s v="Travel_Rarely"/>
    <n v="392"/>
    <s v="Sales"/>
    <n v="2"/>
    <n v="4"/>
    <s v="Medical"/>
    <n v="1"/>
    <n v="1670"/>
    <n v="4"/>
    <s v="Male"/>
    <n v="93"/>
    <n v="3"/>
    <n v="2"/>
    <x v="0"/>
    <n v="4"/>
    <s v="Divorced"/>
    <n v="5505"/>
    <n v="3921"/>
    <n v="1"/>
    <s v="Y"/>
    <s v="No"/>
    <n v="14"/>
    <n v="3"/>
    <n v="3"/>
    <n v="80"/>
    <n v="2"/>
    <n v="6"/>
    <n v="5"/>
    <n v="3"/>
    <n v="6"/>
    <n v="2"/>
    <x v="0"/>
    <n v="4"/>
    <s v="OK"/>
    <s v="OK"/>
    <s v="OK"/>
    <s v="OK"/>
    <n v="0"/>
    <n v="0.33333333333333331"/>
    <n v="0.83333333333333337"/>
    <n v="0.66666666666666663"/>
  </r>
  <r>
    <n v="32"/>
    <s v="No"/>
    <s v="Travel_Rarely"/>
    <n v="977"/>
    <s v="Research &amp; Development"/>
    <n v="2"/>
    <n v="3"/>
    <s v="Medical"/>
    <n v="1"/>
    <n v="1671"/>
    <n v="4"/>
    <s v="Male"/>
    <n v="45"/>
    <n v="3"/>
    <n v="2"/>
    <x v="1"/>
    <n v="2"/>
    <s v="Divorced"/>
    <n v="5470"/>
    <n v="25518"/>
    <n v="0"/>
    <s v="Y"/>
    <s v="No"/>
    <n v="13"/>
    <n v="3"/>
    <n v="3"/>
    <n v="80"/>
    <n v="2"/>
    <n v="10"/>
    <n v="4"/>
    <n v="2"/>
    <n v="9"/>
    <n v="5"/>
    <x v="1"/>
    <n v="6"/>
    <s v="OK"/>
    <s v="OK"/>
    <s v="OK"/>
    <s v="OK"/>
    <n v="0.1111111111111111"/>
    <n v="0.55555555555555558"/>
    <n v="0.44444444444444442"/>
    <n v="0.66666666666666663"/>
  </r>
  <r>
    <n v="31"/>
    <s v="No"/>
    <s v="Travel_Rarely"/>
    <n v="1112"/>
    <s v="Sales"/>
    <n v="5"/>
    <n v="4"/>
    <s v="Life Sciences"/>
    <n v="1"/>
    <n v="1673"/>
    <n v="1"/>
    <s v="Female"/>
    <n v="67"/>
    <n v="3"/>
    <n v="2"/>
    <x v="0"/>
    <n v="4"/>
    <s v="Married"/>
    <n v="5476"/>
    <n v="22589"/>
    <n v="1"/>
    <s v="Y"/>
    <s v="No"/>
    <n v="11"/>
    <n v="3"/>
    <n v="1"/>
    <n v="80"/>
    <n v="2"/>
    <n v="10"/>
    <n v="2"/>
    <n v="3"/>
    <n v="10"/>
    <n v="0"/>
    <x v="0"/>
    <n v="2"/>
    <s v="OK"/>
    <s v="OK"/>
    <s v="OK"/>
    <s v="OK"/>
    <n v="0"/>
    <n v="0"/>
    <n v="0.2"/>
    <n v="0.2"/>
  </r>
  <r>
    <n v="49"/>
    <s v="No"/>
    <s v="Travel_Rarely"/>
    <n v="464"/>
    <s v="Research &amp; Development"/>
    <n v="16"/>
    <n v="3"/>
    <s v="Medical"/>
    <n v="1"/>
    <n v="1674"/>
    <n v="4"/>
    <s v="Female"/>
    <n v="74"/>
    <n v="3"/>
    <n v="1"/>
    <x v="2"/>
    <n v="1"/>
    <s v="Divorced"/>
    <n v="2587"/>
    <n v="24941"/>
    <n v="4"/>
    <s v="Y"/>
    <s v="Yes"/>
    <n v="16"/>
    <n v="3"/>
    <n v="2"/>
    <n v="80"/>
    <n v="1"/>
    <n v="17"/>
    <n v="2"/>
    <n v="2"/>
    <n v="2"/>
    <n v="2"/>
    <x v="3"/>
    <n v="2"/>
    <s v="OK"/>
    <s v="OK"/>
    <s v="OK"/>
    <s v="OK"/>
    <n v="1"/>
    <n v="1"/>
    <n v="1"/>
    <n v="1"/>
  </r>
  <r>
    <n v="38"/>
    <s v="No"/>
    <s v="Travel_Frequently"/>
    <n v="148"/>
    <s v="Research &amp; Development"/>
    <n v="2"/>
    <n v="3"/>
    <s v="Medical"/>
    <n v="1"/>
    <n v="1675"/>
    <n v="4"/>
    <s v="Female"/>
    <n v="42"/>
    <n v="2"/>
    <n v="1"/>
    <x v="2"/>
    <n v="2"/>
    <s v="Single"/>
    <n v="2440"/>
    <n v="23826"/>
    <n v="1"/>
    <s v="Y"/>
    <s v="No"/>
    <n v="22"/>
    <n v="4"/>
    <n v="2"/>
    <n v="80"/>
    <n v="0"/>
    <n v="4"/>
    <n v="3"/>
    <n v="3"/>
    <n v="4"/>
    <n v="3"/>
    <x v="2"/>
    <n v="3"/>
    <s v="OK"/>
    <s v="OK"/>
    <s v="OK"/>
    <s v="OK"/>
    <n v="0.75"/>
    <n v="0.75"/>
    <n v="0.75"/>
    <n v="0.75"/>
  </r>
  <r>
    <n v="47"/>
    <s v="No"/>
    <s v="Travel_Rarely"/>
    <n v="1225"/>
    <s v="Sales"/>
    <n v="2"/>
    <n v="4"/>
    <s v="Life Sciences"/>
    <n v="1"/>
    <n v="1676"/>
    <n v="2"/>
    <s v="Female"/>
    <n v="47"/>
    <n v="4"/>
    <n v="4"/>
    <x v="5"/>
    <n v="2"/>
    <s v="Divorced"/>
    <n v="15972"/>
    <n v="21086"/>
    <n v="6"/>
    <s v="Y"/>
    <s v="No"/>
    <n v="14"/>
    <n v="3"/>
    <n v="3"/>
    <n v="80"/>
    <n v="3"/>
    <n v="29"/>
    <n v="2"/>
    <n v="3"/>
    <n v="3"/>
    <n v="2"/>
    <x v="1"/>
    <n v="2"/>
    <s v="OK"/>
    <s v="OK"/>
    <s v="OK"/>
    <s v="OK"/>
    <n v="0.33333333333333331"/>
    <n v="0.66666666666666663"/>
    <n v="0.66666666666666663"/>
    <n v="0.66666666666666663"/>
  </r>
  <r>
    <n v="49"/>
    <s v="No"/>
    <s v="Travel_Rarely"/>
    <n v="809"/>
    <s v="Research &amp; Development"/>
    <n v="1"/>
    <n v="3"/>
    <s v="Life Sciences"/>
    <n v="1"/>
    <n v="1677"/>
    <n v="3"/>
    <s v="Male"/>
    <n v="36"/>
    <n v="3"/>
    <n v="4"/>
    <x v="5"/>
    <n v="3"/>
    <s v="Single"/>
    <n v="15379"/>
    <n v="22384"/>
    <n v="4"/>
    <s v="Y"/>
    <s v="No"/>
    <n v="14"/>
    <n v="3"/>
    <n v="1"/>
    <n v="80"/>
    <n v="0"/>
    <n v="23"/>
    <n v="2"/>
    <n v="3"/>
    <n v="8"/>
    <n v="7"/>
    <x v="0"/>
    <n v="0"/>
    <s v="OK"/>
    <s v="OK"/>
    <s v="OK"/>
    <s v="OK"/>
    <n v="0"/>
    <n v="0.875"/>
    <n v="0.25"/>
    <n v="0"/>
  </r>
  <r>
    <n v="41"/>
    <s v="No"/>
    <s v="Travel_Rarely"/>
    <n v="1206"/>
    <s v="Sales"/>
    <n v="23"/>
    <n v="2"/>
    <s v="Life Sciences"/>
    <n v="1"/>
    <n v="1678"/>
    <n v="4"/>
    <s v="Male"/>
    <n v="80"/>
    <n v="3"/>
    <n v="3"/>
    <x v="0"/>
    <n v="3"/>
    <s v="Single"/>
    <n v="7082"/>
    <n v="11591"/>
    <n v="3"/>
    <s v="Y"/>
    <s v="Yes"/>
    <n v="16"/>
    <n v="3"/>
    <n v="4"/>
    <n v="80"/>
    <n v="0"/>
    <n v="21"/>
    <n v="2"/>
    <n v="3"/>
    <n v="2"/>
    <n v="0"/>
    <x v="0"/>
    <n v="2"/>
    <s v="OK"/>
    <s v="OK"/>
    <s v="OK"/>
    <s v="OK"/>
    <n v="0"/>
    <n v="0"/>
    <n v="1"/>
    <n v="1"/>
  </r>
  <r>
    <n v="20"/>
    <s v="No"/>
    <s v="Travel_Rarely"/>
    <n v="727"/>
    <s v="Sales"/>
    <n v="9"/>
    <n v="1"/>
    <s v="Life Sciences"/>
    <n v="1"/>
    <n v="1680"/>
    <n v="4"/>
    <s v="Male"/>
    <n v="54"/>
    <n v="3"/>
    <n v="1"/>
    <x v="6"/>
    <n v="1"/>
    <s v="Single"/>
    <n v="2728"/>
    <n v="21082"/>
    <n v="1"/>
    <s v="Y"/>
    <s v="No"/>
    <n v="11"/>
    <n v="3"/>
    <n v="1"/>
    <n v="80"/>
    <n v="0"/>
    <n v="2"/>
    <n v="3"/>
    <n v="3"/>
    <n v="2"/>
    <n v="2"/>
    <x v="0"/>
    <n v="2"/>
    <s v="OK"/>
    <s v="OK"/>
    <s v="OK"/>
    <s v="OK"/>
    <n v="0"/>
    <n v="1"/>
    <n v="1.5"/>
    <n v="1"/>
  </r>
  <r>
    <n v="33"/>
    <s v="No"/>
    <s v="Non-Travel"/>
    <n v="530"/>
    <s v="Sales"/>
    <n v="16"/>
    <n v="3"/>
    <s v="Life Sciences"/>
    <n v="1"/>
    <n v="1681"/>
    <n v="3"/>
    <s v="Female"/>
    <n v="36"/>
    <n v="3"/>
    <n v="2"/>
    <x v="0"/>
    <n v="4"/>
    <s v="Divorced"/>
    <n v="5368"/>
    <n v="16130"/>
    <n v="1"/>
    <s v="Y"/>
    <s v="Yes"/>
    <n v="25"/>
    <n v="4"/>
    <n v="3"/>
    <n v="80"/>
    <n v="1"/>
    <n v="7"/>
    <n v="2"/>
    <n v="3"/>
    <n v="6"/>
    <n v="5"/>
    <x v="1"/>
    <n v="2"/>
    <s v="OK"/>
    <s v="OK"/>
    <s v="OK"/>
    <s v="OK"/>
    <n v="0.16666666666666666"/>
    <n v="0.83333333333333337"/>
    <n v="0.33333333333333331"/>
    <n v="0.33333333333333331"/>
  </r>
  <r>
    <n v="36"/>
    <s v="No"/>
    <s v="Travel_Rarely"/>
    <n v="1351"/>
    <s v="Research &amp; Development"/>
    <n v="26"/>
    <n v="4"/>
    <s v="Life Sciences"/>
    <n v="1"/>
    <n v="1682"/>
    <n v="1"/>
    <s v="Male"/>
    <n v="80"/>
    <n v="3"/>
    <n v="2"/>
    <x v="4"/>
    <n v="3"/>
    <s v="Married"/>
    <n v="5347"/>
    <n v="7419"/>
    <n v="6"/>
    <s v="Y"/>
    <s v="No"/>
    <n v="14"/>
    <n v="3"/>
    <n v="2"/>
    <n v="80"/>
    <n v="2"/>
    <n v="10"/>
    <n v="2"/>
    <n v="2"/>
    <n v="3"/>
    <n v="2"/>
    <x v="0"/>
    <n v="2"/>
    <s v="OK"/>
    <s v="OK"/>
    <s v="OK"/>
    <s v="OK"/>
    <n v="0"/>
    <n v="0.66666666666666663"/>
    <n v="0.66666666666666663"/>
    <n v="0.66666666666666663"/>
  </r>
  <r>
    <n v="44"/>
    <s v="No"/>
    <s v="Travel_Rarely"/>
    <n v="528"/>
    <s v="Human Resources"/>
    <n v="1"/>
    <n v="3"/>
    <s v="Life Sciences"/>
    <n v="1"/>
    <n v="1683"/>
    <n v="3"/>
    <s v="Female"/>
    <n v="44"/>
    <n v="3"/>
    <n v="1"/>
    <x v="8"/>
    <n v="4"/>
    <s v="Divorced"/>
    <n v="3195"/>
    <n v="4167"/>
    <n v="4"/>
    <s v="Y"/>
    <s v="Yes"/>
    <n v="18"/>
    <n v="3"/>
    <n v="1"/>
    <n v="80"/>
    <n v="3"/>
    <n v="8"/>
    <n v="2"/>
    <n v="3"/>
    <n v="2"/>
    <n v="2"/>
    <x v="3"/>
    <n v="2"/>
    <s v="OK"/>
    <s v="OK"/>
    <s v="OK"/>
    <s v="OK"/>
    <n v="1"/>
    <n v="1"/>
    <n v="1"/>
    <n v="1"/>
  </r>
  <r>
    <n v="23"/>
    <s v="Yes"/>
    <s v="Travel_Rarely"/>
    <n v="1320"/>
    <s v="Research &amp; Development"/>
    <n v="8"/>
    <n v="1"/>
    <s v="Medical"/>
    <n v="1"/>
    <n v="1684"/>
    <n v="4"/>
    <s v="Male"/>
    <n v="93"/>
    <n v="2"/>
    <n v="1"/>
    <x v="2"/>
    <n v="3"/>
    <s v="Single"/>
    <n v="3989"/>
    <n v="20586"/>
    <n v="1"/>
    <s v="Y"/>
    <s v="Yes"/>
    <n v="11"/>
    <n v="3"/>
    <n v="1"/>
    <n v="80"/>
    <n v="0"/>
    <n v="5"/>
    <n v="2"/>
    <n v="3"/>
    <n v="5"/>
    <n v="4"/>
    <x v="1"/>
    <n v="2"/>
    <s v="OK"/>
    <s v="OK"/>
    <s v="OK"/>
    <s v="OK"/>
    <n v="0.2"/>
    <n v="0.8"/>
    <n v="0.4"/>
    <n v="0.4"/>
  </r>
  <r>
    <n v="38"/>
    <s v="No"/>
    <s v="Travel_Rarely"/>
    <n v="1495"/>
    <s v="Research &amp; Development"/>
    <n v="4"/>
    <n v="2"/>
    <s v="Medical"/>
    <n v="1"/>
    <n v="1687"/>
    <n v="4"/>
    <s v="Female"/>
    <n v="87"/>
    <n v="3"/>
    <n v="1"/>
    <x v="2"/>
    <n v="3"/>
    <s v="Married"/>
    <n v="3306"/>
    <n v="26176"/>
    <n v="7"/>
    <s v="Y"/>
    <s v="No"/>
    <n v="19"/>
    <n v="3"/>
    <n v="4"/>
    <n v="80"/>
    <n v="1"/>
    <n v="7"/>
    <n v="5"/>
    <n v="2"/>
    <n v="0"/>
    <n v="0"/>
    <x v="0"/>
    <n v="0"/>
    <s v="OK"/>
    <s v="OK"/>
    <s v="OK"/>
    <s v="OK"/>
    <n v="0"/>
    <n v="0"/>
    <n v="0"/>
    <n v="0"/>
  </r>
  <r>
    <n v="53"/>
    <s v="No"/>
    <s v="Travel_Rarely"/>
    <n v="1395"/>
    <s v="Research &amp; Development"/>
    <n v="24"/>
    <n v="4"/>
    <s v="Medical"/>
    <n v="1"/>
    <n v="1689"/>
    <n v="2"/>
    <s v="Male"/>
    <n v="48"/>
    <n v="4"/>
    <n v="3"/>
    <x v="4"/>
    <n v="4"/>
    <s v="Married"/>
    <n v="7005"/>
    <n v="3458"/>
    <n v="3"/>
    <s v="Y"/>
    <s v="No"/>
    <n v="15"/>
    <n v="3"/>
    <n v="3"/>
    <n v="80"/>
    <n v="0"/>
    <n v="11"/>
    <n v="2"/>
    <n v="3"/>
    <n v="4"/>
    <n v="3"/>
    <x v="1"/>
    <n v="2"/>
    <s v="OK"/>
    <s v="OK"/>
    <s v="OK"/>
    <s v="OK"/>
    <n v="0.25"/>
    <n v="0.75"/>
    <n v="0.5"/>
    <n v="0.5"/>
  </r>
  <r>
    <n v="48"/>
    <s v="Yes"/>
    <s v="Travel_Frequently"/>
    <n v="708"/>
    <s v="Sales"/>
    <n v="7"/>
    <n v="2"/>
    <s v="Medical"/>
    <n v="1"/>
    <n v="1691"/>
    <n v="4"/>
    <s v="Female"/>
    <n v="95"/>
    <n v="3"/>
    <n v="1"/>
    <x v="6"/>
    <n v="3"/>
    <s v="Married"/>
    <n v="2655"/>
    <n v="11740"/>
    <n v="2"/>
    <s v="Y"/>
    <s v="Yes"/>
    <n v="11"/>
    <n v="3"/>
    <n v="3"/>
    <n v="80"/>
    <n v="2"/>
    <n v="19"/>
    <n v="3"/>
    <n v="3"/>
    <n v="9"/>
    <n v="7"/>
    <x v="4"/>
    <n v="7"/>
    <s v="OK"/>
    <s v="OK"/>
    <s v="OK"/>
    <s v="OK"/>
    <n v="0.77777777777777779"/>
    <n v="0.77777777777777779"/>
    <n v="0.33333333333333331"/>
    <n v="0.77777777777777779"/>
  </r>
  <r>
    <n v="32"/>
    <s v="Yes"/>
    <s v="Travel_Rarely"/>
    <n v="1259"/>
    <s v="Research &amp; Development"/>
    <n v="2"/>
    <n v="4"/>
    <s v="Life Sciences"/>
    <n v="1"/>
    <n v="1692"/>
    <n v="4"/>
    <s v="Male"/>
    <n v="95"/>
    <n v="3"/>
    <n v="1"/>
    <x v="2"/>
    <n v="2"/>
    <s v="Single"/>
    <n v="1393"/>
    <n v="24852"/>
    <n v="1"/>
    <s v="Y"/>
    <s v="No"/>
    <n v="12"/>
    <n v="3"/>
    <n v="1"/>
    <n v="80"/>
    <n v="0"/>
    <n v="1"/>
    <n v="2"/>
    <n v="3"/>
    <n v="1"/>
    <n v="0"/>
    <x v="0"/>
    <n v="0"/>
    <s v="OK"/>
    <s v="OK"/>
    <s v="OK"/>
    <s v="OK"/>
    <n v="0"/>
    <n v="0"/>
    <n v="2"/>
    <n v="0"/>
  </r>
  <r>
    <n v="26"/>
    <s v="No"/>
    <s v="Non-Travel"/>
    <n v="786"/>
    <s v="Research &amp; Development"/>
    <n v="7"/>
    <n v="3"/>
    <s v="Medical"/>
    <n v="1"/>
    <n v="1693"/>
    <n v="4"/>
    <s v="Male"/>
    <n v="76"/>
    <n v="3"/>
    <n v="1"/>
    <x v="2"/>
    <n v="4"/>
    <s v="Single"/>
    <n v="2570"/>
    <n v="11925"/>
    <n v="1"/>
    <s v="Y"/>
    <s v="No"/>
    <n v="20"/>
    <n v="4"/>
    <n v="3"/>
    <n v="80"/>
    <n v="0"/>
    <n v="7"/>
    <n v="5"/>
    <n v="3"/>
    <n v="7"/>
    <n v="7"/>
    <x v="8"/>
    <n v="7"/>
    <s v="OK"/>
    <s v="OK"/>
    <s v="OK"/>
    <s v="OK"/>
    <n v="0.7142857142857143"/>
    <n v="1"/>
    <n v="0.7142857142857143"/>
    <n v="1"/>
  </r>
  <r>
    <n v="55"/>
    <s v="No"/>
    <s v="Travel_Rarely"/>
    <n v="1441"/>
    <s v="Research &amp; Development"/>
    <n v="22"/>
    <n v="3"/>
    <s v="Technical Degree"/>
    <n v="1"/>
    <n v="1694"/>
    <n v="1"/>
    <s v="Male"/>
    <n v="94"/>
    <n v="2"/>
    <n v="1"/>
    <x v="1"/>
    <n v="2"/>
    <s v="Divorced"/>
    <n v="3537"/>
    <n v="23737"/>
    <n v="5"/>
    <s v="Y"/>
    <s v="No"/>
    <n v="12"/>
    <n v="3"/>
    <n v="4"/>
    <n v="80"/>
    <n v="1"/>
    <n v="8"/>
    <n v="1"/>
    <n v="3"/>
    <n v="4"/>
    <n v="2"/>
    <x v="1"/>
    <n v="2"/>
    <s v="OK"/>
    <s v="OK"/>
    <s v="OK"/>
    <s v="OK"/>
    <n v="0.25"/>
    <n v="0.5"/>
    <n v="0.25"/>
    <n v="0.5"/>
  </r>
  <r>
    <n v="34"/>
    <s v="No"/>
    <s v="Travel_Rarely"/>
    <n v="1157"/>
    <s v="Research &amp; Development"/>
    <n v="5"/>
    <n v="2"/>
    <s v="Medical"/>
    <n v="1"/>
    <n v="1696"/>
    <n v="2"/>
    <s v="Male"/>
    <n v="57"/>
    <n v="2"/>
    <n v="2"/>
    <x v="2"/>
    <n v="4"/>
    <s v="Married"/>
    <n v="3986"/>
    <n v="11912"/>
    <n v="1"/>
    <s v="Y"/>
    <s v="No"/>
    <n v="14"/>
    <n v="3"/>
    <n v="3"/>
    <n v="80"/>
    <n v="1"/>
    <n v="15"/>
    <n v="3"/>
    <n v="4"/>
    <n v="15"/>
    <n v="10"/>
    <x v="5"/>
    <n v="13"/>
    <s v="OK"/>
    <s v="OK"/>
    <s v="OK"/>
    <s v="OK"/>
    <n v="0.26666666666666666"/>
    <n v="0.66666666666666663"/>
    <n v="0.2"/>
    <n v="0.8666666666666667"/>
  </r>
  <r>
    <n v="60"/>
    <s v="No"/>
    <s v="Travel_Rarely"/>
    <n v="370"/>
    <s v="Research &amp; Development"/>
    <n v="1"/>
    <n v="4"/>
    <s v="Medical"/>
    <n v="1"/>
    <n v="1697"/>
    <n v="3"/>
    <s v="Male"/>
    <n v="92"/>
    <n v="1"/>
    <n v="3"/>
    <x v="4"/>
    <n v="4"/>
    <s v="Divorced"/>
    <n v="10883"/>
    <n v="20467"/>
    <n v="3"/>
    <s v="Y"/>
    <s v="No"/>
    <n v="20"/>
    <n v="4"/>
    <n v="3"/>
    <n v="80"/>
    <n v="1"/>
    <n v="19"/>
    <n v="2"/>
    <n v="4"/>
    <n v="1"/>
    <n v="0"/>
    <x v="0"/>
    <n v="0"/>
    <s v="OK"/>
    <s v="OK"/>
    <s v="OK"/>
    <s v="OK"/>
    <n v="0"/>
    <n v="0"/>
    <n v="2"/>
    <n v="0"/>
  </r>
  <r>
    <n v="33"/>
    <s v="No"/>
    <s v="Travel_Rarely"/>
    <n v="267"/>
    <s v="Research &amp; Development"/>
    <n v="21"/>
    <n v="3"/>
    <s v="Medical"/>
    <n v="1"/>
    <n v="1698"/>
    <n v="2"/>
    <s v="Male"/>
    <n v="79"/>
    <n v="4"/>
    <n v="1"/>
    <x v="2"/>
    <n v="2"/>
    <s v="Married"/>
    <n v="2028"/>
    <n v="13637"/>
    <n v="1"/>
    <s v="Y"/>
    <s v="No"/>
    <n v="18"/>
    <n v="3"/>
    <n v="4"/>
    <n v="80"/>
    <n v="3"/>
    <n v="14"/>
    <n v="6"/>
    <n v="3"/>
    <n v="14"/>
    <n v="11"/>
    <x v="3"/>
    <n v="13"/>
    <s v="OK"/>
    <s v="OK"/>
    <s v="OK"/>
    <s v="OK"/>
    <n v="0.14285714285714285"/>
    <n v="0.7857142857142857"/>
    <n v="0.42857142857142855"/>
    <n v="0.9285714285714286"/>
  </r>
  <r>
    <n v="37"/>
    <s v="No"/>
    <s v="Travel_Frequently"/>
    <n v="1278"/>
    <s v="Sales"/>
    <n v="1"/>
    <n v="4"/>
    <s v="Medical"/>
    <n v="1"/>
    <n v="1700"/>
    <n v="3"/>
    <s v="Male"/>
    <n v="31"/>
    <n v="1"/>
    <n v="2"/>
    <x v="0"/>
    <n v="4"/>
    <s v="Divorced"/>
    <n v="9525"/>
    <n v="7677"/>
    <n v="1"/>
    <s v="Y"/>
    <s v="No"/>
    <n v="14"/>
    <n v="3"/>
    <n v="3"/>
    <n v="80"/>
    <n v="2"/>
    <n v="6"/>
    <n v="2"/>
    <n v="2"/>
    <n v="6"/>
    <n v="3"/>
    <x v="1"/>
    <n v="3"/>
    <s v="OK"/>
    <s v="OK"/>
    <s v="OK"/>
    <s v="OK"/>
    <n v="0.16666666666666666"/>
    <n v="0.5"/>
    <n v="0.33333333333333331"/>
    <n v="0.5"/>
  </r>
  <r>
    <n v="34"/>
    <s v="No"/>
    <s v="Travel_Rarely"/>
    <n v="678"/>
    <s v="Research &amp; Development"/>
    <n v="19"/>
    <n v="3"/>
    <s v="Life Sciences"/>
    <n v="1"/>
    <n v="1701"/>
    <n v="2"/>
    <s v="Female"/>
    <n v="35"/>
    <n v="2"/>
    <n v="1"/>
    <x v="1"/>
    <n v="4"/>
    <s v="Married"/>
    <n v="2929"/>
    <n v="20338"/>
    <n v="1"/>
    <s v="Y"/>
    <s v="No"/>
    <n v="12"/>
    <n v="3"/>
    <n v="2"/>
    <n v="80"/>
    <n v="0"/>
    <n v="10"/>
    <n v="3"/>
    <n v="3"/>
    <n v="10"/>
    <n v="9"/>
    <x v="6"/>
    <n v="7"/>
    <s v="OK"/>
    <s v="OK"/>
    <s v="OK"/>
    <s v="OK"/>
    <n v="0.8"/>
    <n v="0.9"/>
    <n v="0.3"/>
    <n v="0.7"/>
  </r>
  <r>
    <n v="23"/>
    <s v="Yes"/>
    <s v="Travel_Rarely"/>
    <n v="427"/>
    <s v="Sales"/>
    <n v="7"/>
    <n v="3"/>
    <s v="Life Sciences"/>
    <n v="1"/>
    <n v="1702"/>
    <n v="3"/>
    <s v="Male"/>
    <n v="99"/>
    <n v="3"/>
    <n v="1"/>
    <x v="6"/>
    <n v="4"/>
    <s v="Divorced"/>
    <n v="2275"/>
    <n v="25103"/>
    <n v="1"/>
    <s v="Y"/>
    <s v="Yes"/>
    <n v="21"/>
    <n v="4"/>
    <n v="2"/>
    <n v="80"/>
    <n v="1"/>
    <n v="3"/>
    <n v="2"/>
    <n v="3"/>
    <n v="3"/>
    <n v="2"/>
    <x v="0"/>
    <n v="2"/>
    <s v="OK"/>
    <s v="OK"/>
    <s v="OK"/>
    <s v="OK"/>
    <n v="0"/>
    <n v="0.66666666666666663"/>
    <n v="0.66666666666666663"/>
    <n v="0.66666666666666663"/>
  </r>
  <r>
    <n v="44"/>
    <s v="No"/>
    <s v="Travel_Rarely"/>
    <n v="921"/>
    <s v="Research &amp; Development"/>
    <n v="2"/>
    <n v="3"/>
    <s v="Life Sciences"/>
    <n v="1"/>
    <n v="1703"/>
    <n v="3"/>
    <s v="Female"/>
    <n v="96"/>
    <n v="4"/>
    <n v="3"/>
    <x v="4"/>
    <n v="4"/>
    <s v="Married"/>
    <n v="7879"/>
    <n v="14810"/>
    <n v="1"/>
    <s v="Y"/>
    <s v="Yes"/>
    <n v="19"/>
    <n v="3"/>
    <n v="2"/>
    <n v="80"/>
    <n v="1"/>
    <n v="9"/>
    <n v="2"/>
    <n v="3"/>
    <n v="8"/>
    <n v="7"/>
    <x v="7"/>
    <n v="7"/>
    <s v="OK"/>
    <s v="OK"/>
    <s v="OK"/>
    <s v="OK"/>
    <n v="0.75"/>
    <n v="0.875"/>
    <n v="0.25"/>
    <n v="0.875"/>
  </r>
  <r>
    <n v="35"/>
    <s v="No"/>
    <s v="Travel_Frequently"/>
    <n v="146"/>
    <s v="Research &amp; Development"/>
    <n v="2"/>
    <n v="4"/>
    <s v="Medical"/>
    <n v="1"/>
    <n v="1704"/>
    <n v="1"/>
    <s v="Male"/>
    <n v="79"/>
    <n v="2"/>
    <n v="1"/>
    <x v="1"/>
    <n v="4"/>
    <s v="Single"/>
    <n v="4930"/>
    <n v="13970"/>
    <n v="0"/>
    <s v="Y"/>
    <s v="Yes"/>
    <n v="14"/>
    <n v="3"/>
    <n v="3"/>
    <n v="80"/>
    <n v="0"/>
    <n v="6"/>
    <n v="2"/>
    <n v="4"/>
    <n v="5"/>
    <n v="4"/>
    <x v="1"/>
    <n v="4"/>
    <s v="OK"/>
    <s v="OK"/>
    <s v="OK"/>
    <s v="OK"/>
    <n v="0.2"/>
    <n v="0.8"/>
    <n v="0.4"/>
    <n v="0.8"/>
  </r>
  <r>
    <n v="43"/>
    <s v="No"/>
    <s v="Travel_Rarely"/>
    <n v="1179"/>
    <s v="Sales"/>
    <n v="2"/>
    <n v="3"/>
    <s v="Medical"/>
    <n v="1"/>
    <n v="1706"/>
    <n v="4"/>
    <s v="Male"/>
    <n v="73"/>
    <n v="3"/>
    <n v="2"/>
    <x v="0"/>
    <n v="4"/>
    <s v="Married"/>
    <n v="7847"/>
    <n v="6069"/>
    <n v="1"/>
    <s v="Y"/>
    <s v="Yes"/>
    <n v="17"/>
    <n v="3"/>
    <n v="1"/>
    <n v="80"/>
    <n v="1"/>
    <n v="10"/>
    <n v="3"/>
    <n v="3"/>
    <n v="10"/>
    <n v="9"/>
    <x v="6"/>
    <n v="8"/>
    <s v="OK"/>
    <s v="OK"/>
    <s v="OK"/>
    <s v="OK"/>
    <n v="0.8"/>
    <n v="0.9"/>
    <n v="0.3"/>
    <n v="0.8"/>
  </r>
  <r>
    <n v="24"/>
    <s v="No"/>
    <s v="Travel_Rarely"/>
    <n v="581"/>
    <s v="Research &amp; Development"/>
    <n v="9"/>
    <n v="3"/>
    <s v="Medical"/>
    <n v="1"/>
    <n v="1707"/>
    <n v="3"/>
    <s v="Male"/>
    <n v="62"/>
    <n v="4"/>
    <n v="1"/>
    <x v="1"/>
    <n v="3"/>
    <s v="Married"/>
    <n v="4401"/>
    <n v="17616"/>
    <n v="1"/>
    <s v="Y"/>
    <s v="No"/>
    <n v="16"/>
    <n v="3"/>
    <n v="4"/>
    <n v="80"/>
    <n v="1"/>
    <n v="5"/>
    <n v="1"/>
    <n v="3"/>
    <n v="5"/>
    <n v="3"/>
    <x v="0"/>
    <n v="4"/>
    <s v="OK"/>
    <s v="OK"/>
    <s v="OK"/>
    <s v="OK"/>
    <n v="0"/>
    <n v="0.6"/>
    <n v="0.2"/>
    <n v="0.8"/>
  </r>
  <r>
    <n v="41"/>
    <s v="No"/>
    <s v="Travel_Rarely"/>
    <n v="918"/>
    <s v="Sales"/>
    <n v="6"/>
    <n v="3"/>
    <s v="Marketing"/>
    <n v="1"/>
    <n v="1708"/>
    <n v="4"/>
    <s v="Male"/>
    <n v="35"/>
    <n v="3"/>
    <n v="3"/>
    <x v="0"/>
    <n v="3"/>
    <s v="Single"/>
    <n v="9241"/>
    <n v="15869"/>
    <n v="1"/>
    <s v="Y"/>
    <s v="No"/>
    <n v="12"/>
    <n v="3"/>
    <n v="2"/>
    <n v="80"/>
    <n v="0"/>
    <n v="10"/>
    <n v="3"/>
    <n v="3"/>
    <n v="10"/>
    <n v="8"/>
    <x v="6"/>
    <n v="7"/>
    <s v="OK"/>
    <s v="OK"/>
    <s v="OK"/>
    <s v="OK"/>
    <n v="0.8"/>
    <n v="0.8"/>
    <n v="0.3"/>
    <n v="0.7"/>
  </r>
  <r>
    <n v="29"/>
    <s v="No"/>
    <s v="Travel_Rarely"/>
    <n v="1082"/>
    <s v="Research &amp; Development"/>
    <n v="9"/>
    <n v="4"/>
    <s v="Medical"/>
    <n v="1"/>
    <n v="1709"/>
    <n v="4"/>
    <s v="Female"/>
    <n v="43"/>
    <n v="3"/>
    <n v="1"/>
    <x v="2"/>
    <n v="3"/>
    <s v="Married"/>
    <n v="2974"/>
    <n v="25412"/>
    <n v="9"/>
    <s v="Y"/>
    <s v="No"/>
    <n v="17"/>
    <n v="3"/>
    <n v="3"/>
    <n v="80"/>
    <n v="1"/>
    <n v="9"/>
    <n v="2"/>
    <n v="3"/>
    <n v="5"/>
    <n v="3"/>
    <x v="1"/>
    <n v="2"/>
    <s v="OK"/>
    <s v="OK"/>
    <s v="OK"/>
    <s v="OK"/>
    <n v="0.2"/>
    <n v="0.6"/>
    <n v="0.4"/>
    <n v="0.4"/>
  </r>
  <r>
    <n v="36"/>
    <s v="No"/>
    <s v="Travel_Rarely"/>
    <n v="530"/>
    <s v="Sales"/>
    <n v="2"/>
    <n v="4"/>
    <s v="Life Sciences"/>
    <n v="1"/>
    <n v="1710"/>
    <n v="3"/>
    <s v="Female"/>
    <n v="51"/>
    <n v="3"/>
    <n v="2"/>
    <x v="6"/>
    <n v="4"/>
    <s v="Single"/>
    <n v="4502"/>
    <n v="7439"/>
    <n v="3"/>
    <s v="Y"/>
    <s v="No"/>
    <n v="15"/>
    <n v="3"/>
    <n v="3"/>
    <n v="80"/>
    <n v="0"/>
    <n v="17"/>
    <n v="2"/>
    <n v="2"/>
    <n v="13"/>
    <n v="7"/>
    <x v="7"/>
    <n v="7"/>
    <s v="OK"/>
    <s v="OK"/>
    <s v="OK"/>
    <s v="OK"/>
    <n v="0.46153846153846156"/>
    <n v="0.53846153846153844"/>
    <n v="0.15384615384615385"/>
    <n v="0.53846153846153844"/>
  </r>
  <r>
    <n v="45"/>
    <s v="No"/>
    <s v="Non-Travel"/>
    <n v="1238"/>
    <s v="Research &amp; Development"/>
    <n v="1"/>
    <n v="1"/>
    <s v="Life Sciences"/>
    <n v="1"/>
    <n v="1712"/>
    <n v="3"/>
    <s v="Male"/>
    <n v="74"/>
    <n v="2"/>
    <n v="3"/>
    <x v="4"/>
    <n v="3"/>
    <s v="Married"/>
    <n v="10748"/>
    <n v="3395"/>
    <n v="3"/>
    <s v="Y"/>
    <s v="No"/>
    <n v="23"/>
    <n v="4"/>
    <n v="4"/>
    <n v="80"/>
    <n v="1"/>
    <n v="25"/>
    <n v="3"/>
    <n v="2"/>
    <n v="23"/>
    <n v="15"/>
    <x v="15"/>
    <n v="4"/>
    <s v="OK"/>
    <s v="OK"/>
    <s v="OK"/>
    <s v="OK"/>
    <n v="0.60869565217391308"/>
    <n v="0.65217391304347827"/>
    <n v="0.13043478260869565"/>
    <n v="0.17391304347826086"/>
  </r>
  <r>
    <n v="24"/>
    <s v="Yes"/>
    <s v="Travel_Rarely"/>
    <n v="240"/>
    <s v="Human Resources"/>
    <n v="22"/>
    <n v="1"/>
    <s v="Human Resources"/>
    <n v="1"/>
    <n v="1714"/>
    <n v="4"/>
    <s v="Male"/>
    <n v="58"/>
    <n v="1"/>
    <n v="1"/>
    <x v="8"/>
    <n v="3"/>
    <s v="Married"/>
    <n v="1555"/>
    <n v="11585"/>
    <n v="1"/>
    <s v="Y"/>
    <s v="No"/>
    <n v="11"/>
    <n v="3"/>
    <n v="3"/>
    <n v="80"/>
    <n v="1"/>
    <n v="1"/>
    <n v="2"/>
    <n v="3"/>
    <n v="1"/>
    <n v="0"/>
    <x v="0"/>
    <n v="0"/>
    <s v="OK"/>
    <s v="OK"/>
    <s v="OK"/>
    <s v="OK"/>
    <n v="0"/>
    <n v="0"/>
    <n v="2"/>
    <n v="0"/>
  </r>
  <r>
    <n v="47"/>
    <s v="Yes"/>
    <s v="Travel_Frequently"/>
    <n v="1093"/>
    <s v="Sales"/>
    <n v="9"/>
    <n v="3"/>
    <s v="Life Sciences"/>
    <n v="1"/>
    <n v="1716"/>
    <n v="3"/>
    <s v="Male"/>
    <n v="82"/>
    <n v="1"/>
    <n v="4"/>
    <x v="0"/>
    <n v="3"/>
    <s v="Married"/>
    <n v="12936"/>
    <n v="24164"/>
    <n v="7"/>
    <s v="Y"/>
    <s v="No"/>
    <n v="11"/>
    <n v="3"/>
    <n v="3"/>
    <n v="80"/>
    <n v="0"/>
    <n v="25"/>
    <n v="3"/>
    <n v="1"/>
    <n v="23"/>
    <n v="5"/>
    <x v="15"/>
    <n v="10"/>
    <s v="OK"/>
    <s v="OK"/>
    <s v="OK"/>
    <s v="OK"/>
    <n v="0.60869565217391308"/>
    <n v="0.21739130434782608"/>
    <n v="0.13043478260869565"/>
    <n v="0.43478260869565216"/>
  </r>
  <r>
    <n v="26"/>
    <s v="No"/>
    <s v="Travel_Rarely"/>
    <n v="390"/>
    <s v="Research &amp; Development"/>
    <n v="17"/>
    <n v="4"/>
    <s v="Medical"/>
    <n v="1"/>
    <n v="1718"/>
    <n v="4"/>
    <s v="Male"/>
    <n v="62"/>
    <n v="1"/>
    <n v="1"/>
    <x v="2"/>
    <n v="3"/>
    <s v="Married"/>
    <n v="2305"/>
    <n v="6217"/>
    <n v="1"/>
    <s v="Y"/>
    <s v="No"/>
    <n v="15"/>
    <n v="3"/>
    <n v="3"/>
    <n v="80"/>
    <n v="3"/>
    <n v="3"/>
    <n v="3"/>
    <n v="4"/>
    <n v="3"/>
    <n v="2"/>
    <x v="0"/>
    <n v="2"/>
    <s v="OK"/>
    <s v="OK"/>
    <s v="OK"/>
    <s v="OK"/>
    <n v="0"/>
    <n v="0.66666666666666663"/>
    <n v="1"/>
    <n v="0.66666666666666663"/>
  </r>
  <r>
    <n v="45"/>
    <s v="No"/>
    <s v="Travel_Rarely"/>
    <n v="1005"/>
    <s v="Research &amp; Development"/>
    <n v="28"/>
    <n v="2"/>
    <s v="Technical Degree"/>
    <n v="1"/>
    <n v="1719"/>
    <n v="4"/>
    <s v="Female"/>
    <n v="48"/>
    <n v="2"/>
    <n v="4"/>
    <x v="7"/>
    <n v="2"/>
    <s v="Single"/>
    <n v="16704"/>
    <n v="17119"/>
    <n v="1"/>
    <s v="Y"/>
    <s v="No"/>
    <n v="11"/>
    <n v="3"/>
    <n v="3"/>
    <n v="80"/>
    <n v="0"/>
    <n v="21"/>
    <n v="2"/>
    <n v="3"/>
    <n v="21"/>
    <n v="6"/>
    <x v="6"/>
    <n v="6"/>
    <s v="OK"/>
    <s v="OK"/>
    <s v="OK"/>
    <s v="OK"/>
    <n v="0.38095238095238093"/>
    <n v="0.2857142857142857"/>
    <n v="9.5238095238095233E-2"/>
    <n v="0.2857142857142857"/>
  </r>
  <r>
    <n v="32"/>
    <s v="No"/>
    <s v="Travel_Frequently"/>
    <n v="585"/>
    <s v="Research &amp; Development"/>
    <n v="10"/>
    <n v="3"/>
    <s v="Life Sciences"/>
    <n v="1"/>
    <n v="1720"/>
    <n v="1"/>
    <s v="Male"/>
    <n v="56"/>
    <n v="3"/>
    <n v="1"/>
    <x v="1"/>
    <n v="3"/>
    <s v="Married"/>
    <n v="3433"/>
    <n v="17360"/>
    <n v="6"/>
    <s v="Y"/>
    <s v="No"/>
    <n v="13"/>
    <n v="3"/>
    <n v="1"/>
    <n v="80"/>
    <n v="1"/>
    <n v="10"/>
    <n v="3"/>
    <n v="2"/>
    <n v="5"/>
    <n v="2"/>
    <x v="1"/>
    <n v="3"/>
    <s v="OK"/>
    <s v="OK"/>
    <s v="OK"/>
    <s v="OK"/>
    <n v="0.2"/>
    <n v="0.4"/>
    <n v="0.6"/>
    <n v="0.6"/>
  </r>
  <r>
    <n v="31"/>
    <s v="No"/>
    <s v="Travel_Rarely"/>
    <n v="741"/>
    <s v="Research &amp; Development"/>
    <n v="2"/>
    <n v="4"/>
    <s v="Life Sciences"/>
    <n v="1"/>
    <n v="1721"/>
    <n v="2"/>
    <s v="Male"/>
    <n v="69"/>
    <n v="3"/>
    <n v="1"/>
    <x v="2"/>
    <n v="3"/>
    <s v="Married"/>
    <n v="3477"/>
    <n v="18103"/>
    <n v="1"/>
    <s v="Y"/>
    <s v="No"/>
    <n v="14"/>
    <n v="3"/>
    <n v="4"/>
    <n v="80"/>
    <n v="1"/>
    <n v="6"/>
    <n v="2"/>
    <n v="4"/>
    <n v="5"/>
    <n v="2"/>
    <x v="0"/>
    <n v="3"/>
    <s v="OK"/>
    <s v="OK"/>
    <s v="OK"/>
    <s v="OK"/>
    <n v="0"/>
    <n v="0.4"/>
    <n v="0.4"/>
    <n v="0.6"/>
  </r>
  <r>
    <n v="41"/>
    <s v="No"/>
    <s v="Non-Travel"/>
    <n v="552"/>
    <s v="Human Resources"/>
    <n v="4"/>
    <n v="3"/>
    <s v="Human Resources"/>
    <n v="1"/>
    <n v="1722"/>
    <n v="3"/>
    <s v="Male"/>
    <n v="60"/>
    <n v="1"/>
    <n v="2"/>
    <x v="8"/>
    <n v="2"/>
    <s v="Married"/>
    <n v="6430"/>
    <n v="20794"/>
    <n v="6"/>
    <s v="Y"/>
    <s v="No"/>
    <n v="19"/>
    <n v="3"/>
    <n v="2"/>
    <n v="80"/>
    <n v="1"/>
    <n v="10"/>
    <n v="4"/>
    <n v="3"/>
    <n v="3"/>
    <n v="2"/>
    <x v="1"/>
    <n v="2"/>
    <s v="OK"/>
    <s v="OK"/>
    <s v="OK"/>
    <s v="OK"/>
    <n v="0.33333333333333331"/>
    <n v="0.66666666666666663"/>
    <n v="1.3333333333333333"/>
    <n v="0.66666666666666663"/>
  </r>
  <r>
    <n v="40"/>
    <s v="No"/>
    <s v="Travel_Rarely"/>
    <n v="369"/>
    <s v="Research &amp; Development"/>
    <n v="8"/>
    <n v="2"/>
    <s v="Life Sciences"/>
    <n v="1"/>
    <n v="1724"/>
    <n v="2"/>
    <s v="Female"/>
    <n v="92"/>
    <n v="3"/>
    <n v="2"/>
    <x v="3"/>
    <n v="1"/>
    <s v="Married"/>
    <n v="6516"/>
    <n v="5041"/>
    <n v="2"/>
    <s v="Y"/>
    <s v="Yes"/>
    <n v="16"/>
    <n v="3"/>
    <n v="2"/>
    <n v="80"/>
    <n v="1"/>
    <n v="18"/>
    <n v="3"/>
    <n v="3"/>
    <n v="1"/>
    <n v="0"/>
    <x v="0"/>
    <n v="0"/>
    <s v="OK"/>
    <s v="OK"/>
    <s v="OK"/>
    <s v="OK"/>
    <n v="0"/>
    <n v="0"/>
    <n v="3"/>
    <n v="0"/>
  </r>
  <r>
    <n v="24"/>
    <s v="No"/>
    <s v="Travel_Rarely"/>
    <n v="506"/>
    <s v="Research &amp; Development"/>
    <n v="29"/>
    <n v="1"/>
    <s v="Medical"/>
    <n v="1"/>
    <n v="1725"/>
    <n v="2"/>
    <s v="Male"/>
    <n v="91"/>
    <n v="3"/>
    <n v="1"/>
    <x v="2"/>
    <n v="1"/>
    <s v="Divorced"/>
    <n v="3907"/>
    <n v="3622"/>
    <n v="1"/>
    <s v="Y"/>
    <s v="No"/>
    <n v="13"/>
    <n v="3"/>
    <n v="2"/>
    <n v="80"/>
    <n v="3"/>
    <n v="6"/>
    <n v="2"/>
    <n v="4"/>
    <n v="6"/>
    <n v="2"/>
    <x v="1"/>
    <n v="2"/>
    <s v="OK"/>
    <s v="OK"/>
    <s v="OK"/>
    <s v="OK"/>
    <n v="0.16666666666666666"/>
    <n v="0.33333333333333331"/>
    <n v="0.33333333333333331"/>
    <n v="0.33333333333333331"/>
  </r>
  <r>
    <n v="46"/>
    <s v="No"/>
    <s v="Travel_Rarely"/>
    <n v="717"/>
    <s v="Research &amp; Development"/>
    <n v="13"/>
    <n v="4"/>
    <s v="Life Sciences"/>
    <n v="1"/>
    <n v="1727"/>
    <n v="3"/>
    <s v="Male"/>
    <n v="34"/>
    <n v="3"/>
    <n v="2"/>
    <x v="4"/>
    <n v="2"/>
    <s v="Single"/>
    <n v="5562"/>
    <n v="9697"/>
    <n v="6"/>
    <s v="Y"/>
    <s v="No"/>
    <n v="14"/>
    <n v="3"/>
    <n v="4"/>
    <n v="80"/>
    <n v="0"/>
    <n v="19"/>
    <n v="3"/>
    <n v="3"/>
    <n v="10"/>
    <n v="7"/>
    <x v="0"/>
    <n v="9"/>
    <s v="OK"/>
    <s v="OK"/>
    <s v="OK"/>
    <s v="OK"/>
    <n v="0"/>
    <n v="0.7"/>
    <n v="0.3"/>
    <n v="0.9"/>
  </r>
  <r>
    <n v="35"/>
    <s v="No"/>
    <s v="Travel_Rarely"/>
    <n v="1370"/>
    <s v="Research &amp; Development"/>
    <n v="27"/>
    <n v="4"/>
    <s v="Life Sciences"/>
    <n v="1"/>
    <n v="1728"/>
    <n v="4"/>
    <s v="Male"/>
    <n v="49"/>
    <n v="3"/>
    <n v="2"/>
    <x v="3"/>
    <n v="3"/>
    <s v="Married"/>
    <n v="6883"/>
    <n v="5151"/>
    <n v="2"/>
    <s v="Y"/>
    <s v="No"/>
    <n v="16"/>
    <n v="3"/>
    <n v="2"/>
    <n v="80"/>
    <n v="1"/>
    <n v="17"/>
    <n v="3"/>
    <n v="3"/>
    <n v="7"/>
    <n v="7"/>
    <x v="0"/>
    <n v="7"/>
    <s v="OK"/>
    <s v="OK"/>
    <s v="OK"/>
    <s v="OK"/>
    <n v="0"/>
    <n v="1"/>
    <n v="0.42857142857142855"/>
    <n v="1"/>
  </r>
  <r>
    <n v="30"/>
    <s v="No"/>
    <s v="Travel_Rarely"/>
    <n v="793"/>
    <s v="Research &amp; Development"/>
    <n v="16"/>
    <n v="1"/>
    <s v="Life Sciences"/>
    <n v="1"/>
    <n v="1729"/>
    <n v="2"/>
    <s v="Male"/>
    <n v="33"/>
    <n v="3"/>
    <n v="1"/>
    <x v="1"/>
    <n v="4"/>
    <s v="Married"/>
    <n v="2862"/>
    <n v="3811"/>
    <n v="1"/>
    <s v="Y"/>
    <s v="No"/>
    <n v="12"/>
    <n v="3"/>
    <n v="2"/>
    <n v="80"/>
    <n v="1"/>
    <n v="10"/>
    <n v="2"/>
    <n v="2"/>
    <n v="10"/>
    <n v="0"/>
    <x v="0"/>
    <n v="8"/>
    <s v="OK"/>
    <s v="OK"/>
    <s v="OK"/>
    <s v="OK"/>
    <n v="0"/>
    <n v="0"/>
    <n v="0.2"/>
    <n v="0.8"/>
  </r>
  <r>
    <n v="47"/>
    <s v="No"/>
    <s v="Non-Travel"/>
    <n v="543"/>
    <s v="Sales"/>
    <n v="2"/>
    <n v="4"/>
    <s v="Marketing"/>
    <n v="1"/>
    <n v="1731"/>
    <n v="3"/>
    <s v="Male"/>
    <n v="87"/>
    <n v="3"/>
    <n v="2"/>
    <x v="0"/>
    <n v="2"/>
    <s v="Married"/>
    <n v="4978"/>
    <n v="3536"/>
    <n v="7"/>
    <s v="Y"/>
    <s v="No"/>
    <n v="11"/>
    <n v="3"/>
    <n v="4"/>
    <n v="80"/>
    <n v="1"/>
    <n v="4"/>
    <n v="3"/>
    <n v="1"/>
    <n v="1"/>
    <n v="0"/>
    <x v="0"/>
    <n v="0"/>
    <s v="OK"/>
    <s v="OK"/>
    <s v="OK"/>
    <s v="OK"/>
    <n v="0"/>
    <n v="0"/>
    <n v="3"/>
    <n v="0"/>
  </r>
  <r>
    <n v="46"/>
    <s v="No"/>
    <s v="Travel_Rarely"/>
    <n v="1277"/>
    <s v="Sales"/>
    <n v="2"/>
    <n v="3"/>
    <s v="Life Sciences"/>
    <n v="1"/>
    <n v="1732"/>
    <n v="3"/>
    <s v="Male"/>
    <n v="74"/>
    <n v="3"/>
    <n v="3"/>
    <x v="0"/>
    <n v="4"/>
    <s v="Divorced"/>
    <n v="10368"/>
    <n v="5596"/>
    <n v="4"/>
    <s v="Y"/>
    <s v="Yes"/>
    <n v="12"/>
    <n v="3"/>
    <n v="2"/>
    <n v="80"/>
    <n v="1"/>
    <n v="13"/>
    <n v="5"/>
    <n v="2"/>
    <n v="10"/>
    <n v="6"/>
    <x v="0"/>
    <n v="3"/>
    <s v="OK"/>
    <s v="OK"/>
    <s v="OK"/>
    <s v="OK"/>
    <n v="0"/>
    <n v="0.6"/>
    <n v="0.5"/>
    <n v="0.3"/>
  </r>
  <r>
    <n v="36"/>
    <s v="Yes"/>
    <s v="Travel_Rarely"/>
    <n v="1456"/>
    <s v="Sales"/>
    <n v="13"/>
    <n v="5"/>
    <s v="Marketing"/>
    <n v="1"/>
    <n v="1733"/>
    <n v="2"/>
    <s v="Male"/>
    <n v="96"/>
    <n v="2"/>
    <n v="2"/>
    <x v="0"/>
    <n v="1"/>
    <s v="Divorced"/>
    <n v="6134"/>
    <n v="8658"/>
    <n v="5"/>
    <s v="Y"/>
    <s v="Yes"/>
    <n v="13"/>
    <n v="3"/>
    <n v="2"/>
    <n v="80"/>
    <n v="3"/>
    <n v="16"/>
    <n v="3"/>
    <n v="3"/>
    <n v="2"/>
    <n v="2"/>
    <x v="3"/>
    <n v="2"/>
    <s v="OK"/>
    <s v="OK"/>
    <s v="OK"/>
    <s v="OK"/>
    <n v="1"/>
    <n v="1"/>
    <n v="1.5"/>
    <n v="1"/>
  </r>
  <r>
    <n v="32"/>
    <s v="Yes"/>
    <s v="Travel_Rarely"/>
    <n v="964"/>
    <s v="Sales"/>
    <n v="1"/>
    <n v="2"/>
    <s v="Life Sciences"/>
    <n v="1"/>
    <n v="1734"/>
    <n v="1"/>
    <s v="Male"/>
    <n v="34"/>
    <n v="1"/>
    <n v="2"/>
    <x v="0"/>
    <n v="2"/>
    <s v="Single"/>
    <n v="6735"/>
    <n v="12147"/>
    <n v="6"/>
    <s v="Y"/>
    <s v="No"/>
    <n v="15"/>
    <n v="3"/>
    <n v="2"/>
    <n v="80"/>
    <n v="0"/>
    <n v="10"/>
    <n v="2"/>
    <n v="3"/>
    <n v="0"/>
    <n v="0"/>
    <x v="0"/>
    <n v="0"/>
    <s v="OK"/>
    <s v="OK"/>
    <s v="OK"/>
    <s v="OK"/>
    <n v="0"/>
    <n v="0"/>
    <n v="0"/>
    <n v="0"/>
  </r>
  <r>
    <n v="23"/>
    <s v="No"/>
    <s v="Travel_Rarely"/>
    <n v="160"/>
    <s v="Research &amp; Development"/>
    <n v="4"/>
    <n v="1"/>
    <s v="Medical"/>
    <n v="1"/>
    <n v="1735"/>
    <n v="3"/>
    <s v="Female"/>
    <n v="51"/>
    <n v="3"/>
    <n v="1"/>
    <x v="2"/>
    <n v="2"/>
    <s v="Single"/>
    <n v="3295"/>
    <n v="12862"/>
    <n v="1"/>
    <s v="Y"/>
    <s v="No"/>
    <n v="13"/>
    <n v="3"/>
    <n v="3"/>
    <n v="80"/>
    <n v="0"/>
    <n v="3"/>
    <n v="3"/>
    <n v="1"/>
    <n v="3"/>
    <n v="2"/>
    <x v="1"/>
    <n v="2"/>
    <s v="OK"/>
    <s v="OK"/>
    <s v="OK"/>
    <s v="OK"/>
    <n v="0.33333333333333331"/>
    <n v="0.66666666666666663"/>
    <n v="1"/>
    <n v="0.66666666666666663"/>
  </r>
  <r>
    <n v="31"/>
    <s v="No"/>
    <s v="Travel_Frequently"/>
    <n v="163"/>
    <s v="Research &amp; Development"/>
    <n v="24"/>
    <n v="1"/>
    <s v="Technical Degree"/>
    <n v="1"/>
    <n v="1736"/>
    <n v="4"/>
    <s v="Female"/>
    <n v="30"/>
    <n v="3"/>
    <n v="2"/>
    <x v="3"/>
    <n v="4"/>
    <s v="Single"/>
    <n v="5238"/>
    <n v="6670"/>
    <n v="2"/>
    <s v="Y"/>
    <s v="No"/>
    <n v="20"/>
    <n v="4"/>
    <n v="4"/>
    <n v="80"/>
    <n v="0"/>
    <n v="9"/>
    <n v="3"/>
    <n v="2"/>
    <n v="5"/>
    <n v="4"/>
    <x v="1"/>
    <n v="4"/>
    <s v="OK"/>
    <s v="OK"/>
    <s v="OK"/>
    <s v="OK"/>
    <n v="0.2"/>
    <n v="0.8"/>
    <n v="0.6"/>
    <n v="0.8"/>
  </r>
  <r>
    <n v="39"/>
    <s v="No"/>
    <s v="Non-Travel"/>
    <n v="792"/>
    <s v="Research &amp; Development"/>
    <n v="1"/>
    <n v="3"/>
    <s v="Life Sciences"/>
    <n v="1"/>
    <n v="1737"/>
    <n v="4"/>
    <s v="Male"/>
    <n v="77"/>
    <n v="3"/>
    <n v="2"/>
    <x v="2"/>
    <n v="4"/>
    <s v="Married"/>
    <n v="6472"/>
    <n v="8989"/>
    <n v="1"/>
    <s v="Y"/>
    <s v="Yes"/>
    <n v="15"/>
    <n v="3"/>
    <n v="4"/>
    <n v="80"/>
    <n v="1"/>
    <n v="9"/>
    <n v="2"/>
    <n v="3"/>
    <n v="9"/>
    <n v="8"/>
    <x v="8"/>
    <n v="8"/>
    <s v="OK"/>
    <s v="OK"/>
    <s v="OK"/>
    <s v="OK"/>
    <n v="0.55555555555555558"/>
    <n v="0.88888888888888884"/>
    <n v="0.22222222222222221"/>
    <n v="0.88888888888888884"/>
  </r>
  <r>
    <n v="32"/>
    <s v="No"/>
    <s v="Travel_Rarely"/>
    <n v="371"/>
    <s v="Sales"/>
    <n v="19"/>
    <n v="3"/>
    <s v="Life Sciences"/>
    <n v="1"/>
    <n v="1739"/>
    <n v="4"/>
    <s v="Male"/>
    <n v="80"/>
    <n v="1"/>
    <n v="3"/>
    <x v="0"/>
    <n v="3"/>
    <s v="Married"/>
    <n v="9610"/>
    <n v="3840"/>
    <n v="3"/>
    <s v="Y"/>
    <s v="No"/>
    <n v="13"/>
    <n v="3"/>
    <n v="3"/>
    <n v="80"/>
    <n v="1"/>
    <n v="10"/>
    <n v="2"/>
    <n v="1"/>
    <n v="4"/>
    <n v="3"/>
    <x v="0"/>
    <n v="2"/>
    <s v="OK"/>
    <s v="OK"/>
    <s v="OK"/>
    <s v="OK"/>
    <n v="0"/>
    <n v="0.75"/>
    <n v="0.5"/>
    <n v="0.5"/>
  </r>
  <r>
    <n v="40"/>
    <s v="No"/>
    <s v="Travel_Rarely"/>
    <n v="611"/>
    <s v="Sales"/>
    <n v="7"/>
    <n v="4"/>
    <s v="Medical"/>
    <n v="1"/>
    <n v="1740"/>
    <n v="2"/>
    <s v="Male"/>
    <n v="88"/>
    <n v="3"/>
    <n v="5"/>
    <x v="5"/>
    <n v="2"/>
    <s v="Single"/>
    <n v="19833"/>
    <n v="4349"/>
    <n v="1"/>
    <s v="Y"/>
    <s v="No"/>
    <n v="14"/>
    <n v="3"/>
    <n v="2"/>
    <n v="80"/>
    <n v="0"/>
    <n v="21"/>
    <n v="3"/>
    <n v="2"/>
    <n v="21"/>
    <n v="8"/>
    <x v="12"/>
    <n v="8"/>
    <s v="OK"/>
    <s v="OK"/>
    <s v="OK"/>
    <s v="OK"/>
    <n v="0.5714285714285714"/>
    <n v="0.38095238095238093"/>
    <n v="0.14285714285714285"/>
    <n v="0.38095238095238093"/>
  </r>
  <r>
    <n v="45"/>
    <s v="No"/>
    <s v="Travel_Rarely"/>
    <n v="176"/>
    <s v="Human Resources"/>
    <n v="4"/>
    <n v="3"/>
    <s v="Life Sciences"/>
    <n v="1"/>
    <n v="1744"/>
    <n v="3"/>
    <s v="Female"/>
    <n v="56"/>
    <n v="1"/>
    <n v="3"/>
    <x v="8"/>
    <n v="3"/>
    <s v="Married"/>
    <n v="9756"/>
    <n v="6595"/>
    <n v="4"/>
    <s v="Y"/>
    <s v="No"/>
    <n v="21"/>
    <n v="4"/>
    <n v="3"/>
    <n v="80"/>
    <n v="2"/>
    <n v="9"/>
    <n v="2"/>
    <n v="4"/>
    <n v="5"/>
    <n v="0"/>
    <x v="0"/>
    <n v="3"/>
    <s v="OK"/>
    <s v="OK"/>
    <s v="OK"/>
    <s v="OK"/>
    <n v="0"/>
    <n v="0"/>
    <n v="0.4"/>
    <n v="0.6"/>
  </r>
  <r>
    <n v="30"/>
    <s v="No"/>
    <s v="Travel_Frequently"/>
    <n v="1312"/>
    <s v="Research &amp; Development"/>
    <n v="2"/>
    <n v="4"/>
    <s v="Technical Degree"/>
    <n v="1"/>
    <n v="1745"/>
    <n v="4"/>
    <s v="Female"/>
    <n v="78"/>
    <n v="2"/>
    <n v="1"/>
    <x v="1"/>
    <n v="1"/>
    <s v="Single"/>
    <n v="4968"/>
    <n v="26427"/>
    <n v="0"/>
    <s v="Y"/>
    <s v="No"/>
    <n v="16"/>
    <n v="3"/>
    <n v="4"/>
    <n v="80"/>
    <n v="0"/>
    <n v="10"/>
    <n v="2"/>
    <n v="3"/>
    <n v="9"/>
    <n v="7"/>
    <x v="0"/>
    <n v="7"/>
    <s v="OK"/>
    <s v="OK"/>
    <s v="OK"/>
    <s v="OK"/>
    <n v="0"/>
    <n v="0.77777777777777779"/>
    <n v="0.22222222222222221"/>
    <n v="0.77777777777777779"/>
  </r>
  <r>
    <n v="24"/>
    <s v="No"/>
    <s v="Travel_Frequently"/>
    <n v="897"/>
    <s v="Human Resources"/>
    <n v="10"/>
    <n v="3"/>
    <s v="Medical"/>
    <n v="1"/>
    <n v="1746"/>
    <n v="1"/>
    <s v="Male"/>
    <n v="59"/>
    <n v="3"/>
    <n v="1"/>
    <x v="8"/>
    <n v="4"/>
    <s v="Married"/>
    <n v="2145"/>
    <n v="2097"/>
    <n v="0"/>
    <s v="Y"/>
    <s v="No"/>
    <n v="14"/>
    <n v="3"/>
    <n v="4"/>
    <n v="80"/>
    <n v="1"/>
    <n v="3"/>
    <n v="2"/>
    <n v="3"/>
    <n v="2"/>
    <n v="2"/>
    <x v="3"/>
    <n v="1"/>
    <s v="OK"/>
    <s v="OK"/>
    <s v="OK"/>
    <s v="OK"/>
    <n v="1"/>
    <n v="1"/>
    <n v="1"/>
    <n v="0.5"/>
  </r>
  <r>
    <n v="30"/>
    <s v="Yes"/>
    <s v="Travel_Frequently"/>
    <n v="600"/>
    <s v="Human Resources"/>
    <n v="8"/>
    <n v="3"/>
    <s v="Human Resources"/>
    <n v="1"/>
    <n v="1747"/>
    <n v="3"/>
    <s v="Female"/>
    <n v="66"/>
    <n v="2"/>
    <n v="1"/>
    <x v="8"/>
    <n v="4"/>
    <s v="Divorced"/>
    <n v="2180"/>
    <n v="9732"/>
    <n v="6"/>
    <s v="Y"/>
    <s v="No"/>
    <n v="11"/>
    <n v="3"/>
    <n v="3"/>
    <n v="80"/>
    <n v="1"/>
    <n v="6"/>
    <n v="0"/>
    <n v="2"/>
    <n v="4"/>
    <n v="2"/>
    <x v="1"/>
    <n v="2"/>
    <s v="OK"/>
    <s v="OK"/>
    <s v="OK"/>
    <s v="OK"/>
    <n v="0.25"/>
    <n v="0.5"/>
    <n v="0"/>
    <n v="0.5"/>
  </r>
  <r>
    <n v="31"/>
    <s v="No"/>
    <s v="Travel_Rarely"/>
    <n v="1003"/>
    <s v="Sales"/>
    <n v="5"/>
    <n v="3"/>
    <s v="Technical Degree"/>
    <n v="1"/>
    <n v="1749"/>
    <n v="1"/>
    <s v="Male"/>
    <n v="51"/>
    <n v="3"/>
    <n v="2"/>
    <x v="0"/>
    <n v="3"/>
    <s v="Married"/>
    <n v="8346"/>
    <n v="20943"/>
    <n v="1"/>
    <s v="Y"/>
    <s v="No"/>
    <n v="19"/>
    <n v="3"/>
    <n v="3"/>
    <n v="80"/>
    <n v="1"/>
    <n v="6"/>
    <n v="3"/>
    <n v="3"/>
    <n v="5"/>
    <n v="2"/>
    <x v="0"/>
    <n v="2"/>
    <s v="OK"/>
    <s v="OK"/>
    <s v="OK"/>
    <s v="OK"/>
    <n v="0"/>
    <n v="0.4"/>
    <n v="0.6"/>
    <n v="0.4"/>
  </r>
  <r>
    <n v="27"/>
    <s v="No"/>
    <s v="Travel_Rarely"/>
    <n v="1054"/>
    <s v="Research &amp; Development"/>
    <n v="8"/>
    <n v="3"/>
    <s v="Medical"/>
    <n v="1"/>
    <n v="1751"/>
    <n v="3"/>
    <s v="Female"/>
    <n v="67"/>
    <n v="3"/>
    <n v="1"/>
    <x v="1"/>
    <n v="4"/>
    <s v="Single"/>
    <n v="3445"/>
    <n v="6152"/>
    <n v="1"/>
    <s v="Y"/>
    <s v="No"/>
    <n v="11"/>
    <n v="3"/>
    <n v="3"/>
    <n v="80"/>
    <n v="0"/>
    <n v="6"/>
    <n v="5"/>
    <n v="2"/>
    <n v="6"/>
    <n v="2"/>
    <x v="1"/>
    <n v="4"/>
    <s v="OK"/>
    <s v="OK"/>
    <s v="OK"/>
    <s v="OK"/>
    <n v="0.16666666666666666"/>
    <n v="0.33333333333333331"/>
    <n v="0.83333333333333337"/>
    <n v="0.66666666666666663"/>
  </r>
  <r>
    <n v="29"/>
    <s v="Yes"/>
    <s v="Travel_Rarely"/>
    <n v="428"/>
    <s v="Sales"/>
    <n v="9"/>
    <n v="3"/>
    <s v="Marketing"/>
    <n v="1"/>
    <n v="1752"/>
    <n v="2"/>
    <s v="Female"/>
    <n v="52"/>
    <n v="1"/>
    <n v="1"/>
    <x v="6"/>
    <n v="2"/>
    <s v="Single"/>
    <n v="2760"/>
    <n v="14630"/>
    <n v="1"/>
    <s v="Y"/>
    <s v="No"/>
    <n v="13"/>
    <n v="3"/>
    <n v="3"/>
    <n v="80"/>
    <n v="0"/>
    <n v="2"/>
    <n v="3"/>
    <n v="3"/>
    <n v="2"/>
    <n v="2"/>
    <x v="3"/>
    <n v="2"/>
    <s v="OK"/>
    <s v="OK"/>
    <s v="OK"/>
    <s v="OK"/>
    <n v="1"/>
    <n v="1"/>
    <n v="1.5"/>
    <n v="1"/>
  </r>
  <r>
    <n v="29"/>
    <s v="No"/>
    <s v="Travel_Frequently"/>
    <n v="461"/>
    <s v="Research &amp; Development"/>
    <n v="1"/>
    <n v="3"/>
    <s v="Life Sciences"/>
    <n v="1"/>
    <n v="1753"/>
    <n v="4"/>
    <s v="Male"/>
    <n v="70"/>
    <n v="4"/>
    <n v="2"/>
    <x v="4"/>
    <n v="3"/>
    <s v="Single"/>
    <n v="6294"/>
    <n v="23060"/>
    <n v="8"/>
    <s v="Y"/>
    <s v="Yes"/>
    <n v="12"/>
    <n v="3"/>
    <n v="4"/>
    <n v="80"/>
    <n v="0"/>
    <n v="10"/>
    <n v="5"/>
    <n v="4"/>
    <n v="3"/>
    <n v="2"/>
    <x v="0"/>
    <n v="2"/>
    <s v="OK"/>
    <s v="OK"/>
    <s v="OK"/>
    <s v="OK"/>
    <n v="0"/>
    <n v="0.66666666666666663"/>
    <n v="1.6666666666666667"/>
    <n v="0.66666666666666663"/>
  </r>
  <r>
    <n v="30"/>
    <s v="No"/>
    <s v="Travel_Rarely"/>
    <n v="979"/>
    <s v="Sales"/>
    <n v="15"/>
    <n v="2"/>
    <s v="Marketing"/>
    <n v="1"/>
    <n v="1754"/>
    <n v="3"/>
    <s v="Male"/>
    <n v="94"/>
    <n v="2"/>
    <n v="3"/>
    <x v="0"/>
    <n v="1"/>
    <s v="Divorced"/>
    <n v="7140"/>
    <n v="3088"/>
    <n v="2"/>
    <s v="Y"/>
    <s v="No"/>
    <n v="11"/>
    <n v="3"/>
    <n v="1"/>
    <n v="80"/>
    <n v="1"/>
    <n v="12"/>
    <n v="2"/>
    <n v="3"/>
    <n v="7"/>
    <n v="7"/>
    <x v="1"/>
    <n v="7"/>
    <s v="OK"/>
    <s v="OK"/>
    <s v="OK"/>
    <s v="OK"/>
    <n v="0.14285714285714285"/>
    <n v="1"/>
    <n v="0.2857142857142857"/>
    <n v="1"/>
  </r>
  <r>
    <n v="34"/>
    <s v="No"/>
    <s v="Travel_Rarely"/>
    <n v="181"/>
    <s v="Research &amp; Development"/>
    <n v="2"/>
    <n v="4"/>
    <s v="Medical"/>
    <n v="1"/>
    <n v="1755"/>
    <n v="4"/>
    <s v="Male"/>
    <n v="97"/>
    <n v="4"/>
    <n v="1"/>
    <x v="1"/>
    <n v="4"/>
    <s v="Married"/>
    <n v="2932"/>
    <n v="5586"/>
    <n v="0"/>
    <s v="Y"/>
    <s v="Yes"/>
    <n v="14"/>
    <n v="3"/>
    <n v="1"/>
    <n v="80"/>
    <n v="3"/>
    <n v="6"/>
    <n v="3"/>
    <n v="3"/>
    <n v="5"/>
    <n v="0"/>
    <x v="1"/>
    <n v="2"/>
    <s v="OK"/>
    <s v="OK"/>
    <s v="OK"/>
    <s v="OK"/>
    <n v="0.2"/>
    <n v="0"/>
    <n v="0.6"/>
    <n v="0.4"/>
  </r>
  <r>
    <n v="33"/>
    <s v="No"/>
    <s v="Non-Travel"/>
    <n v="1283"/>
    <s v="Sales"/>
    <n v="2"/>
    <n v="3"/>
    <s v="Marketing"/>
    <n v="1"/>
    <n v="1756"/>
    <n v="4"/>
    <s v="Female"/>
    <n v="62"/>
    <n v="3"/>
    <n v="2"/>
    <x v="0"/>
    <n v="2"/>
    <s v="Single"/>
    <n v="5147"/>
    <n v="10697"/>
    <n v="8"/>
    <s v="Y"/>
    <s v="No"/>
    <n v="15"/>
    <n v="3"/>
    <n v="4"/>
    <n v="80"/>
    <n v="0"/>
    <n v="13"/>
    <n v="2"/>
    <n v="2"/>
    <n v="11"/>
    <n v="7"/>
    <x v="1"/>
    <n v="7"/>
    <s v="OK"/>
    <s v="OK"/>
    <s v="OK"/>
    <s v="OK"/>
    <n v="9.0909090909090912E-2"/>
    <n v="0.63636363636363635"/>
    <n v="0.18181818181818182"/>
    <n v="0.63636363636363635"/>
  </r>
  <r>
    <n v="49"/>
    <s v="No"/>
    <s v="Travel_Rarely"/>
    <n v="1313"/>
    <s v="Sales"/>
    <n v="11"/>
    <n v="4"/>
    <s v="Marketing"/>
    <n v="1"/>
    <n v="1757"/>
    <n v="4"/>
    <s v="Female"/>
    <n v="80"/>
    <n v="3"/>
    <n v="2"/>
    <x v="0"/>
    <n v="4"/>
    <s v="Single"/>
    <n v="4507"/>
    <n v="8191"/>
    <n v="3"/>
    <s v="Y"/>
    <s v="No"/>
    <n v="12"/>
    <n v="3"/>
    <n v="3"/>
    <n v="80"/>
    <n v="0"/>
    <n v="8"/>
    <n v="1"/>
    <n v="4"/>
    <n v="5"/>
    <n v="1"/>
    <x v="0"/>
    <n v="4"/>
    <s v="OK"/>
    <s v="OK"/>
    <s v="OK"/>
    <s v="OK"/>
    <n v="0"/>
    <n v="0.2"/>
    <n v="0.2"/>
    <n v="0.8"/>
  </r>
  <r>
    <n v="33"/>
    <s v="Yes"/>
    <s v="Travel_Rarely"/>
    <n v="211"/>
    <s v="Sales"/>
    <n v="16"/>
    <n v="3"/>
    <s v="Life Sciences"/>
    <n v="1"/>
    <n v="1758"/>
    <n v="1"/>
    <s v="Female"/>
    <n v="74"/>
    <n v="3"/>
    <n v="3"/>
    <x v="0"/>
    <n v="1"/>
    <s v="Single"/>
    <n v="8564"/>
    <n v="10092"/>
    <n v="2"/>
    <s v="Y"/>
    <s v="Yes"/>
    <n v="20"/>
    <n v="4"/>
    <n v="3"/>
    <n v="80"/>
    <n v="0"/>
    <n v="11"/>
    <n v="2"/>
    <n v="2"/>
    <n v="0"/>
    <n v="0"/>
    <x v="0"/>
    <n v="0"/>
    <s v="OK"/>
    <s v="OK"/>
    <s v="OK"/>
    <s v="OK"/>
    <n v="0"/>
    <n v="0"/>
    <n v="0"/>
    <n v="0"/>
  </r>
  <r>
    <n v="38"/>
    <s v="No"/>
    <s v="Travel_Frequently"/>
    <n v="594"/>
    <s v="Research &amp; Development"/>
    <n v="2"/>
    <n v="2"/>
    <s v="Medical"/>
    <n v="1"/>
    <n v="1760"/>
    <n v="3"/>
    <s v="Female"/>
    <n v="75"/>
    <n v="2"/>
    <n v="1"/>
    <x v="2"/>
    <n v="2"/>
    <s v="Married"/>
    <n v="2468"/>
    <n v="15963"/>
    <n v="4"/>
    <s v="Y"/>
    <s v="No"/>
    <n v="14"/>
    <n v="3"/>
    <n v="2"/>
    <n v="80"/>
    <n v="1"/>
    <n v="9"/>
    <n v="4"/>
    <n v="2"/>
    <n v="6"/>
    <n v="1"/>
    <x v="0"/>
    <n v="5"/>
    <s v="OK"/>
    <s v="OK"/>
    <s v="OK"/>
    <s v="OK"/>
    <n v="0"/>
    <n v="0.16666666666666666"/>
    <n v="0.66666666666666663"/>
    <n v="0.83333333333333337"/>
  </r>
  <r>
    <n v="31"/>
    <s v="Yes"/>
    <s v="Travel_Rarely"/>
    <n v="1079"/>
    <s v="Sales"/>
    <n v="16"/>
    <n v="4"/>
    <s v="Marketing"/>
    <n v="1"/>
    <n v="1761"/>
    <n v="1"/>
    <s v="Male"/>
    <n v="70"/>
    <n v="3"/>
    <n v="3"/>
    <x v="0"/>
    <n v="3"/>
    <s v="Married"/>
    <n v="8161"/>
    <n v="19002"/>
    <n v="2"/>
    <s v="Y"/>
    <s v="No"/>
    <n v="13"/>
    <n v="3"/>
    <n v="1"/>
    <n v="80"/>
    <n v="3"/>
    <n v="10"/>
    <n v="2"/>
    <n v="3"/>
    <n v="1"/>
    <n v="0"/>
    <x v="0"/>
    <n v="0"/>
    <s v="OK"/>
    <s v="OK"/>
    <s v="OK"/>
    <s v="OK"/>
    <n v="0"/>
    <n v="0"/>
    <n v="2"/>
    <n v="0"/>
  </r>
  <r>
    <n v="29"/>
    <s v="No"/>
    <s v="Travel_Rarely"/>
    <n v="590"/>
    <s v="Research &amp; Development"/>
    <n v="4"/>
    <n v="3"/>
    <s v="Technical Degree"/>
    <n v="1"/>
    <n v="1762"/>
    <n v="4"/>
    <s v="Female"/>
    <n v="91"/>
    <n v="2"/>
    <n v="1"/>
    <x v="1"/>
    <n v="1"/>
    <s v="Divorced"/>
    <n v="2109"/>
    <n v="10007"/>
    <n v="1"/>
    <s v="Y"/>
    <s v="No"/>
    <n v="13"/>
    <n v="3"/>
    <n v="3"/>
    <n v="80"/>
    <n v="1"/>
    <n v="1"/>
    <n v="2"/>
    <n v="3"/>
    <n v="1"/>
    <n v="0"/>
    <x v="0"/>
    <n v="0"/>
    <s v="OK"/>
    <s v="OK"/>
    <s v="OK"/>
    <s v="OK"/>
    <n v="0"/>
    <n v="0"/>
    <n v="2"/>
    <n v="0"/>
  </r>
  <r>
    <n v="30"/>
    <s v="No"/>
    <s v="Travel_Rarely"/>
    <n v="305"/>
    <s v="Research &amp; Development"/>
    <n v="16"/>
    <n v="3"/>
    <s v="Life Sciences"/>
    <n v="1"/>
    <n v="1763"/>
    <n v="3"/>
    <s v="Male"/>
    <n v="58"/>
    <n v="4"/>
    <n v="2"/>
    <x v="4"/>
    <n v="3"/>
    <s v="Married"/>
    <n v="5294"/>
    <n v="9128"/>
    <n v="3"/>
    <s v="Y"/>
    <s v="No"/>
    <n v="16"/>
    <n v="3"/>
    <n v="3"/>
    <n v="80"/>
    <n v="1"/>
    <n v="10"/>
    <n v="3"/>
    <n v="3"/>
    <n v="7"/>
    <n v="0"/>
    <x v="1"/>
    <n v="7"/>
    <s v="OK"/>
    <s v="OK"/>
    <s v="OK"/>
    <s v="OK"/>
    <n v="0.14285714285714285"/>
    <n v="0"/>
    <n v="0.42857142857142855"/>
    <n v="1"/>
  </r>
  <r>
    <n v="32"/>
    <s v="No"/>
    <s v="Non-Travel"/>
    <n v="953"/>
    <s v="Research &amp; Development"/>
    <n v="5"/>
    <n v="4"/>
    <s v="Technical Degree"/>
    <n v="1"/>
    <n v="1764"/>
    <n v="2"/>
    <s v="Male"/>
    <n v="65"/>
    <n v="3"/>
    <n v="1"/>
    <x v="1"/>
    <n v="2"/>
    <s v="Single"/>
    <n v="2718"/>
    <n v="17674"/>
    <n v="2"/>
    <s v="Y"/>
    <s v="No"/>
    <n v="14"/>
    <n v="3"/>
    <n v="2"/>
    <n v="80"/>
    <n v="0"/>
    <n v="12"/>
    <n v="3"/>
    <n v="3"/>
    <n v="7"/>
    <n v="7"/>
    <x v="0"/>
    <n v="7"/>
    <s v="OK"/>
    <s v="OK"/>
    <s v="OK"/>
    <s v="OK"/>
    <n v="0"/>
    <n v="1"/>
    <n v="0.42857142857142855"/>
    <n v="1"/>
  </r>
  <r>
    <n v="38"/>
    <s v="No"/>
    <s v="Travel_Rarely"/>
    <n v="833"/>
    <s v="Research &amp; Development"/>
    <n v="18"/>
    <n v="3"/>
    <s v="Medical"/>
    <n v="1"/>
    <n v="1766"/>
    <n v="2"/>
    <s v="Male"/>
    <n v="60"/>
    <n v="1"/>
    <n v="2"/>
    <x v="4"/>
    <n v="4"/>
    <s v="Married"/>
    <n v="5811"/>
    <n v="24539"/>
    <n v="3"/>
    <s v="Y"/>
    <s v="Yes"/>
    <n v="16"/>
    <n v="3"/>
    <n v="3"/>
    <n v="80"/>
    <n v="1"/>
    <n v="15"/>
    <n v="2"/>
    <n v="3"/>
    <n v="1"/>
    <n v="0"/>
    <x v="1"/>
    <n v="0"/>
    <s v="OK"/>
    <s v="OK"/>
    <s v="OK"/>
    <s v="OK"/>
    <n v="1"/>
    <n v="0"/>
    <n v="2"/>
    <n v="0"/>
  </r>
  <r>
    <n v="43"/>
    <s v="Yes"/>
    <s v="Travel_Frequently"/>
    <n v="807"/>
    <s v="Research &amp; Development"/>
    <n v="17"/>
    <n v="3"/>
    <s v="Technical Degree"/>
    <n v="1"/>
    <n v="1767"/>
    <n v="3"/>
    <s v="Male"/>
    <n v="38"/>
    <n v="2"/>
    <n v="1"/>
    <x v="1"/>
    <n v="3"/>
    <s v="Married"/>
    <n v="2437"/>
    <n v="15587"/>
    <n v="9"/>
    <s v="Y"/>
    <s v="Yes"/>
    <n v="16"/>
    <n v="3"/>
    <n v="4"/>
    <n v="80"/>
    <n v="1"/>
    <n v="6"/>
    <n v="4"/>
    <n v="3"/>
    <n v="1"/>
    <n v="0"/>
    <x v="0"/>
    <n v="0"/>
    <s v="OK"/>
    <s v="OK"/>
    <s v="OK"/>
    <s v="OK"/>
    <n v="0"/>
    <n v="0"/>
    <n v="4"/>
    <n v="0"/>
  </r>
  <r>
    <n v="42"/>
    <s v="No"/>
    <s v="Travel_Rarely"/>
    <n v="855"/>
    <s v="Research &amp; Development"/>
    <n v="12"/>
    <n v="3"/>
    <s v="Medical"/>
    <n v="1"/>
    <n v="1768"/>
    <n v="2"/>
    <s v="Male"/>
    <n v="57"/>
    <n v="3"/>
    <n v="1"/>
    <x v="2"/>
    <n v="2"/>
    <s v="Divorced"/>
    <n v="2766"/>
    <n v="8952"/>
    <n v="8"/>
    <s v="Y"/>
    <s v="No"/>
    <n v="22"/>
    <n v="4"/>
    <n v="2"/>
    <n v="80"/>
    <n v="3"/>
    <n v="7"/>
    <n v="6"/>
    <n v="2"/>
    <n v="5"/>
    <n v="3"/>
    <x v="0"/>
    <n v="4"/>
    <s v="OK"/>
    <s v="OK"/>
    <s v="OK"/>
    <s v="OK"/>
    <n v="0"/>
    <n v="0.6"/>
    <n v="1.2"/>
    <n v="0.8"/>
  </r>
  <r>
    <n v="55"/>
    <s v="No"/>
    <s v="Travel_Rarely"/>
    <n v="478"/>
    <s v="Research &amp; Development"/>
    <n v="2"/>
    <n v="3"/>
    <s v="Medical"/>
    <n v="1"/>
    <n v="1770"/>
    <n v="3"/>
    <s v="Male"/>
    <n v="60"/>
    <n v="2"/>
    <n v="5"/>
    <x v="7"/>
    <n v="1"/>
    <s v="Married"/>
    <n v="19038"/>
    <n v="19805"/>
    <n v="8"/>
    <s v="Y"/>
    <s v="No"/>
    <n v="12"/>
    <n v="3"/>
    <n v="2"/>
    <n v="80"/>
    <n v="3"/>
    <n v="34"/>
    <n v="2"/>
    <n v="3"/>
    <n v="1"/>
    <n v="0"/>
    <x v="0"/>
    <n v="0"/>
    <s v="OK"/>
    <s v="OK"/>
    <s v="OK"/>
    <s v="OK"/>
    <n v="0"/>
    <n v="0"/>
    <n v="2"/>
    <n v="0"/>
  </r>
  <r>
    <n v="33"/>
    <s v="No"/>
    <s v="Non-Travel"/>
    <n v="775"/>
    <s v="Research &amp; Development"/>
    <n v="4"/>
    <n v="3"/>
    <s v="Technical Degree"/>
    <n v="1"/>
    <n v="1771"/>
    <n v="4"/>
    <s v="Male"/>
    <n v="90"/>
    <n v="3"/>
    <n v="2"/>
    <x v="1"/>
    <n v="2"/>
    <s v="Divorced"/>
    <n v="3055"/>
    <n v="6194"/>
    <n v="5"/>
    <s v="Y"/>
    <s v="No"/>
    <n v="15"/>
    <n v="3"/>
    <n v="4"/>
    <n v="80"/>
    <n v="2"/>
    <n v="11"/>
    <n v="2"/>
    <n v="2"/>
    <n v="9"/>
    <n v="8"/>
    <x v="1"/>
    <n v="7"/>
    <s v="OK"/>
    <s v="OK"/>
    <s v="OK"/>
    <s v="OK"/>
    <n v="0.1111111111111111"/>
    <n v="0.88888888888888884"/>
    <n v="0.22222222222222221"/>
    <n v="0.77777777777777779"/>
  </r>
  <r>
    <n v="41"/>
    <s v="No"/>
    <s v="Travel_Rarely"/>
    <n v="548"/>
    <s v="Research &amp; Development"/>
    <n v="9"/>
    <n v="4"/>
    <s v="Life Sciences"/>
    <n v="1"/>
    <n v="1772"/>
    <n v="3"/>
    <s v="Male"/>
    <n v="94"/>
    <n v="3"/>
    <n v="1"/>
    <x v="2"/>
    <n v="1"/>
    <s v="Divorced"/>
    <n v="2289"/>
    <n v="20520"/>
    <n v="1"/>
    <s v="Y"/>
    <s v="No"/>
    <n v="20"/>
    <n v="4"/>
    <n v="2"/>
    <n v="80"/>
    <n v="2"/>
    <n v="5"/>
    <n v="2"/>
    <n v="3"/>
    <n v="5"/>
    <n v="3"/>
    <x v="0"/>
    <n v="4"/>
    <s v="OK"/>
    <s v="OK"/>
    <s v="OK"/>
    <s v="OK"/>
    <n v="0"/>
    <n v="0.6"/>
    <n v="0.4"/>
    <n v="0.8"/>
  </r>
  <r>
    <n v="34"/>
    <s v="No"/>
    <s v="Non-Travel"/>
    <n v="1375"/>
    <s v="Sales"/>
    <n v="10"/>
    <n v="3"/>
    <s v="Life Sciences"/>
    <n v="1"/>
    <n v="1774"/>
    <n v="4"/>
    <s v="Male"/>
    <n v="87"/>
    <n v="3"/>
    <n v="2"/>
    <x v="0"/>
    <n v="3"/>
    <s v="Divorced"/>
    <n v="4001"/>
    <n v="12313"/>
    <n v="1"/>
    <s v="Y"/>
    <s v="Yes"/>
    <n v="14"/>
    <n v="3"/>
    <n v="3"/>
    <n v="80"/>
    <n v="1"/>
    <n v="15"/>
    <n v="3"/>
    <n v="3"/>
    <n v="15"/>
    <n v="14"/>
    <x v="0"/>
    <n v="7"/>
    <s v="OK"/>
    <s v="OK"/>
    <s v="OK"/>
    <s v="OK"/>
    <n v="0"/>
    <n v="0.93333333333333335"/>
    <n v="0.2"/>
    <n v="0.46666666666666667"/>
  </r>
  <r>
    <n v="53"/>
    <s v="No"/>
    <s v="Non-Travel"/>
    <n v="661"/>
    <s v="Research &amp; Development"/>
    <n v="1"/>
    <n v="4"/>
    <s v="Medical"/>
    <n v="1"/>
    <n v="1775"/>
    <n v="1"/>
    <s v="Female"/>
    <n v="60"/>
    <n v="2"/>
    <n v="4"/>
    <x v="3"/>
    <n v="3"/>
    <s v="Married"/>
    <n v="12965"/>
    <n v="22308"/>
    <n v="4"/>
    <s v="Y"/>
    <s v="Yes"/>
    <n v="20"/>
    <n v="4"/>
    <n v="4"/>
    <n v="80"/>
    <n v="3"/>
    <n v="27"/>
    <n v="2"/>
    <n v="2"/>
    <n v="3"/>
    <n v="2"/>
    <x v="0"/>
    <n v="2"/>
    <s v="OK"/>
    <s v="OK"/>
    <s v="OK"/>
    <s v="OK"/>
    <n v="0"/>
    <n v="0.66666666666666663"/>
    <n v="0.66666666666666663"/>
    <n v="0.66666666666666663"/>
  </r>
  <r>
    <n v="43"/>
    <s v="No"/>
    <s v="Travel_Rarely"/>
    <n v="244"/>
    <s v="Human Resources"/>
    <n v="2"/>
    <n v="3"/>
    <s v="Life Sciences"/>
    <n v="1"/>
    <n v="1778"/>
    <n v="2"/>
    <s v="Male"/>
    <n v="97"/>
    <n v="3"/>
    <n v="1"/>
    <x v="8"/>
    <n v="4"/>
    <s v="Single"/>
    <n v="3539"/>
    <n v="5033"/>
    <n v="0"/>
    <s v="Y"/>
    <s v="No"/>
    <n v="13"/>
    <n v="3"/>
    <n v="2"/>
    <n v="80"/>
    <n v="0"/>
    <n v="10"/>
    <n v="5"/>
    <n v="3"/>
    <n v="9"/>
    <n v="7"/>
    <x v="1"/>
    <n v="8"/>
    <s v="OK"/>
    <s v="OK"/>
    <s v="OK"/>
    <s v="OK"/>
    <n v="0.1111111111111111"/>
    <n v="0.77777777777777779"/>
    <n v="0.55555555555555558"/>
    <n v="0.88888888888888884"/>
  </r>
  <r>
    <n v="34"/>
    <s v="No"/>
    <s v="Travel_Rarely"/>
    <n v="511"/>
    <s v="Sales"/>
    <n v="3"/>
    <n v="2"/>
    <s v="Life Sciences"/>
    <n v="1"/>
    <n v="1779"/>
    <n v="4"/>
    <s v="Female"/>
    <n v="32"/>
    <n v="1"/>
    <n v="2"/>
    <x v="0"/>
    <n v="4"/>
    <s v="Single"/>
    <n v="6029"/>
    <n v="25353"/>
    <n v="5"/>
    <s v="Y"/>
    <s v="No"/>
    <n v="12"/>
    <n v="3"/>
    <n v="1"/>
    <n v="80"/>
    <n v="0"/>
    <n v="6"/>
    <n v="3"/>
    <n v="3"/>
    <n v="2"/>
    <n v="2"/>
    <x v="3"/>
    <n v="2"/>
    <s v="OK"/>
    <s v="OK"/>
    <s v="OK"/>
    <s v="OK"/>
    <n v="1"/>
    <n v="1"/>
    <n v="1.5"/>
    <n v="1"/>
  </r>
  <r>
    <n v="21"/>
    <s v="Yes"/>
    <s v="Travel_Rarely"/>
    <n v="337"/>
    <s v="Sales"/>
    <n v="7"/>
    <n v="1"/>
    <s v="Marketing"/>
    <n v="1"/>
    <n v="1780"/>
    <n v="2"/>
    <s v="Male"/>
    <n v="31"/>
    <n v="3"/>
    <n v="1"/>
    <x v="6"/>
    <n v="2"/>
    <s v="Single"/>
    <n v="2679"/>
    <n v="4567"/>
    <n v="1"/>
    <s v="Y"/>
    <s v="No"/>
    <n v="13"/>
    <n v="3"/>
    <n v="2"/>
    <n v="80"/>
    <n v="0"/>
    <n v="1"/>
    <n v="3"/>
    <n v="3"/>
    <n v="1"/>
    <n v="0"/>
    <x v="1"/>
    <n v="0"/>
    <s v="OK"/>
    <s v="OK"/>
    <s v="OK"/>
    <s v="OK"/>
    <n v="1"/>
    <n v="0"/>
    <n v="3"/>
    <n v="0"/>
  </r>
  <r>
    <n v="38"/>
    <s v="No"/>
    <s v="Travel_Rarely"/>
    <n v="1153"/>
    <s v="Research &amp; Development"/>
    <n v="6"/>
    <n v="2"/>
    <s v="Other"/>
    <n v="1"/>
    <n v="1782"/>
    <n v="4"/>
    <s v="Female"/>
    <n v="40"/>
    <n v="2"/>
    <n v="1"/>
    <x v="2"/>
    <n v="3"/>
    <s v="Married"/>
    <n v="3702"/>
    <n v="16376"/>
    <n v="1"/>
    <s v="Y"/>
    <s v="No"/>
    <n v="11"/>
    <n v="3"/>
    <n v="2"/>
    <n v="80"/>
    <n v="1"/>
    <n v="5"/>
    <n v="3"/>
    <n v="3"/>
    <n v="5"/>
    <n v="4"/>
    <x v="0"/>
    <n v="4"/>
    <s v="OK"/>
    <s v="OK"/>
    <s v="OK"/>
    <s v="OK"/>
    <n v="0"/>
    <n v="0.8"/>
    <n v="0.6"/>
    <n v="0.8"/>
  </r>
  <r>
    <n v="22"/>
    <s v="Yes"/>
    <s v="Travel_Rarely"/>
    <n v="1294"/>
    <s v="Research &amp; Development"/>
    <n v="8"/>
    <n v="1"/>
    <s v="Medical"/>
    <n v="1"/>
    <n v="1783"/>
    <n v="3"/>
    <s v="Female"/>
    <n v="79"/>
    <n v="3"/>
    <n v="1"/>
    <x v="2"/>
    <n v="1"/>
    <s v="Married"/>
    <n v="2398"/>
    <n v="15999"/>
    <n v="1"/>
    <s v="Y"/>
    <s v="Yes"/>
    <n v="17"/>
    <n v="3"/>
    <n v="3"/>
    <n v="80"/>
    <n v="0"/>
    <n v="1"/>
    <n v="6"/>
    <n v="3"/>
    <n v="1"/>
    <n v="0"/>
    <x v="0"/>
    <n v="0"/>
    <s v="OK"/>
    <s v="OK"/>
    <s v="OK"/>
    <s v="OK"/>
    <n v="0"/>
    <n v="0"/>
    <n v="6"/>
    <n v="0"/>
  </r>
  <r>
    <n v="31"/>
    <s v="No"/>
    <s v="Travel_Rarely"/>
    <n v="196"/>
    <s v="Sales"/>
    <n v="29"/>
    <n v="4"/>
    <s v="Marketing"/>
    <n v="1"/>
    <n v="1784"/>
    <n v="1"/>
    <s v="Female"/>
    <n v="91"/>
    <n v="2"/>
    <n v="2"/>
    <x v="0"/>
    <n v="4"/>
    <s v="Married"/>
    <n v="5468"/>
    <n v="13402"/>
    <n v="1"/>
    <s v="Y"/>
    <s v="No"/>
    <n v="14"/>
    <n v="3"/>
    <n v="1"/>
    <n v="80"/>
    <n v="2"/>
    <n v="13"/>
    <n v="3"/>
    <n v="3"/>
    <n v="12"/>
    <n v="7"/>
    <x v="8"/>
    <n v="7"/>
    <s v="OK"/>
    <s v="OK"/>
    <s v="OK"/>
    <s v="OK"/>
    <n v="0.41666666666666669"/>
    <n v="0.58333333333333337"/>
    <n v="0.25"/>
    <n v="0.58333333333333337"/>
  </r>
  <r>
    <n v="51"/>
    <s v="No"/>
    <s v="Travel_Rarely"/>
    <n v="942"/>
    <s v="Research &amp; Development"/>
    <n v="3"/>
    <n v="3"/>
    <s v="Technical Degree"/>
    <n v="1"/>
    <n v="1786"/>
    <n v="1"/>
    <s v="Female"/>
    <n v="53"/>
    <n v="3"/>
    <n v="3"/>
    <x v="5"/>
    <n v="3"/>
    <s v="Married"/>
    <n v="13116"/>
    <n v="22984"/>
    <n v="2"/>
    <s v="Y"/>
    <s v="No"/>
    <n v="11"/>
    <n v="3"/>
    <n v="4"/>
    <n v="80"/>
    <n v="0"/>
    <n v="15"/>
    <n v="2"/>
    <n v="3"/>
    <n v="2"/>
    <n v="2"/>
    <x v="3"/>
    <n v="2"/>
    <s v="OK"/>
    <s v="OK"/>
    <s v="OK"/>
    <s v="OK"/>
    <n v="1"/>
    <n v="1"/>
    <n v="1"/>
    <n v="1"/>
  </r>
  <r>
    <n v="37"/>
    <s v="No"/>
    <s v="Travel_Rarely"/>
    <n v="589"/>
    <s v="Sales"/>
    <n v="9"/>
    <n v="2"/>
    <s v="Marketing"/>
    <n v="1"/>
    <n v="1787"/>
    <n v="2"/>
    <s v="Male"/>
    <n v="46"/>
    <n v="2"/>
    <n v="2"/>
    <x v="0"/>
    <n v="2"/>
    <s v="Married"/>
    <n v="4189"/>
    <n v="8800"/>
    <n v="1"/>
    <s v="Y"/>
    <s v="No"/>
    <n v="14"/>
    <n v="3"/>
    <n v="1"/>
    <n v="80"/>
    <n v="2"/>
    <n v="5"/>
    <n v="2"/>
    <n v="3"/>
    <n v="5"/>
    <n v="2"/>
    <x v="0"/>
    <n v="3"/>
    <s v="OK"/>
    <s v="OK"/>
    <s v="OK"/>
    <s v="OK"/>
    <n v="0"/>
    <n v="0.4"/>
    <n v="0.4"/>
    <n v="0.6"/>
  </r>
  <r>
    <n v="46"/>
    <s v="No"/>
    <s v="Travel_Rarely"/>
    <n v="734"/>
    <s v="Research &amp; Development"/>
    <n v="2"/>
    <n v="4"/>
    <s v="Medical"/>
    <n v="1"/>
    <n v="1789"/>
    <n v="3"/>
    <s v="Male"/>
    <n v="46"/>
    <n v="3"/>
    <n v="5"/>
    <x v="7"/>
    <n v="4"/>
    <s v="Divorced"/>
    <n v="19328"/>
    <n v="14218"/>
    <n v="7"/>
    <s v="Y"/>
    <s v="Yes"/>
    <n v="17"/>
    <n v="3"/>
    <n v="3"/>
    <n v="80"/>
    <n v="1"/>
    <n v="24"/>
    <n v="3"/>
    <n v="3"/>
    <n v="2"/>
    <n v="1"/>
    <x v="3"/>
    <n v="2"/>
    <s v="OK"/>
    <s v="OK"/>
    <s v="OK"/>
    <s v="OK"/>
    <n v="1"/>
    <n v="0.5"/>
    <n v="1.5"/>
    <n v="1"/>
  </r>
  <r>
    <n v="36"/>
    <s v="No"/>
    <s v="Travel_Rarely"/>
    <n v="1383"/>
    <s v="Research &amp; Development"/>
    <n v="10"/>
    <n v="3"/>
    <s v="Life Sciences"/>
    <n v="1"/>
    <n v="1790"/>
    <n v="4"/>
    <s v="Male"/>
    <n v="90"/>
    <n v="3"/>
    <n v="3"/>
    <x v="4"/>
    <n v="1"/>
    <s v="Married"/>
    <n v="8321"/>
    <n v="25949"/>
    <n v="7"/>
    <s v="Y"/>
    <s v="Yes"/>
    <n v="13"/>
    <n v="3"/>
    <n v="4"/>
    <n v="80"/>
    <n v="1"/>
    <n v="15"/>
    <n v="1"/>
    <n v="3"/>
    <n v="12"/>
    <n v="8"/>
    <x v="8"/>
    <n v="7"/>
    <s v="OK"/>
    <s v="OK"/>
    <s v="OK"/>
    <s v="OK"/>
    <n v="0.41666666666666669"/>
    <n v="0.66666666666666663"/>
    <n v="8.3333333333333329E-2"/>
    <n v="0.58333333333333337"/>
  </r>
  <r>
    <n v="44"/>
    <s v="Yes"/>
    <s v="Travel_Frequently"/>
    <n v="429"/>
    <s v="Research &amp; Development"/>
    <n v="1"/>
    <n v="2"/>
    <s v="Medical"/>
    <n v="1"/>
    <n v="1792"/>
    <n v="3"/>
    <s v="Male"/>
    <n v="99"/>
    <n v="3"/>
    <n v="1"/>
    <x v="1"/>
    <n v="2"/>
    <s v="Divorced"/>
    <n v="2342"/>
    <n v="11092"/>
    <n v="1"/>
    <s v="Y"/>
    <s v="Yes"/>
    <n v="12"/>
    <n v="3"/>
    <n v="3"/>
    <n v="80"/>
    <n v="3"/>
    <n v="6"/>
    <n v="2"/>
    <n v="2"/>
    <n v="5"/>
    <n v="3"/>
    <x v="3"/>
    <n v="3"/>
    <s v="OK"/>
    <s v="OK"/>
    <s v="OK"/>
    <s v="OK"/>
    <n v="0.4"/>
    <n v="0.6"/>
    <n v="0.4"/>
    <n v="0.6"/>
  </r>
  <r>
    <n v="37"/>
    <s v="No"/>
    <s v="Travel_Rarely"/>
    <n v="1239"/>
    <s v="Human Resources"/>
    <n v="8"/>
    <n v="2"/>
    <s v="Other"/>
    <n v="1"/>
    <n v="1794"/>
    <n v="3"/>
    <s v="Male"/>
    <n v="89"/>
    <n v="3"/>
    <n v="2"/>
    <x v="8"/>
    <n v="2"/>
    <s v="Divorced"/>
    <n v="4071"/>
    <n v="12832"/>
    <n v="2"/>
    <s v="Y"/>
    <s v="No"/>
    <n v="13"/>
    <n v="3"/>
    <n v="3"/>
    <n v="80"/>
    <n v="0"/>
    <n v="19"/>
    <n v="4"/>
    <n v="2"/>
    <n v="10"/>
    <n v="0"/>
    <x v="5"/>
    <n v="7"/>
    <s v="OK"/>
    <s v="OK"/>
    <s v="OK"/>
    <s v="OK"/>
    <n v="0.4"/>
    <n v="0"/>
    <n v="0.4"/>
    <n v="0.7"/>
  </r>
  <r>
    <n v="35"/>
    <s v="Yes"/>
    <s v="Travel_Rarely"/>
    <n v="303"/>
    <s v="Sales"/>
    <n v="27"/>
    <n v="3"/>
    <s v="Life Sciences"/>
    <n v="1"/>
    <n v="1797"/>
    <n v="3"/>
    <s v="Male"/>
    <n v="84"/>
    <n v="3"/>
    <n v="2"/>
    <x v="0"/>
    <n v="4"/>
    <s v="Single"/>
    <n v="5813"/>
    <n v="13492"/>
    <n v="1"/>
    <s v="Y"/>
    <s v="Yes"/>
    <n v="18"/>
    <n v="3"/>
    <n v="4"/>
    <n v="80"/>
    <n v="0"/>
    <n v="10"/>
    <n v="2"/>
    <n v="3"/>
    <n v="10"/>
    <n v="7"/>
    <x v="4"/>
    <n v="7"/>
    <s v="OK"/>
    <s v="OK"/>
    <s v="OK"/>
    <s v="OK"/>
    <n v="0.7"/>
    <n v="0.7"/>
    <n v="0.2"/>
    <n v="0.7"/>
  </r>
  <r>
    <n v="33"/>
    <s v="No"/>
    <s v="Travel_Rarely"/>
    <n v="867"/>
    <s v="Research &amp; Development"/>
    <n v="8"/>
    <n v="4"/>
    <s v="Life Sciences"/>
    <n v="1"/>
    <n v="1798"/>
    <n v="4"/>
    <s v="Male"/>
    <n v="90"/>
    <n v="4"/>
    <n v="1"/>
    <x v="1"/>
    <n v="1"/>
    <s v="Married"/>
    <n v="3143"/>
    <n v="6076"/>
    <n v="6"/>
    <s v="Y"/>
    <s v="No"/>
    <n v="19"/>
    <n v="3"/>
    <n v="2"/>
    <n v="80"/>
    <n v="1"/>
    <n v="14"/>
    <n v="1"/>
    <n v="3"/>
    <n v="10"/>
    <n v="8"/>
    <x v="4"/>
    <n v="6"/>
    <s v="OK"/>
    <s v="OK"/>
    <s v="OK"/>
    <s v="OK"/>
    <n v="0.7"/>
    <n v="0.8"/>
    <n v="0.1"/>
    <n v="0.6"/>
  </r>
  <r>
    <n v="28"/>
    <s v="No"/>
    <s v="Travel_Rarely"/>
    <n v="1181"/>
    <s v="Research &amp; Development"/>
    <n v="1"/>
    <n v="3"/>
    <s v="Life Sciences"/>
    <n v="1"/>
    <n v="1799"/>
    <n v="3"/>
    <s v="Male"/>
    <n v="82"/>
    <n v="3"/>
    <n v="1"/>
    <x v="1"/>
    <n v="4"/>
    <s v="Married"/>
    <n v="2044"/>
    <n v="5531"/>
    <n v="1"/>
    <s v="Y"/>
    <s v="No"/>
    <n v="11"/>
    <n v="3"/>
    <n v="3"/>
    <n v="80"/>
    <n v="1"/>
    <n v="5"/>
    <n v="6"/>
    <n v="4"/>
    <n v="5"/>
    <n v="3"/>
    <x v="0"/>
    <n v="3"/>
    <s v="OK"/>
    <s v="OK"/>
    <s v="OK"/>
    <s v="OK"/>
    <n v="0"/>
    <n v="0.6"/>
    <n v="1.2"/>
    <n v="0.6"/>
  </r>
  <r>
    <n v="39"/>
    <s v="No"/>
    <s v="Travel_Rarely"/>
    <n v="1253"/>
    <s v="Research &amp; Development"/>
    <n v="10"/>
    <n v="1"/>
    <s v="Medical"/>
    <n v="1"/>
    <n v="1800"/>
    <n v="3"/>
    <s v="Male"/>
    <n v="65"/>
    <n v="3"/>
    <n v="3"/>
    <x v="7"/>
    <n v="3"/>
    <s v="Single"/>
    <n v="13464"/>
    <n v="7914"/>
    <n v="7"/>
    <s v="Y"/>
    <s v="No"/>
    <n v="21"/>
    <n v="4"/>
    <n v="3"/>
    <n v="80"/>
    <n v="0"/>
    <n v="9"/>
    <n v="3"/>
    <n v="3"/>
    <n v="4"/>
    <n v="3"/>
    <x v="3"/>
    <n v="2"/>
    <s v="OK"/>
    <s v="OK"/>
    <s v="OK"/>
    <s v="OK"/>
    <n v="0.5"/>
    <n v="0.75"/>
    <n v="0.75"/>
    <n v="0.5"/>
  </r>
  <r>
    <n v="46"/>
    <s v="No"/>
    <s v="Non-Travel"/>
    <n v="849"/>
    <s v="Sales"/>
    <n v="26"/>
    <n v="2"/>
    <s v="Life Sciences"/>
    <n v="1"/>
    <n v="1801"/>
    <n v="2"/>
    <s v="Male"/>
    <n v="98"/>
    <n v="2"/>
    <n v="2"/>
    <x v="0"/>
    <n v="2"/>
    <s v="Single"/>
    <n v="7991"/>
    <n v="25166"/>
    <n v="8"/>
    <s v="Y"/>
    <s v="No"/>
    <n v="15"/>
    <n v="3"/>
    <n v="3"/>
    <n v="80"/>
    <n v="0"/>
    <n v="6"/>
    <n v="3"/>
    <n v="3"/>
    <n v="2"/>
    <n v="2"/>
    <x v="3"/>
    <n v="2"/>
    <s v="OK"/>
    <s v="OK"/>
    <s v="OK"/>
    <s v="OK"/>
    <n v="1"/>
    <n v="1"/>
    <n v="1.5"/>
    <n v="1"/>
  </r>
  <r>
    <n v="40"/>
    <s v="No"/>
    <s v="Travel_Rarely"/>
    <n v="616"/>
    <s v="Research &amp; Development"/>
    <n v="2"/>
    <n v="2"/>
    <s v="Life Sciences"/>
    <n v="1"/>
    <n v="1802"/>
    <n v="3"/>
    <s v="Female"/>
    <n v="99"/>
    <n v="3"/>
    <n v="1"/>
    <x v="2"/>
    <n v="1"/>
    <s v="Married"/>
    <n v="3377"/>
    <n v="25605"/>
    <n v="4"/>
    <s v="Y"/>
    <s v="No"/>
    <n v="17"/>
    <n v="3"/>
    <n v="4"/>
    <n v="80"/>
    <n v="1"/>
    <n v="7"/>
    <n v="5"/>
    <n v="2"/>
    <n v="4"/>
    <n v="3"/>
    <x v="0"/>
    <n v="2"/>
    <s v="OK"/>
    <s v="OK"/>
    <s v="OK"/>
    <s v="OK"/>
    <n v="0"/>
    <n v="0.75"/>
    <n v="1.25"/>
    <n v="0.5"/>
  </r>
  <r>
    <n v="42"/>
    <s v="No"/>
    <s v="Travel_Rarely"/>
    <n v="1128"/>
    <s v="Research &amp; Development"/>
    <n v="13"/>
    <n v="3"/>
    <s v="Medical"/>
    <n v="1"/>
    <n v="1803"/>
    <n v="2"/>
    <s v="Male"/>
    <n v="95"/>
    <n v="4"/>
    <n v="2"/>
    <x v="4"/>
    <n v="1"/>
    <s v="Married"/>
    <n v="5538"/>
    <n v="5696"/>
    <n v="5"/>
    <s v="Y"/>
    <s v="No"/>
    <n v="18"/>
    <n v="3"/>
    <n v="3"/>
    <n v="80"/>
    <n v="2"/>
    <n v="10"/>
    <n v="2"/>
    <n v="2"/>
    <n v="0"/>
    <n v="0"/>
    <x v="0"/>
    <n v="0"/>
    <s v="OK"/>
    <s v="OK"/>
    <s v="OK"/>
    <s v="OK"/>
    <n v="0"/>
    <n v="0"/>
    <n v="0"/>
    <n v="0"/>
  </r>
  <r>
    <n v="35"/>
    <s v="No"/>
    <s v="Non-Travel"/>
    <n v="1180"/>
    <s v="Research &amp; Development"/>
    <n v="2"/>
    <n v="2"/>
    <s v="Medical"/>
    <n v="1"/>
    <n v="1804"/>
    <n v="2"/>
    <s v="Male"/>
    <n v="90"/>
    <n v="3"/>
    <n v="2"/>
    <x v="3"/>
    <n v="4"/>
    <s v="Divorced"/>
    <n v="5762"/>
    <n v="24442"/>
    <n v="2"/>
    <s v="Y"/>
    <s v="No"/>
    <n v="14"/>
    <n v="3"/>
    <n v="3"/>
    <n v="80"/>
    <n v="1"/>
    <n v="15"/>
    <n v="6"/>
    <n v="3"/>
    <n v="7"/>
    <n v="7"/>
    <x v="1"/>
    <n v="7"/>
    <s v="OK"/>
    <s v="OK"/>
    <s v="OK"/>
    <s v="OK"/>
    <n v="0.14285714285714285"/>
    <n v="1"/>
    <n v="0.8571428571428571"/>
    <n v="1"/>
  </r>
  <r>
    <n v="38"/>
    <s v="No"/>
    <s v="Non-Travel"/>
    <n v="1336"/>
    <s v="Human Resources"/>
    <n v="2"/>
    <n v="3"/>
    <s v="Human Resources"/>
    <n v="1"/>
    <n v="1805"/>
    <n v="1"/>
    <s v="Male"/>
    <n v="100"/>
    <n v="3"/>
    <n v="1"/>
    <x v="8"/>
    <n v="2"/>
    <s v="Divorced"/>
    <n v="2592"/>
    <n v="7129"/>
    <n v="5"/>
    <s v="Y"/>
    <s v="No"/>
    <n v="13"/>
    <n v="3"/>
    <n v="4"/>
    <n v="80"/>
    <n v="3"/>
    <n v="13"/>
    <n v="3"/>
    <n v="3"/>
    <n v="11"/>
    <n v="10"/>
    <x v="2"/>
    <n v="8"/>
    <s v="OK"/>
    <s v="OK"/>
    <s v="OK"/>
    <s v="OK"/>
    <n v="0.27272727272727271"/>
    <n v="0.90909090909090906"/>
    <n v="0.27272727272727271"/>
    <n v="0.72727272727272729"/>
  </r>
  <r>
    <n v="34"/>
    <s v="Yes"/>
    <s v="Travel_Frequently"/>
    <n v="234"/>
    <s v="Research &amp; Development"/>
    <n v="9"/>
    <n v="4"/>
    <s v="Life Sciences"/>
    <n v="1"/>
    <n v="1807"/>
    <n v="4"/>
    <s v="Male"/>
    <n v="93"/>
    <n v="3"/>
    <n v="2"/>
    <x v="2"/>
    <n v="1"/>
    <s v="Married"/>
    <n v="5346"/>
    <n v="6208"/>
    <n v="4"/>
    <s v="Y"/>
    <s v="No"/>
    <n v="17"/>
    <n v="3"/>
    <n v="3"/>
    <n v="80"/>
    <n v="1"/>
    <n v="11"/>
    <n v="3"/>
    <n v="2"/>
    <n v="7"/>
    <n v="1"/>
    <x v="0"/>
    <n v="7"/>
    <s v="OK"/>
    <s v="OK"/>
    <s v="OK"/>
    <s v="OK"/>
    <n v="0"/>
    <n v="0.14285714285714285"/>
    <n v="0.42857142857142855"/>
    <n v="1"/>
  </r>
  <r>
    <n v="37"/>
    <s v="Yes"/>
    <s v="Travel_Rarely"/>
    <n v="370"/>
    <s v="Research &amp; Development"/>
    <n v="10"/>
    <n v="4"/>
    <s v="Medical"/>
    <n v="1"/>
    <n v="1809"/>
    <n v="4"/>
    <s v="Male"/>
    <n v="58"/>
    <n v="3"/>
    <n v="2"/>
    <x v="3"/>
    <n v="1"/>
    <s v="Single"/>
    <n v="4213"/>
    <n v="4992"/>
    <n v="1"/>
    <s v="Y"/>
    <s v="No"/>
    <n v="15"/>
    <n v="3"/>
    <n v="2"/>
    <n v="80"/>
    <n v="0"/>
    <n v="10"/>
    <n v="4"/>
    <n v="1"/>
    <n v="10"/>
    <n v="3"/>
    <x v="0"/>
    <n v="8"/>
    <s v="OK"/>
    <s v="OK"/>
    <s v="OK"/>
    <s v="OK"/>
    <n v="0"/>
    <n v="0.3"/>
    <n v="0.4"/>
    <n v="0.8"/>
  </r>
  <r>
    <n v="39"/>
    <s v="No"/>
    <s v="Travel_Frequently"/>
    <n v="766"/>
    <s v="Sales"/>
    <n v="20"/>
    <n v="3"/>
    <s v="Life Sciences"/>
    <n v="1"/>
    <n v="1812"/>
    <n v="3"/>
    <s v="Male"/>
    <n v="83"/>
    <n v="3"/>
    <n v="2"/>
    <x v="0"/>
    <n v="4"/>
    <s v="Divorced"/>
    <n v="4127"/>
    <n v="19188"/>
    <n v="2"/>
    <s v="Y"/>
    <s v="No"/>
    <n v="18"/>
    <n v="3"/>
    <n v="4"/>
    <n v="80"/>
    <n v="1"/>
    <n v="7"/>
    <n v="6"/>
    <n v="3"/>
    <n v="2"/>
    <n v="1"/>
    <x v="3"/>
    <n v="2"/>
    <s v="OK"/>
    <s v="OK"/>
    <s v="OK"/>
    <s v="OK"/>
    <n v="1"/>
    <n v="0.5"/>
    <n v="3"/>
    <n v="1"/>
  </r>
  <r>
    <n v="43"/>
    <s v="No"/>
    <s v="Non-Travel"/>
    <n v="343"/>
    <s v="Research &amp; Development"/>
    <n v="9"/>
    <n v="3"/>
    <s v="Life Sciences"/>
    <n v="1"/>
    <n v="1813"/>
    <n v="1"/>
    <s v="Male"/>
    <n v="52"/>
    <n v="3"/>
    <n v="1"/>
    <x v="1"/>
    <n v="3"/>
    <s v="Single"/>
    <n v="2438"/>
    <n v="24978"/>
    <n v="4"/>
    <s v="Y"/>
    <s v="No"/>
    <n v="13"/>
    <n v="3"/>
    <n v="3"/>
    <n v="80"/>
    <n v="0"/>
    <n v="7"/>
    <n v="2"/>
    <n v="2"/>
    <n v="3"/>
    <n v="2"/>
    <x v="1"/>
    <n v="2"/>
    <s v="OK"/>
    <s v="OK"/>
    <s v="OK"/>
    <s v="OK"/>
    <n v="0.33333333333333331"/>
    <n v="0.66666666666666663"/>
    <n v="0.66666666666666663"/>
    <n v="0.66666666666666663"/>
  </r>
  <r>
    <n v="41"/>
    <s v="No"/>
    <s v="Travel_Rarely"/>
    <n v="447"/>
    <s v="Research &amp; Development"/>
    <n v="5"/>
    <n v="3"/>
    <s v="Life Sciences"/>
    <n v="1"/>
    <n v="1814"/>
    <n v="2"/>
    <s v="Male"/>
    <n v="85"/>
    <n v="4"/>
    <n v="2"/>
    <x v="4"/>
    <n v="2"/>
    <s v="Single"/>
    <n v="6870"/>
    <n v="15530"/>
    <n v="3"/>
    <s v="Y"/>
    <s v="No"/>
    <n v="12"/>
    <n v="3"/>
    <n v="1"/>
    <n v="80"/>
    <n v="0"/>
    <n v="11"/>
    <n v="3"/>
    <n v="1"/>
    <n v="3"/>
    <n v="2"/>
    <x v="1"/>
    <n v="2"/>
    <s v="OK"/>
    <s v="OK"/>
    <s v="OK"/>
    <s v="OK"/>
    <n v="0.33333333333333331"/>
    <n v="0.66666666666666663"/>
    <n v="1"/>
    <n v="0.66666666666666663"/>
  </r>
  <r>
    <n v="41"/>
    <s v="No"/>
    <s v="Travel_Rarely"/>
    <n v="796"/>
    <s v="Sales"/>
    <n v="4"/>
    <n v="1"/>
    <s v="Marketing"/>
    <n v="1"/>
    <n v="1815"/>
    <n v="3"/>
    <s v="Female"/>
    <n v="81"/>
    <n v="3"/>
    <n v="3"/>
    <x v="0"/>
    <n v="3"/>
    <s v="Divorced"/>
    <n v="10447"/>
    <n v="26458"/>
    <n v="0"/>
    <s v="Y"/>
    <s v="Yes"/>
    <n v="13"/>
    <n v="3"/>
    <n v="4"/>
    <n v="80"/>
    <n v="1"/>
    <n v="23"/>
    <n v="3"/>
    <n v="4"/>
    <n v="22"/>
    <n v="14"/>
    <x v="11"/>
    <n v="5"/>
    <s v="OK"/>
    <s v="OK"/>
    <s v="OK"/>
    <s v="OK"/>
    <n v="0.59090909090909094"/>
    <n v="0.63636363636363635"/>
    <n v="0.13636363636363635"/>
    <n v="0.22727272727272727"/>
  </r>
  <r>
    <n v="30"/>
    <s v="No"/>
    <s v="Travel_Rarely"/>
    <n v="1092"/>
    <s v="Research &amp; Development"/>
    <n v="10"/>
    <n v="3"/>
    <s v="Medical"/>
    <n v="1"/>
    <n v="1816"/>
    <n v="1"/>
    <s v="Female"/>
    <n v="64"/>
    <n v="3"/>
    <n v="3"/>
    <x v="3"/>
    <n v="3"/>
    <s v="Single"/>
    <n v="9667"/>
    <n v="2739"/>
    <n v="9"/>
    <s v="Y"/>
    <s v="No"/>
    <n v="14"/>
    <n v="3"/>
    <n v="2"/>
    <n v="80"/>
    <n v="0"/>
    <n v="9"/>
    <n v="3"/>
    <n v="3"/>
    <n v="7"/>
    <n v="7"/>
    <x v="0"/>
    <n v="2"/>
    <s v="OK"/>
    <s v="OK"/>
    <s v="OK"/>
    <s v="OK"/>
    <n v="0"/>
    <n v="1"/>
    <n v="0.42857142857142855"/>
    <n v="0.2857142857142857"/>
  </r>
  <r>
    <n v="26"/>
    <s v="Yes"/>
    <s v="Travel_Rarely"/>
    <n v="920"/>
    <s v="Human Resources"/>
    <n v="20"/>
    <n v="2"/>
    <s v="Medical"/>
    <n v="1"/>
    <n v="1818"/>
    <n v="4"/>
    <s v="Female"/>
    <n v="69"/>
    <n v="3"/>
    <n v="1"/>
    <x v="8"/>
    <n v="2"/>
    <s v="Married"/>
    <n v="2148"/>
    <n v="6889"/>
    <n v="0"/>
    <s v="Y"/>
    <s v="Yes"/>
    <n v="11"/>
    <n v="3"/>
    <n v="3"/>
    <n v="80"/>
    <n v="0"/>
    <n v="6"/>
    <n v="3"/>
    <n v="3"/>
    <n v="5"/>
    <n v="1"/>
    <x v="1"/>
    <n v="4"/>
    <s v="OK"/>
    <s v="OK"/>
    <s v="OK"/>
    <s v="OK"/>
    <n v="0.2"/>
    <n v="0.2"/>
    <n v="0.6"/>
    <n v="0.8"/>
  </r>
  <r>
    <n v="46"/>
    <s v="Yes"/>
    <s v="Travel_Rarely"/>
    <n v="261"/>
    <s v="Research &amp; Development"/>
    <n v="21"/>
    <n v="2"/>
    <s v="Medical"/>
    <n v="1"/>
    <n v="1821"/>
    <n v="4"/>
    <s v="Female"/>
    <n v="66"/>
    <n v="3"/>
    <n v="2"/>
    <x v="4"/>
    <n v="2"/>
    <s v="Married"/>
    <n v="8926"/>
    <n v="10842"/>
    <n v="4"/>
    <s v="Y"/>
    <s v="No"/>
    <n v="22"/>
    <n v="4"/>
    <n v="4"/>
    <n v="80"/>
    <n v="1"/>
    <n v="13"/>
    <n v="2"/>
    <n v="4"/>
    <n v="9"/>
    <n v="7"/>
    <x v="2"/>
    <n v="7"/>
    <s v="OK"/>
    <s v="OK"/>
    <s v="OK"/>
    <s v="OK"/>
    <n v="0.33333333333333331"/>
    <n v="0.77777777777777779"/>
    <n v="0.22222222222222221"/>
    <n v="0.77777777777777779"/>
  </r>
  <r>
    <n v="40"/>
    <s v="No"/>
    <s v="Travel_Rarely"/>
    <n v="1194"/>
    <s v="Research &amp; Development"/>
    <n v="1"/>
    <n v="3"/>
    <s v="Life Sciences"/>
    <n v="1"/>
    <n v="1822"/>
    <n v="3"/>
    <s v="Female"/>
    <n v="52"/>
    <n v="3"/>
    <n v="2"/>
    <x v="4"/>
    <n v="4"/>
    <s v="Divorced"/>
    <n v="6513"/>
    <n v="9060"/>
    <n v="4"/>
    <s v="Y"/>
    <s v="No"/>
    <n v="17"/>
    <n v="3"/>
    <n v="4"/>
    <n v="80"/>
    <n v="1"/>
    <n v="12"/>
    <n v="3"/>
    <n v="3"/>
    <n v="5"/>
    <n v="3"/>
    <x v="0"/>
    <n v="3"/>
    <s v="OK"/>
    <s v="OK"/>
    <s v="OK"/>
    <s v="OK"/>
    <n v="0"/>
    <n v="0.6"/>
    <n v="0.6"/>
    <n v="0.6"/>
  </r>
  <r>
    <n v="34"/>
    <s v="No"/>
    <s v="Travel_Rarely"/>
    <n v="810"/>
    <s v="Sales"/>
    <n v="8"/>
    <n v="2"/>
    <s v="Technical Degree"/>
    <n v="1"/>
    <n v="1823"/>
    <n v="2"/>
    <s v="Male"/>
    <n v="92"/>
    <n v="4"/>
    <n v="2"/>
    <x v="0"/>
    <n v="3"/>
    <s v="Married"/>
    <n v="6799"/>
    <n v="22128"/>
    <n v="1"/>
    <s v="Y"/>
    <s v="No"/>
    <n v="21"/>
    <n v="4"/>
    <n v="3"/>
    <n v="80"/>
    <n v="2"/>
    <n v="10"/>
    <n v="5"/>
    <n v="3"/>
    <n v="10"/>
    <n v="8"/>
    <x v="5"/>
    <n v="8"/>
    <s v="OK"/>
    <s v="OK"/>
    <s v="OK"/>
    <s v="OK"/>
    <n v="0.4"/>
    <n v="0.8"/>
    <n v="0.5"/>
    <n v="0.8"/>
  </r>
  <r>
    <n v="58"/>
    <s v="No"/>
    <s v="Non-Travel"/>
    <n v="350"/>
    <s v="Sales"/>
    <n v="2"/>
    <n v="3"/>
    <s v="Medical"/>
    <n v="1"/>
    <n v="1824"/>
    <n v="2"/>
    <s v="Male"/>
    <n v="52"/>
    <n v="3"/>
    <n v="4"/>
    <x v="5"/>
    <n v="2"/>
    <s v="Divorced"/>
    <n v="16291"/>
    <n v="22577"/>
    <n v="4"/>
    <s v="Y"/>
    <s v="No"/>
    <n v="22"/>
    <n v="4"/>
    <n v="4"/>
    <n v="80"/>
    <n v="1"/>
    <n v="37"/>
    <n v="0"/>
    <n v="2"/>
    <n v="16"/>
    <n v="9"/>
    <x v="15"/>
    <n v="14"/>
    <s v="OK"/>
    <s v="OK"/>
    <s v="OK"/>
    <s v="OK"/>
    <n v="0.875"/>
    <n v="0.5625"/>
    <n v="0"/>
    <n v="0.875"/>
  </r>
  <r>
    <n v="35"/>
    <s v="No"/>
    <s v="Travel_Rarely"/>
    <n v="185"/>
    <s v="Research &amp; Development"/>
    <n v="23"/>
    <n v="4"/>
    <s v="Medical"/>
    <n v="1"/>
    <n v="1826"/>
    <n v="2"/>
    <s v="Male"/>
    <n v="91"/>
    <n v="1"/>
    <n v="1"/>
    <x v="2"/>
    <n v="3"/>
    <s v="Married"/>
    <n v="2705"/>
    <n v="9696"/>
    <n v="0"/>
    <s v="Y"/>
    <s v="No"/>
    <n v="16"/>
    <n v="3"/>
    <n v="2"/>
    <n v="80"/>
    <n v="1"/>
    <n v="6"/>
    <n v="2"/>
    <n v="4"/>
    <n v="5"/>
    <n v="4"/>
    <x v="0"/>
    <n v="3"/>
    <s v="OK"/>
    <s v="OK"/>
    <s v="OK"/>
    <s v="OK"/>
    <n v="0"/>
    <n v="0.8"/>
    <n v="0.4"/>
    <n v="0.6"/>
  </r>
  <r>
    <n v="47"/>
    <s v="No"/>
    <s v="Travel_Rarely"/>
    <n v="1001"/>
    <s v="Research &amp; Development"/>
    <n v="4"/>
    <n v="3"/>
    <s v="Life Sciences"/>
    <n v="1"/>
    <n v="1827"/>
    <n v="3"/>
    <s v="Female"/>
    <n v="92"/>
    <n v="2"/>
    <n v="3"/>
    <x v="3"/>
    <n v="2"/>
    <s v="Divorced"/>
    <n v="10333"/>
    <n v="19271"/>
    <n v="8"/>
    <s v="Y"/>
    <s v="Yes"/>
    <n v="12"/>
    <n v="3"/>
    <n v="3"/>
    <n v="80"/>
    <n v="1"/>
    <n v="28"/>
    <n v="4"/>
    <n v="3"/>
    <n v="22"/>
    <n v="11"/>
    <x v="15"/>
    <n v="10"/>
    <s v="OK"/>
    <s v="OK"/>
    <s v="OK"/>
    <s v="OK"/>
    <n v="0.63636363636363635"/>
    <n v="0.5"/>
    <n v="0.18181818181818182"/>
    <n v="0.45454545454545453"/>
  </r>
  <r>
    <n v="40"/>
    <s v="No"/>
    <s v="Travel_Rarely"/>
    <n v="750"/>
    <s v="Research &amp; Development"/>
    <n v="12"/>
    <n v="3"/>
    <s v="Life Sciences"/>
    <n v="1"/>
    <n v="1829"/>
    <n v="2"/>
    <s v="Female"/>
    <n v="47"/>
    <n v="3"/>
    <n v="2"/>
    <x v="4"/>
    <n v="1"/>
    <s v="Divorced"/>
    <n v="4448"/>
    <n v="10748"/>
    <n v="2"/>
    <s v="Y"/>
    <s v="No"/>
    <n v="12"/>
    <n v="3"/>
    <n v="2"/>
    <n v="80"/>
    <n v="1"/>
    <n v="15"/>
    <n v="3"/>
    <n v="3"/>
    <n v="7"/>
    <n v="4"/>
    <x v="4"/>
    <n v="7"/>
    <s v="OK"/>
    <s v="OK"/>
    <s v="OK"/>
    <s v="OK"/>
    <n v="1"/>
    <n v="0.5714285714285714"/>
    <n v="0.42857142857142855"/>
    <n v="1"/>
  </r>
  <r>
    <n v="54"/>
    <s v="No"/>
    <s v="Travel_Rarely"/>
    <n v="431"/>
    <s v="Research &amp; Development"/>
    <n v="7"/>
    <n v="4"/>
    <s v="Medical"/>
    <n v="1"/>
    <n v="1830"/>
    <n v="4"/>
    <s v="Female"/>
    <n v="68"/>
    <n v="3"/>
    <n v="2"/>
    <x v="1"/>
    <n v="4"/>
    <s v="Married"/>
    <n v="6854"/>
    <n v="15696"/>
    <n v="4"/>
    <s v="Y"/>
    <s v="No"/>
    <n v="15"/>
    <n v="3"/>
    <n v="2"/>
    <n v="80"/>
    <n v="1"/>
    <n v="14"/>
    <n v="2"/>
    <n v="2"/>
    <n v="7"/>
    <n v="1"/>
    <x v="1"/>
    <n v="7"/>
    <s v="OK"/>
    <s v="OK"/>
    <s v="OK"/>
    <s v="OK"/>
    <n v="0.14285714285714285"/>
    <n v="0.14285714285714285"/>
    <n v="0.2857142857142857"/>
    <n v="1"/>
  </r>
  <r>
    <n v="31"/>
    <s v="No"/>
    <s v="Travel_Frequently"/>
    <n v="1125"/>
    <s v="Sales"/>
    <n v="7"/>
    <n v="4"/>
    <s v="Marketing"/>
    <n v="1"/>
    <n v="1833"/>
    <n v="1"/>
    <s v="Female"/>
    <n v="68"/>
    <n v="3"/>
    <n v="3"/>
    <x v="0"/>
    <n v="1"/>
    <s v="Married"/>
    <n v="9637"/>
    <n v="8277"/>
    <n v="2"/>
    <s v="Y"/>
    <s v="No"/>
    <n v="14"/>
    <n v="3"/>
    <n v="4"/>
    <n v="80"/>
    <n v="2"/>
    <n v="9"/>
    <n v="3"/>
    <n v="3"/>
    <n v="3"/>
    <n v="2"/>
    <x v="3"/>
    <n v="2"/>
    <s v="OK"/>
    <s v="OK"/>
    <s v="OK"/>
    <s v="OK"/>
    <n v="0.66666666666666663"/>
    <n v="0.66666666666666663"/>
    <n v="1"/>
    <n v="0.66666666666666663"/>
  </r>
  <r>
    <n v="28"/>
    <s v="No"/>
    <s v="Travel_Rarely"/>
    <n v="1217"/>
    <s v="Research &amp; Development"/>
    <n v="1"/>
    <n v="3"/>
    <s v="Medical"/>
    <n v="1"/>
    <n v="1834"/>
    <n v="3"/>
    <s v="Female"/>
    <n v="67"/>
    <n v="3"/>
    <n v="1"/>
    <x v="1"/>
    <n v="1"/>
    <s v="Married"/>
    <n v="3591"/>
    <n v="12719"/>
    <n v="1"/>
    <s v="Y"/>
    <s v="No"/>
    <n v="25"/>
    <n v="4"/>
    <n v="3"/>
    <n v="80"/>
    <n v="1"/>
    <n v="3"/>
    <n v="3"/>
    <n v="3"/>
    <n v="3"/>
    <n v="2"/>
    <x v="1"/>
    <n v="2"/>
    <s v="OK"/>
    <s v="OK"/>
    <s v="OK"/>
    <s v="OK"/>
    <n v="0.33333333333333331"/>
    <n v="0.66666666666666663"/>
    <n v="1"/>
    <n v="0.66666666666666663"/>
  </r>
  <r>
    <n v="38"/>
    <s v="No"/>
    <s v="Travel_Rarely"/>
    <n v="723"/>
    <s v="Sales"/>
    <n v="2"/>
    <n v="4"/>
    <s v="Marketing"/>
    <n v="1"/>
    <n v="1835"/>
    <n v="2"/>
    <s v="Female"/>
    <n v="77"/>
    <n v="1"/>
    <n v="2"/>
    <x v="6"/>
    <n v="4"/>
    <s v="Married"/>
    <n v="5405"/>
    <n v="4244"/>
    <n v="2"/>
    <s v="Y"/>
    <s v="Yes"/>
    <n v="20"/>
    <n v="4"/>
    <n v="1"/>
    <n v="80"/>
    <n v="2"/>
    <n v="20"/>
    <n v="4"/>
    <n v="2"/>
    <n v="4"/>
    <n v="2"/>
    <x v="0"/>
    <n v="3"/>
    <s v="OK"/>
    <s v="OK"/>
    <s v="OK"/>
    <s v="OK"/>
    <n v="0"/>
    <n v="0.5"/>
    <n v="1"/>
    <n v="0.75"/>
  </r>
  <r>
    <n v="26"/>
    <s v="No"/>
    <s v="Travel_Rarely"/>
    <n v="572"/>
    <s v="Sales"/>
    <n v="10"/>
    <n v="3"/>
    <s v="Medical"/>
    <n v="1"/>
    <n v="1836"/>
    <n v="3"/>
    <s v="Male"/>
    <n v="46"/>
    <n v="3"/>
    <n v="2"/>
    <x v="0"/>
    <n v="4"/>
    <s v="Single"/>
    <n v="4684"/>
    <n v="9125"/>
    <n v="1"/>
    <s v="Y"/>
    <s v="No"/>
    <n v="13"/>
    <n v="3"/>
    <n v="1"/>
    <n v="80"/>
    <n v="0"/>
    <n v="5"/>
    <n v="4"/>
    <n v="3"/>
    <n v="5"/>
    <n v="3"/>
    <x v="1"/>
    <n v="2"/>
    <s v="OK"/>
    <s v="OK"/>
    <s v="OK"/>
    <s v="OK"/>
    <n v="0.2"/>
    <n v="0.6"/>
    <n v="0.8"/>
    <n v="0.4"/>
  </r>
  <r>
    <n v="58"/>
    <s v="No"/>
    <s v="Travel_Frequently"/>
    <n v="1216"/>
    <s v="Research &amp; Development"/>
    <n v="15"/>
    <n v="4"/>
    <s v="Life Sciences"/>
    <n v="1"/>
    <n v="1837"/>
    <n v="1"/>
    <s v="Male"/>
    <n v="87"/>
    <n v="3"/>
    <n v="4"/>
    <x v="7"/>
    <n v="3"/>
    <s v="Married"/>
    <n v="15787"/>
    <n v="21624"/>
    <n v="2"/>
    <s v="Y"/>
    <s v="Yes"/>
    <n v="14"/>
    <n v="3"/>
    <n v="2"/>
    <n v="80"/>
    <n v="0"/>
    <n v="23"/>
    <n v="3"/>
    <n v="3"/>
    <n v="2"/>
    <n v="2"/>
    <x v="3"/>
    <n v="2"/>
    <s v="OK"/>
    <s v="OK"/>
    <s v="OK"/>
    <s v="OK"/>
    <n v="1"/>
    <n v="1"/>
    <n v="1.5"/>
    <n v="1"/>
  </r>
  <r>
    <n v="18"/>
    <s v="No"/>
    <s v="Non-Travel"/>
    <n v="1431"/>
    <s v="Research &amp; Development"/>
    <n v="14"/>
    <n v="3"/>
    <s v="Medical"/>
    <n v="1"/>
    <n v="1839"/>
    <n v="2"/>
    <s v="Female"/>
    <n v="33"/>
    <n v="3"/>
    <n v="1"/>
    <x v="1"/>
    <n v="3"/>
    <s v="Single"/>
    <n v="1514"/>
    <n v="8018"/>
    <n v="1"/>
    <s v="Y"/>
    <s v="No"/>
    <n v="16"/>
    <n v="3"/>
    <n v="3"/>
    <n v="80"/>
    <n v="0"/>
    <n v="0"/>
    <n v="4"/>
    <n v="1"/>
    <n v="0"/>
    <n v="0"/>
    <x v="0"/>
    <n v="0"/>
    <s v="OK"/>
    <s v="OK"/>
    <s v="OK"/>
    <s v="OK"/>
    <n v="0"/>
    <n v="0"/>
    <n v="0"/>
    <n v="0"/>
  </r>
  <r>
    <n v="31"/>
    <s v="Yes"/>
    <s v="Travel_Rarely"/>
    <n v="359"/>
    <s v="Human Resources"/>
    <n v="18"/>
    <n v="5"/>
    <s v="Human Resources"/>
    <n v="1"/>
    <n v="1842"/>
    <n v="4"/>
    <s v="Male"/>
    <n v="89"/>
    <n v="4"/>
    <n v="1"/>
    <x v="8"/>
    <n v="1"/>
    <s v="Married"/>
    <n v="2956"/>
    <n v="21495"/>
    <n v="0"/>
    <s v="Y"/>
    <s v="No"/>
    <n v="17"/>
    <n v="3"/>
    <n v="3"/>
    <n v="80"/>
    <n v="0"/>
    <n v="2"/>
    <n v="4"/>
    <n v="3"/>
    <n v="1"/>
    <n v="0"/>
    <x v="0"/>
    <n v="0"/>
    <s v="OK"/>
    <s v="OK"/>
    <s v="OK"/>
    <s v="OK"/>
    <n v="0"/>
    <n v="0"/>
    <n v="4"/>
    <n v="0"/>
  </r>
  <r>
    <n v="29"/>
    <s v="Yes"/>
    <s v="Travel_Rarely"/>
    <n v="350"/>
    <s v="Human Resources"/>
    <n v="13"/>
    <n v="3"/>
    <s v="Human Resources"/>
    <n v="1"/>
    <n v="1844"/>
    <n v="1"/>
    <s v="Male"/>
    <n v="56"/>
    <n v="2"/>
    <n v="1"/>
    <x v="8"/>
    <n v="1"/>
    <s v="Divorced"/>
    <n v="2335"/>
    <n v="3157"/>
    <n v="4"/>
    <s v="Y"/>
    <s v="Yes"/>
    <n v="15"/>
    <n v="3"/>
    <n v="4"/>
    <n v="80"/>
    <n v="3"/>
    <n v="4"/>
    <n v="3"/>
    <n v="3"/>
    <n v="2"/>
    <n v="2"/>
    <x v="3"/>
    <n v="0"/>
    <s v="OK"/>
    <s v="OK"/>
    <s v="OK"/>
    <s v="OK"/>
    <n v="1"/>
    <n v="1"/>
    <n v="1.5"/>
    <n v="0"/>
  </r>
  <r>
    <n v="45"/>
    <s v="No"/>
    <s v="Non-Travel"/>
    <n v="589"/>
    <s v="Sales"/>
    <n v="2"/>
    <n v="4"/>
    <s v="Life Sciences"/>
    <n v="1"/>
    <n v="1845"/>
    <n v="3"/>
    <s v="Female"/>
    <n v="67"/>
    <n v="3"/>
    <n v="2"/>
    <x v="0"/>
    <n v="3"/>
    <s v="Married"/>
    <n v="5154"/>
    <n v="19665"/>
    <n v="4"/>
    <s v="Y"/>
    <s v="No"/>
    <n v="22"/>
    <n v="4"/>
    <n v="2"/>
    <n v="80"/>
    <n v="2"/>
    <n v="10"/>
    <n v="3"/>
    <n v="4"/>
    <n v="8"/>
    <n v="7"/>
    <x v="8"/>
    <n v="7"/>
    <s v="OK"/>
    <s v="OK"/>
    <s v="OK"/>
    <s v="OK"/>
    <n v="0.625"/>
    <n v="0.875"/>
    <n v="0.375"/>
    <n v="0.875"/>
  </r>
  <r>
    <n v="36"/>
    <s v="No"/>
    <s v="Travel_Rarely"/>
    <n v="430"/>
    <s v="Research &amp; Development"/>
    <n v="2"/>
    <n v="4"/>
    <s v="Other"/>
    <n v="1"/>
    <n v="1847"/>
    <n v="4"/>
    <s v="Female"/>
    <n v="73"/>
    <n v="3"/>
    <n v="2"/>
    <x v="1"/>
    <n v="2"/>
    <s v="Married"/>
    <n v="6962"/>
    <n v="19573"/>
    <n v="4"/>
    <s v="Y"/>
    <s v="Yes"/>
    <n v="22"/>
    <n v="4"/>
    <n v="4"/>
    <n v="80"/>
    <n v="1"/>
    <n v="15"/>
    <n v="2"/>
    <n v="3"/>
    <n v="1"/>
    <n v="0"/>
    <x v="0"/>
    <n v="0"/>
    <s v="OK"/>
    <s v="OK"/>
    <s v="OK"/>
    <s v="OK"/>
    <n v="0"/>
    <n v="0"/>
    <n v="2"/>
    <n v="0"/>
  </r>
  <r>
    <n v="43"/>
    <s v="No"/>
    <s v="Travel_Frequently"/>
    <n v="1422"/>
    <s v="Sales"/>
    <n v="2"/>
    <n v="4"/>
    <s v="Life Sciences"/>
    <n v="1"/>
    <n v="1849"/>
    <n v="1"/>
    <s v="Male"/>
    <n v="92"/>
    <n v="3"/>
    <n v="2"/>
    <x v="0"/>
    <n v="4"/>
    <s v="Married"/>
    <n v="5675"/>
    <n v="19246"/>
    <n v="1"/>
    <s v="Y"/>
    <s v="No"/>
    <n v="20"/>
    <n v="4"/>
    <n v="3"/>
    <n v="80"/>
    <n v="1"/>
    <n v="7"/>
    <n v="5"/>
    <n v="3"/>
    <n v="7"/>
    <n v="7"/>
    <x v="4"/>
    <n v="7"/>
    <s v="OK"/>
    <s v="OK"/>
    <s v="OK"/>
    <s v="OK"/>
    <n v="1"/>
    <n v="1"/>
    <n v="0.7142857142857143"/>
    <n v="1"/>
  </r>
  <r>
    <n v="27"/>
    <s v="No"/>
    <s v="Travel_Frequently"/>
    <n v="1297"/>
    <s v="Research &amp; Development"/>
    <n v="5"/>
    <n v="2"/>
    <s v="Life Sciences"/>
    <n v="1"/>
    <n v="1850"/>
    <n v="4"/>
    <s v="Female"/>
    <n v="53"/>
    <n v="3"/>
    <n v="1"/>
    <x v="2"/>
    <n v="4"/>
    <s v="Single"/>
    <n v="2379"/>
    <n v="19826"/>
    <n v="0"/>
    <s v="Y"/>
    <s v="Yes"/>
    <n v="14"/>
    <n v="3"/>
    <n v="3"/>
    <n v="80"/>
    <n v="0"/>
    <n v="6"/>
    <n v="3"/>
    <n v="2"/>
    <n v="5"/>
    <n v="4"/>
    <x v="0"/>
    <n v="2"/>
    <s v="OK"/>
    <s v="OK"/>
    <s v="OK"/>
    <s v="OK"/>
    <n v="0"/>
    <n v="0.8"/>
    <n v="0.6"/>
    <n v="0.4"/>
  </r>
  <r>
    <n v="29"/>
    <s v="No"/>
    <s v="Travel_Frequently"/>
    <n v="574"/>
    <s v="Research &amp; Development"/>
    <n v="20"/>
    <n v="1"/>
    <s v="Medical"/>
    <n v="1"/>
    <n v="1852"/>
    <n v="4"/>
    <s v="Male"/>
    <n v="40"/>
    <n v="3"/>
    <n v="1"/>
    <x v="2"/>
    <n v="4"/>
    <s v="Married"/>
    <n v="3812"/>
    <n v="7003"/>
    <n v="1"/>
    <s v="Y"/>
    <s v="No"/>
    <n v="13"/>
    <n v="3"/>
    <n v="2"/>
    <n v="80"/>
    <n v="0"/>
    <n v="11"/>
    <n v="3"/>
    <n v="4"/>
    <n v="11"/>
    <n v="8"/>
    <x v="2"/>
    <n v="10"/>
    <s v="OK"/>
    <s v="OK"/>
    <s v="OK"/>
    <s v="OK"/>
    <n v="0.27272727272727271"/>
    <n v="0.72727272727272729"/>
    <n v="0.27272727272727271"/>
    <n v="0.90909090909090906"/>
  </r>
  <r>
    <n v="32"/>
    <s v="No"/>
    <s v="Travel_Frequently"/>
    <n v="1318"/>
    <s v="Sales"/>
    <n v="10"/>
    <n v="4"/>
    <s v="Marketing"/>
    <n v="1"/>
    <n v="1853"/>
    <n v="4"/>
    <s v="Male"/>
    <n v="79"/>
    <n v="3"/>
    <n v="2"/>
    <x v="0"/>
    <n v="4"/>
    <s v="Single"/>
    <n v="4648"/>
    <n v="26075"/>
    <n v="8"/>
    <s v="Y"/>
    <s v="No"/>
    <n v="13"/>
    <n v="3"/>
    <n v="3"/>
    <n v="80"/>
    <n v="0"/>
    <n v="4"/>
    <n v="2"/>
    <n v="4"/>
    <n v="0"/>
    <n v="0"/>
    <x v="0"/>
    <n v="0"/>
    <s v="OK"/>
    <s v="OK"/>
    <s v="OK"/>
    <s v="OK"/>
    <n v="0"/>
    <n v="0"/>
    <n v="0"/>
    <n v="0"/>
  </r>
  <r>
    <n v="42"/>
    <s v="No"/>
    <s v="Non-Travel"/>
    <n v="355"/>
    <s v="Research &amp; Development"/>
    <n v="10"/>
    <n v="4"/>
    <s v="Technical Degree"/>
    <n v="1"/>
    <n v="1854"/>
    <n v="3"/>
    <s v="Male"/>
    <n v="38"/>
    <n v="3"/>
    <n v="1"/>
    <x v="1"/>
    <n v="3"/>
    <s v="Married"/>
    <n v="2936"/>
    <n v="6161"/>
    <n v="3"/>
    <s v="Y"/>
    <s v="No"/>
    <n v="22"/>
    <n v="4"/>
    <n v="2"/>
    <n v="80"/>
    <n v="2"/>
    <n v="10"/>
    <n v="1"/>
    <n v="2"/>
    <n v="6"/>
    <n v="3"/>
    <x v="2"/>
    <n v="3"/>
    <s v="OK"/>
    <s v="OK"/>
    <s v="OK"/>
    <s v="OK"/>
    <n v="0.5"/>
    <n v="0.5"/>
    <n v="0.16666666666666666"/>
    <n v="0.5"/>
  </r>
  <r>
    <n v="47"/>
    <s v="No"/>
    <s v="Travel_Rarely"/>
    <n v="207"/>
    <s v="Research &amp; Development"/>
    <n v="9"/>
    <n v="4"/>
    <s v="Life Sciences"/>
    <n v="1"/>
    <n v="1856"/>
    <n v="2"/>
    <s v="Female"/>
    <n v="64"/>
    <n v="3"/>
    <n v="1"/>
    <x v="2"/>
    <n v="3"/>
    <s v="Single"/>
    <n v="2105"/>
    <n v="5411"/>
    <n v="4"/>
    <s v="Y"/>
    <s v="No"/>
    <n v="12"/>
    <n v="3"/>
    <n v="3"/>
    <n v="80"/>
    <n v="0"/>
    <n v="7"/>
    <n v="2"/>
    <n v="3"/>
    <n v="2"/>
    <n v="2"/>
    <x v="3"/>
    <n v="0"/>
    <s v="OK"/>
    <s v="OK"/>
    <s v="OK"/>
    <s v="OK"/>
    <n v="1"/>
    <n v="1"/>
    <n v="1"/>
    <n v="0"/>
  </r>
  <r>
    <n v="46"/>
    <s v="No"/>
    <s v="Travel_Rarely"/>
    <n v="706"/>
    <s v="Research &amp; Development"/>
    <n v="2"/>
    <n v="2"/>
    <s v="Life Sciences"/>
    <n v="1"/>
    <n v="1857"/>
    <n v="4"/>
    <s v="Male"/>
    <n v="82"/>
    <n v="3"/>
    <n v="3"/>
    <x v="3"/>
    <n v="4"/>
    <s v="Divorced"/>
    <n v="8578"/>
    <n v="19989"/>
    <n v="3"/>
    <s v="Y"/>
    <s v="No"/>
    <n v="14"/>
    <n v="3"/>
    <n v="3"/>
    <n v="80"/>
    <n v="1"/>
    <n v="12"/>
    <n v="4"/>
    <n v="2"/>
    <n v="9"/>
    <n v="8"/>
    <x v="5"/>
    <n v="7"/>
    <s v="OK"/>
    <s v="OK"/>
    <s v="OK"/>
    <s v="OK"/>
    <n v="0.44444444444444442"/>
    <n v="0.88888888888888884"/>
    <n v="0.44444444444444442"/>
    <n v="0.77777777777777779"/>
  </r>
  <r>
    <n v="28"/>
    <s v="No"/>
    <s v="Non-Travel"/>
    <n v="280"/>
    <s v="Human Resources"/>
    <n v="1"/>
    <n v="2"/>
    <s v="Life Sciences"/>
    <n v="1"/>
    <n v="1858"/>
    <n v="3"/>
    <s v="Male"/>
    <n v="43"/>
    <n v="3"/>
    <n v="1"/>
    <x v="8"/>
    <n v="4"/>
    <s v="Divorced"/>
    <n v="2706"/>
    <n v="10494"/>
    <n v="1"/>
    <s v="Y"/>
    <s v="No"/>
    <n v="15"/>
    <n v="3"/>
    <n v="2"/>
    <n v="80"/>
    <n v="1"/>
    <n v="3"/>
    <n v="2"/>
    <n v="3"/>
    <n v="3"/>
    <n v="2"/>
    <x v="3"/>
    <n v="2"/>
    <s v="OK"/>
    <s v="OK"/>
    <s v="OK"/>
    <s v="OK"/>
    <n v="0.66666666666666663"/>
    <n v="0.66666666666666663"/>
    <n v="0.66666666666666663"/>
    <n v="0.66666666666666663"/>
  </r>
  <r>
    <n v="29"/>
    <s v="No"/>
    <s v="Travel_Rarely"/>
    <n v="726"/>
    <s v="Research &amp; Development"/>
    <n v="29"/>
    <n v="1"/>
    <s v="Life Sciences"/>
    <n v="1"/>
    <n v="1859"/>
    <n v="4"/>
    <s v="Male"/>
    <n v="93"/>
    <n v="1"/>
    <n v="2"/>
    <x v="4"/>
    <n v="3"/>
    <s v="Divorced"/>
    <n v="6384"/>
    <n v="21143"/>
    <n v="8"/>
    <s v="Y"/>
    <s v="No"/>
    <n v="17"/>
    <n v="3"/>
    <n v="4"/>
    <n v="80"/>
    <n v="2"/>
    <n v="11"/>
    <n v="3"/>
    <n v="3"/>
    <n v="7"/>
    <n v="0"/>
    <x v="1"/>
    <n v="6"/>
    <s v="OK"/>
    <s v="OK"/>
    <s v="OK"/>
    <s v="OK"/>
    <n v="0.14285714285714285"/>
    <n v="0"/>
    <n v="0.42857142857142855"/>
    <n v="0.8571428571428571"/>
  </r>
  <r>
    <n v="42"/>
    <s v="No"/>
    <s v="Travel_Rarely"/>
    <n v="1142"/>
    <s v="Research &amp; Development"/>
    <n v="8"/>
    <n v="3"/>
    <s v="Life Sciences"/>
    <n v="1"/>
    <n v="1860"/>
    <n v="4"/>
    <s v="Male"/>
    <n v="81"/>
    <n v="3"/>
    <n v="1"/>
    <x v="2"/>
    <n v="3"/>
    <s v="Single"/>
    <n v="3968"/>
    <n v="13624"/>
    <n v="4"/>
    <s v="Y"/>
    <s v="No"/>
    <n v="13"/>
    <n v="3"/>
    <n v="4"/>
    <n v="80"/>
    <n v="0"/>
    <n v="8"/>
    <n v="3"/>
    <n v="3"/>
    <n v="0"/>
    <n v="0"/>
    <x v="0"/>
    <n v="0"/>
    <s v="OK"/>
    <s v="OK"/>
    <s v="OK"/>
    <s v="OK"/>
    <n v="0"/>
    <n v="0"/>
    <n v="0"/>
    <n v="0"/>
  </r>
  <r>
    <n v="32"/>
    <s v="Yes"/>
    <s v="Travel_Rarely"/>
    <n v="414"/>
    <s v="Sales"/>
    <n v="2"/>
    <n v="4"/>
    <s v="Marketing"/>
    <n v="1"/>
    <n v="1862"/>
    <n v="3"/>
    <s v="Male"/>
    <n v="82"/>
    <n v="2"/>
    <n v="2"/>
    <x v="0"/>
    <n v="2"/>
    <s v="Single"/>
    <n v="9907"/>
    <n v="26186"/>
    <n v="7"/>
    <s v="Y"/>
    <s v="Yes"/>
    <n v="12"/>
    <n v="3"/>
    <n v="3"/>
    <n v="80"/>
    <n v="0"/>
    <n v="7"/>
    <n v="3"/>
    <n v="2"/>
    <n v="2"/>
    <n v="2"/>
    <x v="3"/>
    <n v="2"/>
    <s v="OK"/>
    <s v="OK"/>
    <s v="OK"/>
    <s v="OK"/>
    <n v="1"/>
    <n v="1"/>
    <n v="1.5"/>
    <n v="1"/>
  </r>
  <r>
    <n v="46"/>
    <s v="No"/>
    <s v="Travel_Rarely"/>
    <n v="1319"/>
    <s v="Sales"/>
    <n v="3"/>
    <n v="3"/>
    <s v="Technical Degree"/>
    <n v="1"/>
    <n v="1863"/>
    <n v="1"/>
    <s v="Female"/>
    <n v="45"/>
    <n v="4"/>
    <n v="4"/>
    <x v="0"/>
    <n v="1"/>
    <s v="Divorced"/>
    <n v="13225"/>
    <n v="7739"/>
    <n v="2"/>
    <s v="Y"/>
    <s v="No"/>
    <n v="12"/>
    <n v="3"/>
    <n v="4"/>
    <n v="80"/>
    <n v="1"/>
    <n v="25"/>
    <n v="5"/>
    <n v="3"/>
    <n v="19"/>
    <n v="17"/>
    <x v="3"/>
    <n v="8"/>
    <s v="OK"/>
    <s v="OK"/>
    <s v="OK"/>
    <s v="OK"/>
    <n v="0.10526315789473684"/>
    <n v="0.89473684210526316"/>
    <n v="0.26315789473684209"/>
    <n v="0.42105263157894735"/>
  </r>
  <r>
    <n v="27"/>
    <s v="No"/>
    <s v="Travel_Rarely"/>
    <n v="728"/>
    <s v="Sales"/>
    <n v="23"/>
    <n v="1"/>
    <s v="Medical"/>
    <n v="1"/>
    <n v="1864"/>
    <n v="2"/>
    <s v="Female"/>
    <n v="36"/>
    <n v="2"/>
    <n v="2"/>
    <x v="6"/>
    <n v="3"/>
    <s v="Married"/>
    <n v="3540"/>
    <n v="7018"/>
    <n v="1"/>
    <s v="Y"/>
    <s v="No"/>
    <n v="21"/>
    <n v="4"/>
    <n v="4"/>
    <n v="80"/>
    <n v="1"/>
    <n v="9"/>
    <n v="5"/>
    <n v="3"/>
    <n v="9"/>
    <n v="8"/>
    <x v="8"/>
    <n v="8"/>
    <s v="OK"/>
    <s v="OK"/>
    <s v="OK"/>
    <s v="OK"/>
    <n v="0.55555555555555558"/>
    <n v="0.88888888888888884"/>
    <n v="0.55555555555555558"/>
    <n v="0.88888888888888884"/>
  </r>
  <r>
    <n v="29"/>
    <s v="No"/>
    <s v="Travel_Rarely"/>
    <n v="352"/>
    <s v="Human Resources"/>
    <n v="6"/>
    <n v="1"/>
    <s v="Medical"/>
    <n v="1"/>
    <n v="1865"/>
    <n v="4"/>
    <s v="Male"/>
    <n v="87"/>
    <n v="2"/>
    <n v="1"/>
    <x v="8"/>
    <n v="2"/>
    <s v="Married"/>
    <n v="2804"/>
    <n v="15434"/>
    <n v="1"/>
    <s v="Y"/>
    <s v="No"/>
    <n v="11"/>
    <n v="3"/>
    <n v="4"/>
    <n v="80"/>
    <n v="0"/>
    <n v="1"/>
    <n v="3"/>
    <n v="3"/>
    <n v="1"/>
    <n v="0"/>
    <x v="0"/>
    <n v="0"/>
    <s v="OK"/>
    <s v="OK"/>
    <s v="OK"/>
    <s v="OK"/>
    <n v="0"/>
    <n v="0"/>
    <n v="3"/>
    <n v="0"/>
  </r>
  <r>
    <n v="43"/>
    <s v="No"/>
    <s v="Travel_Rarely"/>
    <n v="823"/>
    <s v="Research &amp; Development"/>
    <n v="6"/>
    <n v="3"/>
    <s v="Medical"/>
    <n v="1"/>
    <n v="1866"/>
    <n v="1"/>
    <s v="Female"/>
    <n v="81"/>
    <n v="2"/>
    <n v="5"/>
    <x v="5"/>
    <n v="3"/>
    <s v="Married"/>
    <n v="19392"/>
    <n v="22539"/>
    <n v="7"/>
    <s v="Y"/>
    <s v="No"/>
    <n v="13"/>
    <n v="3"/>
    <n v="4"/>
    <n v="80"/>
    <n v="0"/>
    <n v="21"/>
    <n v="2"/>
    <n v="3"/>
    <n v="16"/>
    <n v="12"/>
    <x v="7"/>
    <n v="14"/>
    <s v="OK"/>
    <s v="OK"/>
    <s v="OK"/>
    <s v="OK"/>
    <n v="0.375"/>
    <n v="0.75"/>
    <n v="0.125"/>
    <n v="0.875"/>
  </r>
  <r>
    <n v="48"/>
    <s v="No"/>
    <s v="Travel_Rarely"/>
    <n v="1224"/>
    <s v="Research &amp; Development"/>
    <n v="10"/>
    <n v="3"/>
    <s v="Life Sciences"/>
    <n v="1"/>
    <n v="1867"/>
    <n v="4"/>
    <s v="Male"/>
    <n v="91"/>
    <n v="2"/>
    <n v="5"/>
    <x v="7"/>
    <n v="2"/>
    <s v="Married"/>
    <n v="19665"/>
    <n v="13583"/>
    <n v="4"/>
    <s v="Y"/>
    <s v="No"/>
    <n v="12"/>
    <n v="3"/>
    <n v="4"/>
    <n v="80"/>
    <n v="0"/>
    <n v="29"/>
    <n v="3"/>
    <n v="3"/>
    <n v="22"/>
    <n v="10"/>
    <x v="12"/>
    <n v="9"/>
    <s v="OK"/>
    <s v="OK"/>
    <s v="OK"/>
    <s v="OK"/>
    <n v="0.54545454545454541"/>
    <n v="0.45454545454545453"/>
    <n v="0.13636363636363635"/>
    <n v="0.40909090909090912"/>
  </r>
  <r>
    <n v="29"/>
    <s v="Yes"/>
    <s v="Travel_Frequently"/>
    <n v="459"/>
    <s v="Research &amp; Development"/>
    <n v="24"/>
    <n v="2"/>
    <s v="Life Sciences"/>
    <n v="1"/>
    <n v="1868"/>
    <n v="4"/>
    <s v="Male"/>
    <n v="73"/>
    <n v="2"/>
    <n v="1"/>
    <x v="1"/>
    <n v="4"/>
    <s v="Single"/>
    <n v="2439"/>
    <n v="14753"/>
    <n v="1"/>
    <s v="Y"/>
    <s v="Yes"/>
    <n v="24"/>
    <n v="4"/>
    <n v="2"/>
    <n v="80"/>
    <n v="0"/>
    <n v="1"/>
    <n v="3"/>
    <n v="2"/>
    <n v="1"/>
    <n v="0"/>
    <x v="1"/>
    <n v="0"/>
    <s v="OK"/>
    <s v="OK"/>
    <s v="OK"/>
    <s v="OK"/>
    <n v="1"/>
    <n v="0"/>
    <n v="3"/>
    <n v="0"/>
  </r>
  <r>
    <n v="46"/>
    <s v="Yes"/>
    <s v="Travel_Rarely"/>
    <n v="1254"/>
    <s v="Sales"/>
    <n v="10"/>
    <n v="3"/>
    <s v="Life Sciences"/>
    <n v="1"/>
    <n v="1869"/>
    <n v="3"/>
    <s v="Female"/>
    <n v="64"/>
    <n v="3"/>
    <n v="3"/>
    <x v="0"/>
    <n v="2"/>
    <s v="Married"/>
    <n v="7314"/>
    <n v="14011"/>
    <n v="5"/>
    <s v="Y"/>
    <s v="No"/>
    <n v="21"/>
    <n v="4"/>
    <n v="3"/>
    <n v="80"/>
    <n v="3"/>
    <n v="14"/>
    <n v="2"/>
    <n v="3"/>
    <n v="8"/>
    <n v="7"/>
    <x v="0"/>
    <n v="7"/>
    <s v="OK"/>
    <s v="OK"/>
    <s v="OK"/>
    <s v="OK"/>
    <n v="0"/>
    <n v="0.875"/>
    <n v="0.25"/>
    <n v="0.875"/>
  </r>
  <r>
    <n v="27"/>
    <s v="No"/>
    <s v="Travel_Frequently"/>
    <n v="1131"/>
    <s v="Research &amp; Development"/>
    <n v="15"/>
    <n v="3"/>
    <s v="Life Sciences"/>
    <n v="1"/>
    <n v="1870"/>
    <n v="4"/>
    <s v="Female"/>
    <n v="77"/>
    <n v="2"/>
    <n v="1"/>
    <x v="1"/>
    <n v="1"/>
    <s v="Married"/>
    <n v="4774"/>
    <n v="23844"/>
    <n v="0"/>
    <s v="Y"/>
    <s v="No"/>
    <n v="19"/>
    <n v="3"/>
    <n v="4"/>
    <n v="80"/>
    <n v="1"/>
    <n v="8"/>
    <n v="2"/>
    <n v="2"/>
    <n v="7"/>
    <n v="6"/>
    <x v="4"/>
    <n v="3"/>
    <s v="OK"/>
    <s v="OK"/>
    <s v="OK"/>
    <s v="OK"/>
    <n v="1"/>
    <n v="0.8571428571428571"/>
    <n v="0.2857142857142857"/>
    <n v="0.42857142857142855"/>
  </r>
  <r>
    <n v="39"/>
    <s v="No"/>
    <s v="Travel_Rarely"/>
    <n v="835"/>
    <s v="Research &amp; Development"/>
    <n v="19"/>
    <n v="4"/>
    <s v="Other"/>
    <n v="1"/>
    <n v="1871"/>
    <n v="4"/>
    <s v="Male"/>
    <n v="41"/>
    <n v="3"/>
    <n v="2"/>
    <x v="1"/>
    <n v="4"/>
    <s v="Divorced"/>
    <n v="3902"/>
    <n v="5141"/>
    <n v="8"/>
    <s v="Y"/>
    <s v="No"/>
    <n v="14"/>
    <n v="3"/>
    <n v="2"/>
    <n v="80"/>
    <n v="3"/>
    <n v="7"/>
    <n v="2"/>
    <n v="3"/>
    <n v="2"/>
    <n v="2"/>
    <x v="3"/>
    <n v="2"/>
    <s v="OK"/>
    <s v="OK"/>
    <s v="OK"/>
    <s v="OK"/>
    <n v="1"/>
    <n v="1"/>
    <n v="1"/>
    <n v="1"/>
  </r>
  <r>
    <n v="55"/>
    <s v="No"/>
    <s v="Travel_Rarely"/>
    <n v="836"/>
    <s v="Research &amp; Development"/>
    <n v="2"/>
    <n v="4"/>
    <s v="Technical Degree"/>
    <n v="1"/>
    <n v="1873"/>
    <n v="2"/>
    <s v="Male"/>
    <n v="98"/>
    <n v="2"/>
    <n v="1"/>
    <x v="1"/>
    <n v="4"/>
    <s v="Married"/>
    <n v="2662"/>
    <n v="7975"/>
    <n v="8"/>
    <s v="Y"/>
    <s v="No"/>
    <n v="20"/>
    <n v="4"/>
    <n v="2"/>
    <n v="80"/>
    <n v="1"/>
    <n v="19"/>
    <n v="2"/>
    <n v="4"/>
    <n v="5"/>
    <n v="2"/>
    <x v="0"/>
    <n v="4"/>
    <s v="OK"/>
    <s v="OK"/>
    <s v="OK"/>
    <s v="OK"/>
    <n v="0"/>
    <n v="0.4"/>
    <n v="0.4"/>
    <n v="0.8"/>
  </r>
  <r>
    <n v="28"/>
    <s v="No"/>
    <s v="Travel_Rarely"/>
    <n v="1172"/>
    <s v="Sales"/>
    <n v="3"/>
    <n v="3"/>
    <s v="Medical"/>
    <n v="1"/>
    <n v="1875"/>
    <n v="2"/>
    <s v="Female"/>
    <n v="78"/>
    <n v="3"/>
    <n v="1"/>
    <x v="6"/>
    <n v="2"/>
    <s v="Married"/>
    <n v="2856"/>
    <n v="3692"/>
    <n v="1"/>
    <s v="Y"/>
    <s v="No"/>
    <n v="19"/>
    <n v="3"/>
    <n v="4"/>
    <n v="80"/>
    <n v="1"/>
    <n v="1"/>
    <n v="3"/>
    <n v="3"/>
    <n v="1"/>
    <n v="0"/>
    <x v="0"/>
    <n v="0"/>
    <s v="OK"/>
    <s v="OK"/>
    <s v="OK"/>
    <s v="OK"/>
    <n v="0"/>
    <n v="0"/>
    <n v="3"/>
    <n v="0"/>
  </r>
  <r>
    <n v="30"/>
    <s v="Yes"/>
    <s v="Travel_Rarely"/>
    <n v="945"/>
    <s v="Sales"/>
    <n v="9"/>
    <n v="3"/>
    <s v="Medical"/>
    <n v="1"/>
    <n v="1876"/>
    <n v="2"/>
    <s v="Male"/>
    <n v="89"/>
    <n v="3"/>
    <n v="1"/>
    <x v="6"/>
    <n v="4"/>
    <s v="Single"/>
    <n v="1081"/>
    <n v="16019"/>
    <n v="1"/>
    <s v="Y"/>
    <s v="No"/>
    <n v="13"/>
    <n v="3"/>
    <n v="3"/>
    <n v="80"/>
    <n v="0"/>
    <n v="1"/>
    <n v="3"/>
    <n v="2"/>
    <n v="1"/>
    <n v="0"/>
    <x v="0"/>
    <n v="0"/>
    <s v="OK"/>
    <s v="OK"/>
    <s v="OK"/>
    <s v="OK"/>
    <n v="0"/>
    <n v="0"/>
    <n v="3"/>
    <n v="0"/>
  </r>
  <r>
    <n v="22"/>
    <s v="Yes"/>
    <s v="Travel_Rarely"/>
    <n v="391"/>
    <s v="Research &amp; Development"/>
    <n v="7"/>
    <n v="1"/>
    <s v="Life Sciences"/>
    <n v="1"/>
    <n v="1878"/>
    <n v="4"/>
    <s v="Male"/>
    <n v="75"/>
    <n v="3"/>
    <n v="1"/>
    <x v="1"/>
    <n v="2"/>
    <s v="Single"/>
    <n v="2472"/>
    <n v="26092"/>
    <n v="1"/>
    <s v="Y"/>
    <s v="Yes"/>
    <n v="23"/>
    <n v="4"/>
    <n v="1"/>
    <n v="80"/>
    <n v="0"/>
    <n v="1"/>
    <n v="2"/>
    <n v="3"/>
    <n v="1"/>
    <n v="0"/>
    <x v="0"/>
    <n v="0"/>
    <s v="OK"/>
    <s v="OK"/>
    <s v="OK"/>
    <s v="OK"/>
    <n v="0"/>
    <n v="0"/>
    <n v="2"/>
    <n v="0"/>
  </r>
  <r>
    <n v="36"/>
    <s v="No"/>
    <s v="Travel_Rarely"/>
    <n v="1266"/>
    <s v="Sales"/>
    <n v="10"/>
    <n v="4"/>
    <s v="Technical Degree"/>
    <n v="1"/>
    <n v="1880"/>
    <n v="2"/>
    <s v="Female"/>
    <n v="63"/>
    <n v="2"/>
    <n v="2"/>
    <x v="0"/>
    <n v="3"/>
    <s v="Married"/>
    <n v="5673"/>
    <n v="6060"/>
    <n v="1"/>
    <s v="Y"/>
    <s v="Yes"/>
    <n v="13"/>
    <n v="3"/>
    <n v="1"/>
    <n v="80"/>
    <n v="1"/>
    <n v="10"/>
    <n v="4"/>
    <n v="3"/>
    <n v="10"/>
    <n v="9"/>
    <x v="1"/>
    <n v="7"/>
    <s v="OK"/>
    <s v="OK"/>
    <s v="OK"/>
    <s v="OK"/>
    <n v="0.1"/>
    <n v="0.9"/>
    <n v="0.4"/>
    <n v="0.7"/>
  </r>
  <r>
    <n v="31"/>
    <s v="No"/>
    <s v="Travel_Rarely"/>
    <n v="311"/>
    <s v="Research &amp; Development"/>
    <n v="20"/>
    <n v="3"/>
    <s v="Life Sciences"/>
    <n v="1"/>
    <n v="1881"/>
    <n v="2"/>
    <s v="Male"/>
    <n v="89"/>
    <n v="3"/>
    <n v="2"/>
    <x v="2"/>
    <n v="3"/>
    <s v="Divorced"/>
    <n v="4197"/>
    <n v="18624"/>
    <n v="1"/>
    <s v="Y"/>
    <s v="No"/>
    <n v="11"/>
    <n v="3"/>
    <n v="1"/>
    <n v="80"/>
    <n v="1"/>
    <n v="10"/>
    <n v="2"/>
    <n v="3"/>
    <n v="10"/>
    <n v="8"/>
    <x v="0"/>
    <n v="2"/>
    <s v="OK"/>
    <s v="OK"/>
    <s v="OK"/>
    <s v="OK"/>
    <n v="0"/>
    <n v="0.8"/>
    <n v="0.2"/>
    <n v="0.2"/>
  </r>
  <r>
    <n v="34"/>
    <s v="No"/>
    <s v="Travel_Rarely"/>
    <n v="1480"/>
    <s v="Sales"/>
    <n v="4"/>
    <n v="3"/>
    <s v="Life Sciences"/>
    <n v="1"/>
    <n v="1882"/>
    <n v="3"/>
    <s v="Male"/>
    <n v="64"/>
    <n v="3"/>
    <n v="3"/>
    <x v="0"/>
    <n v="4"/>
    <s v="Married"/>
    <n v="9713"/>
    <n v="24444"/>
    <n v="2"/>
    <s v="Y"/>
    <s v="Yes"/>
    <n v="13"/>
    <n v="3"/>
    <n v="4"/>
    <n v="80"/>
    <n v="3"/>
    <n v="9"/>
    <n v="3"/>
    <n v="3"/>
    <n v="5"/>
    <n v="3"/>
    <x v="1"/>
    <n v="0"/>
    <s v="OK"/>
    <s v="OK"/>
    <s v="OK"/>
    <s v="OK"/>
    <n v="0.2"/>
    <n v="0.6"/>
    <n v="0.6"/>
    <n v="0"/>
  </r>
  <r>
    <n v="29"/>
    <s v="No"/>
    <s v="Travel_Rarely"/>
    <n v="592"/>
    <s v="Research &amp; Development"/>
    <n v="7"/>
    <n v="3"/>
    <s v="Life Sciences"/>
    <n v="1"/>
    <n v="1883"/>
    <n v="4"/>
    <s v="Male"/>
    <n v="59"/>
    <n v="3"/>
    <n v="1"/>
    <x v="2"/>
    <n v="1"/>
    <s v="Single"/>
    <n v="2062"/>
    <n v="19384"/>
    <n v="3"/>
    <s v="Y"/>
    <s v="No"/>
    <n v="14"/>
    <n v="3"/>
    <n v="2"/>
    <n v="80"/>
    <n v="0"/>
    <n v="11"/>
    <n v="2"/>
    <n v="3"/>
    <n v="3"/>
    <n v="2"/>
    <x v="1"/>
    <n v="2"/>
    <s v="OK"/>
    <s v="OK"/>
    <s v="OK"/>
    <s v="OK"/>
    <n v="0.33333333333333331"/>
    <n v="0.66666666666666663"/>
    <n v="0.66666666666666663"/>
    <n v="0.66666666666666663"/>
  </r>
  <r>
    <n v="37"/>
    <s v="No"/>
    <s v="Travel_Rarely"/>
    <n v="783"/>
    <s v="Research &amp; Development"/>
    <n v="7"/>
    <n v="4"/>
    <s v="Medical"/>
    <n v="1"/>
    <n v="1885"/>
    <n v="4"/>
    <s v="Male"/>
    <n v="78"/>
    <n v="3"/>
    <n v="2"/>
    <x v="1"/>
    <n v="1"/>
    <s v="Married"/>
    <n v="4284"/>
    <n v="13588"/>
    <n v="5"/>
    <s v="Y"/>
    <s v="Yes"/>
    <n v="22"/>
    <n v="4"/>
    <n v="3"/>
    <n v="80"/>
    <n v="1"/>
    <n v="16"/>
    <n v="2"/>
    <n v="3"/>
    <n v="5"/>
    <n v="3"/>
    <x v="0"/>
    <n v="4"/>
    <s v="OK"/>
    <s v="OK"/>
    <s v="OK"/>
    <s v="OK"/>
    <n v="0"/>
    <n v="0.6"/>
    <n v="0.4"/>
    <n v="0.8"/>
  </r>
  <r>
    <n v="35"/>
    <s v="No"/>
    <s v="Travel_Rarely"/>
    <n v="219"/>
    <s v="Research &amp; Development"/>
    <n v="16"/>
    <n v="2"/>
    <s v="Other"/>
    <n v="1"/>
    <n v="1886"/>
    <n v="4"/>
    <s v="Female"/>
    <n v="44"/>
    <n v="2"/>
    <n v="2"/>
    <x v="3"/>
    <n v="2"/>
    <s v="Married"/>
    <n v="4788"/>
    <n v="25388"/>
    <n v="0"/>
    <s v="Y"/>
    <s v="Yes"/>
    <n v="11"/>
    <n v="3"/>
    <n v="4"/>
    <n v="80"/>
    <n v="0"/>
    <n v="4"/>
    <n v="2"/>
    <n v="3"/>
    <n v="3"/>
    <n v="2"/>
    <x v="0"/>
    <n v="2"/>
    <s v="OK"/>
    <s v="OK"/>
    <s v="OK"/>
    <s v="OK"/>
    <n v="0"/>
    <n v="0.66666666666666663"/>
    <n v="0.66666666666666663"/>
    <n v="0.66666666666666663"/>
  </r>
  <r>
    <n v="45"/>
    <s v="No"/>
    <s v="Travel_Rarely"/>
    <n v="556"/>
    <s v="Research &amp; Development"/>
    <n v="25"/>
    <n v="2"/>
    <s v="Life Sciences"/>
    <n v="1"/>
    <n v="1888"/>
    <n v="2"/>
    <s v="Female"/>
    <n v="93"/>
    <n v="2"/>
    <n v="2"/>
    <x v="3"/>
    <n v="4"/>
    <s v="Married"/>
    <n v="5906"/>
    <n v="23888"/>
    <n v="0"/>
    <s v="Y"/>
    <s v="No"/>
    <n v="13"/>
    <n v="3"/>
    <n v="4"/>
    <n v="80"/>
    <n v="2"/>
    <n v="10"/>
    <n v="2"/>
    <n v="2"/>
    <n v="9"/>
    <n v="8"/>
    <x v="2"/>
    <n v="8"/>
    <s v="OK"/>
    <s v="OK"/>
    <s v="OK"/>
    <s v="OK"/>
    <n v="0.33333333333333331"/>
    <n v="0.88888888888888884"/>
    <n v="0.22222222222222221"/>
    <n v="0.88888888888888884"/>
  </r>
  <r>
    <n v="36"/>
    <s v="No"/>
    <s v="Travel_Frequently"/>
    <n v="1213"/>
    <s v="Human Resources"/>
    <n v="2"/>
    <n v="1"/>
    <s v="Human Resources"/>
    <n v="1"/>
    <n v="1890"/>
    <n v="2"/>
    <s v="Male"/>
    <n v="94"/>
    <n v="2"/>
    <n v="2"/>
    <x v="8"/>
    <n v="4"/>
    <s v="Single"/>
    <n v="3886"/>
    <n v="4223"/>
    <n v="1"/>
    <s v="Y"/>
    <s v="No"/>
    <n v="21"/>
    <n v="4"/>
    <n v="4"/>
    <n v="80"/>
    <n v="0"/>
    <n v="10"/>
    <n v="2"/>
    <n v="2"/>
    <n v="10"/>
    <n v="1"/>
    <x v="0"/>
    <n v="8"/>
    <s v="OK"/>
    <s v="OK"/>
    <s v="OK"/>
    <s v="OK"/>
    <n v="0"/>
    <n v="0.1"/>
    <n v="0.2"/>
    <n v="0.8"/>
  </r>
  <r>
    <n v="40"/>
    <s v="No"/>
    <s v="Travel_Rarely"/>
    <n v="1137"/>
    <s v="Research &amp; Development"/>
    <n v="1"/>
    <n v="4"/>
    <s v="Life Sciences"/>
    <n v="1"/>
    <n v="1892"/>
    <n v="1"/>
    <s v="Male"/>
    <n v="98"/>
    <n v="3"/>
    <n v="4"/>
    <x v="5"/>
    <n v="1"/>
    <s v="Divorced"/>
    <n v="16823"/>
    <n v="18991"/>
    <n v="2"/>
    <s v="Y"/>
    <s v="No"/>
    <n v="11"/>
    <n v="3"/>
    <n v="1"/>
    <n v="80"/>
    <n v="1"/>
    <n v="22"/>
    <n v="3"/>
    <n v="3"/>
    <n v="19"/>
    <n v="7"/>
    <x v="14"/>
    <n v="16"/>
    <s v="OK"/>
    <s v="OK"/>
    <s v="OK"/>
    <s v="OK"/>
    <n v="0.57894736842105265"/>
    <n v="0.36842105263157893"/>
    <n v="0.15789473684210525"/>
    <n v="0.84210526315789469"/>
  </r>
  <r>
    <n v="26"/>
    <s v="No"/>
    <s v="Travel_Rarely"/>
    <n v="482"/>
    <s v="Research &amp; Development"/>
    <n v="1"/>
    <n v="2"/>
    <s v="Life Sciences"/>
    <n v="1"/>
    <n v="1893"/>
    <n v="2"/>
    <s v="Female"/>
    <n v="90"/>
    <n v="2"/>
    <n v="1"/>
    <x v="1"/>
    <n v="3"/>
    <s v="Married"/>
    <n v="2933"/>
    <n v="14908"/>
    <n v="1"/>
    <s v="Y"/>
    <s v="Yes"/>
    <n v="13"/>
    <n v="3"/>
    <n v="3"/>
    <n v="80"/>
    <n v="1"/>
    <n v="1"/>
    <n v="3"/>
    <n v="2"/>
    <n v="1"/>
    <n v="0"/>
    <x v="1"/>
    <n v="0"/>
    <s v="OK"/>
    <s v="OK"/>
    <s v="OK"/>
    <s v="OK"/>
    <n v="1"/>
    <n v="0"/>
    <n v="3"/>
    <n v="0"/>
  </r>
  <r>
    <n v="27"/>
    <s v="No"/>
    <s v="Travel_Rarely"/>
    <n v="511"/>
    <s v="Sales"/>
    <n v="2"/>
    <n v="2"/>
    <s v="Medical"/>
    <n v="1"/>
    <n v="1898"/>
    <n v="1"/>
    <s v="Female"/>
    <n v="89"/>
    <n v="4"/>
    <n v="2"/>
    <x v="0"/>
    <n v="3"/>
    <s v="Single"/>
    <n v="6500"/>
    <n v="26997"/>
    <n v="0"/>
    <s v="Y"/>
    <s v="No"/>
    <n v="14"/>
    <n v="3"/>
    <n v="2"/>
    <n v="80"/>
    <n v="0"/>
    <n v="9"/>
    <n v="5"/>
    <n v="2"/>
    <n v="8"/>
    <n v="7"/>
    <x v="0"/>
    <n v="7"/>
    <s v="OK"/>
    <s v="OK"/>
    <s v="OK"/>
    <s v="OK"/>
    <n v="0"/>
    <n v="0.875"/>
    <n v="0.625"/>
    <n v="0.875"/>
  </r>
  <r>
    <n v="48"/>
    <s v="No"/>
    <s v="Travel_Frequently"/>
    <n v="117"/>
    <s v="Research &amp; Development"/>
    <n v="22"/>
    <n v="3"/>
    <s v="Medical"/>
    <n v="1"/>
    <n v="1900"/>
    <n v="4"/>
    <s v="Female"/>
    <n v="58"/>
    <n v="3"/>
    <n v="4"/>
    <x v="5"/>
    <n v="4"/>
    <s v="Divorced"/>
    <n v="17174"/>
    <n v="2437"/>
    <n v="3"/>
    <s v="Y"/>
    <s v="No"/>
    <n v="11"/>
    <n v="3"/>
    <n v="2"/>
    <n v="80"/>
    <n v="1"/>
    <n v="24"/>
    <n v="3"/>
    <n v="3"/>
    <n v="22"/>
    <n v="17"/>
    <x v="5"/>
    <n v="7"/>
    <s v="OK"/>
    <s v="OK"/>
    <s v="OK"/>
    <s v="OK"/>
    <n v="0.18181818181818182"/>
    <n v="0.77272727272727271"/>
    <n v="0.13636363636363635"/>
    <n v="0.31818181818181818"/>
  </r>
  <r>
    <n v="44"/>
    <s v="No"/>
    <s v="Travel_Rarely"/>
    <n v="170"/>
    <s v="Research &amp; Development"/>
    <n v="1"/>
    <n v="4"/>
    <s v="Life Sciences"/>
    <n v="1"/>
    <n v="1903"/>
    <n v="2"/>
    <s v="Male"/>
    <n v="78"/>
    <n v="4"/>
    <n v="2"/>
    <x v="4"/>
    <n v="1"/>
    <s v="Married"/>
    <n v="5033"/>
    <n v="9364"/>
    <n v="2"/>
    <s v="Y"/>
    <s v="No"/>
    <n v="15"/>
    <n v="3"/>
    <n v="4"/>
    <n v="80"/>
    <n v="1"/>
    <n v="10"/>
    <n v="5"/>
    <n v="3"/>
    <n v="2"/>
    <n v="0"/>
    <x v="3"/>
    <n v="2"/>
    <s v="OK"/>
    <s v="OK"/>
    <s v="OK"/>
    <s v="OK"/>
    <n v="1"/>
    <n v="0"/>
    <n v="2.5"/>
    <n v="1"/>
  </r>
  <r>
    <n v="34"/>
    <s v="Yes"/>
    <s v="Non-Travel"/>
    <n v="967"/>
    <s v="Research &amp; Development"/>
    <n v="16"/>
    <n v="4"/>
    <s v="Technical Degree"/>
    <n v="1"/>
    <n v="1905"/>
    <n v="4"/>
    <s v="Male"/>
    <n v="85"/>
    <n v="1"/>
    <n v="1"/>
    <x v="1"/>
    <n v="1"/>
    <s v="Married"/>
    <n v="2307"/>
    <n v="14460"/>
    <n v="1"/>
    <s v="Y"/>
    <s v="Yes"/>
    <n v="23"/>
    <n v="4"/>
    <n v="2"/>
    <n v="80"/>
    <n v="1"/>
    <n v="5"/>
    <n v="2"/>
    <n v="3"/>
    <n v="5"/>
    <n v="2"/>
    <x v="2"/>
    <n v="0"/>
    <s v="OK"/>
    <s v="OK"/>
    <s v="OK"/>
    <s v="OK"/>
    <n v="0.6"/>
    <n v="0.4"/>
    <n v="0.4"/>
    <n v="0"/>
  </r>
  <r>
    <n v="56"/>
    <s v="Yes"/>
    <s v="Travel_Rarely"/>
    <n v="1162"/>
    <s v="Research &amp; Development"/>
    <n v="24"/>
    <n v="2"/>
    <s v="Life Sciences"/>
    <n v="1"/>
    <n v="1907"/>
    <n v="1"/>
    <s v="Male"/>
    <n v="97"/>
    <n v="3"/>
    <n v="1"/>
    <x v="2"/>
    <n v="4"/>
    <s v="Single"/>
    <n v="2587"/>
    <n v="10261"/>
    <n v="1"/>
    <s v="Y"/>
    <s v="No"/>
    <n v="16"/>
    <n v="3"/>
    <n v="4"/>
    <n v="80"/>
    <n v="0"/>
    <n v="5"/>
    <n v="3"/>
    <n v="3"/>
    <n v="4"/>
    <n v="2"/>
    <x v="1"/>
    <n v="0"/>
    <s v="OK"/>
    <s v="OK"/>
    <s v="OK"/>
    <s v="OK"/>
    <n v="0.25"/>
    <n v="0.5"/>
    <n v="0.75"/>
    <n v="0"/>
  </r>
  <r>
    <n v="36"/>
    <s v="No"/>
    <s v="Travel_Rarely"/>
    <n v="335"/>
    <s v="Sales"/>
    <n v="17"/>
    <n v="2"/>
    <s v="Marketing"/>
    <n v="1"/>
    <n v="1908"/>
    <n v="3"/>
    <s v="Male"/>
    <n v="33"/>
    <n v="2"/>
    <n v="2"/>
    <x v="0"/>
    <n v="2"/>
    <s v="Married"/>
    <n v="5507"/>
    <n v="16822"/>
    <n v="2"/>
    <s v="Y"/>
    <s v="No"/>
    <n v="16"/>
    <n v="3"/>
    <n v="3"/>
    <n v="80"/>
    <n v="2"/>
    <n v="12"/>
    <n v="1"/>
    <n v="1"/>
    <n v="4"/>
    <n v="2"/>
    <x v="1"/>
    <n v="3"/>
    <s v="OK"/>
    <s v="OK"/>
    <s v="OK"/>
    <s v="OK"/>
    <n v="0.25"/>
    <n v="0.5"/>
    <n v="0.25"/>
    <n v="0.75"/>
  </r>
  <r>
    <n v="41"/>
    <s v="No"/>
    <s v="Travel_Rarely"/>
    <n v="337"/>
    <s v="Sales"/>
    <n v="8"/>
    <n v="3"/>
    <s v="Marketing"/>
    <n v="1"/>
    <n v="1909"/>
    <n v="3"/>
    <s v="Female"/>
    <n v="54"/>
    <n v="3"/>
    <n v="2"/>
    <x v="0"/>
    <n v="2"/>
    <s v="Married"/>
    <n v="4393"/>
    <n v="26841"/>
    <n v="5"/>
    <s v="Y"/>
    <s v="No"/>
    <n v="21"/>
    <n v="4"/>
    <n v="3"/>
    <n v="80"/>
    <n v="1"/>
    <n v="14"/>
    <n v="3"/>
    <n v="3"/>
    <n v="5"/>
    <n v="4"/>
    <x v="1"/>
    <n v="4"/>
    <s v="OK"/>
    <s v="OK"/>
    <s v="OK"/>
    <s v="OK"/>
    <n v="0.2"/>
    <n v="0.8"/>
    <n v="0.6"/>
    <n v="0.8"/>
  </r>
  <r>
    <n v="42"/>
    <s v="No"/>
    <s v="Travel_Rarely"/>
    <n v="1396"/>
    <s v="Research &amp; Development"/>
    <n v="6"/>
    <n v="3"/>
    <s v="Medical"/>
    <n v="1"/>
    <n v="1911"/>
    <n v="3"/>
    <s v="Male"/>
    <n v="83"/>
    <n v="3"/>
    <n v="3"/>
    <x v="7"/>
    <n v="1"/>
    <s v="Married"/>
    <n v="13348"/>
    <n v="14842"/>
    <n v="9"/>
    <s v="Y"/>
    <s v="No"/>
    <n v="13"/>
    <n v="3"/>
    <n v="2"/>
    <n v="80"/>
    <n v="1"/>
    <n v="18"/>
    <n v="3"/>
    <n v="4"/>
    <n v="13"/>
    <n v="7"/>
    <x v="8"/>
    <n v="7"/>
    <s v="OK"/>
    <s v="OK"/>
    <s v="OK"/>
    <s v="OK"/>
    <n v="0.38461538461538464"/>
    <n v="0.53846153846153844"/>
    <n v="0.23076923076923078"/>
    <n v="0.53846153846153844"/>
  </r>
  <r>
    <n v="31"/>
    <s v="No"/>
    <s v="Travel_Rarely"/>
    <n v="1079"/>
    <s v="Sales"/>
    <n v="10"/>
    <n v="2"/>
    <s v="Medical"/>
    <n v="1"/>
    <n v="1912"/>
    <n v="3"/>
    <s v="Female"/>
    <n v="86"/>
    <n v="3"/>
    <n v="2"/>
    <x v="0"/>
    <n v="4"/>
    <s v="Divorced"/>
    <n v="6583"/>
    <n v="20115"/>
    <n v="2"/>
    <s v="Y"/>
    <s v="Yes"/>
    <n v="11"/>
    <n v="3"/>
    <n v="4"/>
    <n v="80"/>
    <n v="1"/>
    <n v="8"/>
    <n v="2"/>
    <n v="3"/>
    <n v="5"/>
    <n v="2"/>
    <x v="1"/>
    <n v="4"/>
    <s v="OK"/>
    <s v="OK"/>
    <s v="OK"/>
    <s v="OK"/>
    <n v="0.2"/>
    <n v="0.4"/>
    <n v="0.4"/>
    <n v="0.8"/>
  </r>
  <r>
    <n v="34"/>
    <s v="No"/>
    <s v="Travel_Rarely"/>
    <n v="735"/>
    <s v="Sales"/>
    <n v="3"/>
    <n v="1"/>
    <s v="Medical"/>
    <n v="1"/>
    <n v="1915"/>
    <n v="4"/>
    <s v="Female"/>
    <n v="75"/>
    <n v="2"/>
    <n v="2"/>
    <x v="0"/>
    <n v="4"/>
    <s v="Married"/>
    <n v="8103"/>
    <n v="16495"/>
    <n v="3"/>
    <s v="Y"/>
    <s v="Yes"/>
    <n v="12"/>
    <n v="3"/>
    <n v="3"/>
    <n v="80"/>
    <n v="0"/>
    <n v="9"/>
    <n v="3"/>
    <n v="2"/>
    <n v="4"/>
    <n v="2"/>
    <x v="0"/>
    <n v="1"/>
    <s v="OK"/>
    <s v="OK"/>
    <s v="OK"/>
    <s v="OK"/>
    <n v="0"/>
    <n v="0.5"/>
    <n v="0.75"/>
    <n v="0.25"/>
  </r>
  <r>
    <n v="31"/>
    <s v="No"/>
    <s v="Travel_Rarely"/>
    <n v="471"/>
    <s v="Research &amp; Development"/>
    <n v="4"/>
    <n v="3"/>
    <s v="Medical"/>
    <n v="1"/>
    <n v="1916"/>
    <n v="1"/>
    <s v="Female"/>
    <n v="62"/>
    <n v="4"/>
    <n v="1"/>
    <x v="2"/>
    <n v="3"/>
    <s v="Divorced"/>
    <n v="3978"/>
    <n v="16031"/>
    <n v="8"/>
    <s v="Y"/>
    <s v="No"/>
    <n v="12"/>
    <n v="3"/>
    <n v="2"/>
    <n v="80"/>
    <n v="1"/>
    <n v="4"/>
    <n v="0"/>
    <n v="2"/>
    <n v="2"/>
    <n v="2"/>
    <x v="3"/>
    <n v="2"/>
    <s v="OK"/>
    <s v="OK"/>
    <s v="OK"/>
    <s v="OK"/>
    <n v="1"/>
    <n v="1"/>
    <n v="0"/>
    <n v="1"/>
  </r>
  <r>
    <n v="26"/>
    <s v="No"/>
    <s v="Travel_Frequently"/>
    <n v="1096"/>
    <s v="Research &amp; Development"/>
    <n v="6"/>
    <n v="3"/>
    <s v="Other"/>
    <n v="1"/>
    <n v="1918"/>
    <n v="3"/>
    <s v="Male"/>
    <n v="61"/>
    <n v="4"/>
    <n v="1"/>
    <x v="2"/>
    <n v="4"/>
    <s v="Married"/>
    <n v="2544"/>
    <n v="7102"/>
    <n v="0"/>
    <s v="Y"/>
    <s v="No"/>
    <n v="18"/>
    <n v="3"/>
    <n v="1"/>
    <n v="80"/>
    <n v="1"/>
    <n v="8"/>
    <n v="3"/>
    <n v="3"/>
    <n v="7"/>
    <n v="7"/>
    <x v="4"/>
    <n v="7"/>
    <s v="OK"/>
    <s v="OK"/>
    <s v="OK"/>
    <s v="OK"/>
    <n v="1"/>
    <n v="1"/>
    <n v="0.42857142857142855"/>
    <n v="1"/>
  </r>
  <r>
    <n v="45"/>
    <s v="No"/>
    <s v="Travel_Frequently"/>
    <n v="1297"/>
    <s v="Research &amp; Development"/>
    <n v="1"/>
    <n v="4"/>
    <s v="Medical"/>
    <n v="1"/>
    <n v="1922"/>
    <n v="2"/>
    <s v="Male"/>
    <n v="44"/>
    <n v="3"/>
    <n v="2"/>
    <x v="4"/>
    <n v="3"/>
    <s v="Single"/>
    <n v="5399"/>
    <n v="14511"/>
    <n v="4"/>
    <s v="Y"/>
    <s v="No"/>
    <n v="12"/>
    <n v="3"/>
    <n v="3"/>
    <n v="80"/>
    <n v="0"/>
    <n v="12"/>
    <n v="3"/>
    <n v="3"/>
    <n v="4"/>
    <n v="2"/>
    <x v="0"/>
    <n v="3"/>
    <s v="OK"/>
    <s v="OK"/>
    <s v="OK"/>
    <s v="OK"/>
    <n v="0"/>
    <n v="0.5"/>
    <n v="0.75"/>
    <n v="0.75"/>
  </r>
  <r>
    <n v="33"/>
    <s v="No"/>
    <s v="Travel_Rarely"/>
    <n v="217"/>
    <s v="Sales"/>
    <n v="10"/>
    <n v="4"/>
    <s v="Marketing"/>
    <n v="1"/>
    <n v="1924"/>
    <n v="2"/>
    <s v="Male"/>
    <n v="43"/>
    <n v="3"/>
    <n v="2"/>
    <x v="0"/>
    <n v="3"/>
    <s v="Single"/>
    <n v="5487"/>
    <n v="10410"/>
    <n v="1"/>
    <s v="Y"/>
    <s v="No"/>
    <n v="14"/>
    <n v="3"/>
    <n v="2"/>
    <n v="80"/>
    <n v="0"/>
    <n v="10"/>
    <n v="2"/>
    <n v="2"/>
    <n v="10"/>
    <n v="4"/>
    <x v="0"/>
    <n v="9"/>
    <s v="OK"/>
    <s v="OK"/>
    <s v="OK"/>
    <s v="OK"/>
    <n v="0"/>
    <n v="0.4"/>
    <n v="0.2"/>
    <n v="0.9"/>
  </r>
  <r>
    <n v="28"/>
    <s v="No"/>
    <s v="Travel_Frequently"/>
    <n v="783"/>
    <s v="Sales"/>
    <n v="1"/>
    <n v="2"/>
    <s v="Life Sciences"/>
    <n v="1"/>
    <n v="1927"/>
    <n v="3"/>
    <s v="Male"/>
    <n v="42"/>
    <n v="2"/>
    <n v="2"/>
    <x v="0"/>
    <n v="4"/>
    <s v="Married"/>
    <n v="6834"/>
    <n v="19255"/>
    <n v="1"/>
    <s v="Y"/>
    <s v="Yes"/>
    <n v="12"/>
    <n v="3"/>
    <n v="3"/>
    <n v="80"/>
    <n v="1"/>
    <n v="7"/>
    <n v="2"/>
    <n v="3"/>
    <n v="7"/>
    <n v="7"/>
    <x v="0"/>
    <n v="7"/>
    <s v="OK"/>
    <s v="OK"/>
    <s v="OK"/>
    <s v="OK"/>
    <n v="0"/>
    <n v="1"/>
    <n v="0.2857142857142857"/>
    <n v="1"/>
  </r>
  <r>
    <n v="29"/>
    <s v="Yes"/>
    <s v="Travel_Frequently"/>
    <n v="746"/>
    <s v="Sales"/>
    <n v="24"/>
    <n v="3"/>
    <s v="Technical Degree"/>
    <n v="1"/>
    <n v="1928"/>
    <n v="3"/>
    <s v="Male"/>
    <n v="45"/>
    <n v="4"/>
    <n v="1"/>
    <x v="6"/>
    <n v="1"/>
    <s v="Single"/>
    <n v="1091"/>
    <n v="10642"/>
    <n v="1"/>
    <s v="Y"/>
    <s v="No"/>
    <n v="17"/>
    <n v="3"/>
    <n v="4"/>
    <n v="80"/>
    <n v="0"/>
    <n v="1"/>
    <n v="3"/>
    <n v="3"/>
    <n v="1"/>
    <n v="0"/>
    <x v="0"/>
    <n v="0"/>
    <s v="OK"/>
    <s v="OK"/>
    <s v="OK"/>
    <s v="OK"/>
    <n v="0"/>
    <n v="0"/>
    <n v="3"/>
    <n v="0"/>
  </r>
  <r>
    <n v="39"/>
    <s v="No"/>
    <s v="Non-Travel"/>
    <n v="1251"/>
    <s v="Sales"/>
    <n v="21"/>
    <n v="4"/>
    <s v="Life Sciences"/>
    <n v="1"/>
    <n v="1929"/>
    <n v="1"/>
    <s v="Female"/>
    <n v="32"/>
    <n v="1"/>
    <n v="2"/>
    <x v="0"/>
    <n v="3"/>
    <s v="Married"/>
    <n v="5736"/>
    <n v="3987"/>
    <n v="6"/>
    <s v="Y"/>
    <s v="No"/>
    <n v="19"/>
    <n v="3"/>
    <n v="3"/>
    <n v="80"/>
    <n v="1"/>
    <n v="10"/>
    <n v="1"/>
    <n v="3"/>
    <n v="3"/>
    <n v="2"/>
    <x v="1"/>
    <n v="2"/>
    <s v="OK"/>
    <s v="OK"/>
    <s v="OK"/>
    <s v="OK"/>
    <n v="0.33333333333333331"/>
    <n v="0.66666666666666663"/>
    <n v="0.33333333333333331"/>
    <n v="0.66666666666666663"/>
  </r>
  <r>
    <n v="27"/>
    <s v="No"/>
    <s v="Travel_Rarely"/>
    <n v="1354"/>
    <s v="Research &amp; Development"/>
    <n v="2"/>
    <n v="4"/>
    <s v="Technical Degree"/>
    <n v="1"/>
    <n v="1931"/>
    <n v="2"/>
    <s v="Male"/>
    <n v="41"/>
    <n v="3"/>
    <n v="1"/>
    <x v="1"/>
    <n v="2"/>
    <s v="Married"/>
    <n v="2226"/>
    <n v="6073"/>
    <n v="1"/>
    <s v="Y"/>
    <s v="No"/>
    <n v="11"/>
    <n v="3"/>
    <n v="3"/>
    <n v="80"/>
    <n v="1"/>
    <n v="6"/>
    <n v="3"/>
    <n v="2"/>
    <n v="5"/>
    <n v="3"/>
    <x v="1"/>
    <n v="2"/>
    <s v="OK"/>
    <s v="OK"/>
    <s v="OK"/>
    <s v="OK"/>
    <n v="0.2"/>
    <n v="0.6"/>
    <n v="0.6"/>
    <n v="0.4"/>
  </r>
  <r>
    <n v="34"/>
    <s v="No"/>
    <s v="Travel_Frequently"/>
    <n v="735"/>
    <s v="Research &amp; Development"/>
    <n v="22"/>
    <n v="4"/>
    <s v="Other"/>
    <n v="1"/>
    <n v="1932"/>
    <n v="3"/>
    <s v="Male"/>
    <n v="86"/>
    <n v="2"/>
    <n v="2"/>
    <x v="1"/>
    <n v="4"/>
    <s v="Married"/>
    <n v="5747"/>
    <n v="26496"/>
    <n v="1"/>
    <s v="Y"/>
    <s v="Yes"/>
    <n v="15"/>
    <n v="3"/>
    <n v="2"/>
    <n v="80"/>
    <n v="0"/>
    <n v="16"/>
    <n v="3"/>
    <n v="3"/>
    <n v="15"/>
    <n v="10"/>
    <x v="7"/>
    <n v="11"/>
    <s v="OK"/>
    <s v="OK"/>
    <s v="OK"/>
    <s v="OK"/>
    <n v="0.4"/>
    <n v="0.66666666666666663"/>
    <n v="0.2"/>
    <n v="0.73333333333333328"/>
  </r>
  <r>
    <n v="28"/>
    <s v="Yes"/>
    <s v="Travel_Rarely"/>
    <n v="1475"/>
    <s v="Sales"/>
    <n v="13"/>
    <n v="2"/>
    <s v="Marketing"/>
    <n v="1"/>
    <n v="1933"/>
    <n v="4"/>
    <s v="Female"/>
    <n v="84"/>
    <n v="3"/>
    <n v="2"/>
    <x v="0"/>
    <n v="3"/>
    <s v="Single"/>
    <n v="9854"/>
    <n v="23352"/>
    <n v="3"/>
    <s v="Y"/>
    <s v="Yes"/>
    <n v="11"/>
    <n v="3"/>
    <n v="4"/>
    <n v="80"/>
    <n v="0"/>
    <n v="6"/>
    <n v="0"/>
    <n v="3"/>
    <n v="2"/>
    <n v="0"/>
    <x v="3"/>
    <n v="2"/>
    <s v="OK"/>
    <s v="OK"/>
    <s v="OK"/>
    <s v="OK"/>
    <n v="1"/>
    <n v="0"/>
    <n v="0"/>
    <n v="1"/>
  </r>
  <r>
    <n v="47"/>
    <s v="No"/>
    <s v="Non-Travel"/>
    <n v="1169"/>
    <s v="Research &amp; Development"/>
    <n v="14"/>
    <n v="4"/>
    <s v="Technical Degree"/>
    <n v="1"/>
    <n v="1934"/>
    <n v="3"/>
    <s v="Male"/>
    <n v="64"/>
    <n v="3"/>
    <n v="2"/>
    <x v="1"/>
    <n v="2"/>
    <s v="Married"/>
    <n v="5467"/>
    <n v="2125"/>
    <n v="8"/>
    <s v="Y"/>
    <s v="No"/>
    <n v="18"/>
    <n v="3"/>
    <n v="3"/>
    <n v="80"/>
    <n v="1"/>
    <n v="16"/>
    <n v="4"/>
    <n v="4"/>
    <n v="8"/>
    <n v="7"/>
    <x v="1"/>
    <n v="7"/>
    <s v="OK"/>
    <s v="OK"/>
    <s v="OK"/>
    <s v="OK"/>
    <n v="0.125"/>
    <n v="0.875"/>
    <n v="0.5"/>
    <n v="0.875"/>
  </r>
  <r>
    <n v="56"/>
    <s v="No"/>
    <s v="Travel_Rarely"/>
    <n v="1443"/>
    <s v="Sales"/>
    <n v="11"/>
    <n v="5"/>
    <s v="Marketing"/>
    <n v="1"/>
    <n v="1935"/>
    <n v="4"/>
    <s v="Female"/>
    <n v="89"/>
    <n v="2"/>
    <n v="2"/>
    <x v="0"/>
    <n v="1"/>
    <s v="Married"/>
    <n v="5380"/>
    <n v="20328"/>
    <n v="4"/>
    <s v="Y"/>
    <s v="No"/>
    <n v="16"/>
    <n v="3"/>
    <n v="3"/>
    <n v="80"/>
    <n v="1"/>
    <n v="6"/>
    <n v="3"/>
    <n v="3"/>
    <n v="0"/>
    <n v="0"/>
    <x v="0"/>
    <n v="0"/>
    <s v="OK"/>
    <s v="OK"/>
    <s v="OK"/>
    <s v="OK"/>
    <n v="0"/>
    <n v="0"/>
    <n v="0"/>
    <n v="0"/>
  </r>
  <r>
    <n v="39"/>
    <s v="No"/>
    <s v="Travel_Rarely"/>
    <n v="867"/>
    <s v="Research &amp; Development"/>
    <n v="9"/>
    <n v="2"/>
    <s v="Medical"/>
    <n v="1"/>
    <n v="1936"/>
    <n v="1"/>
    <s v="Male"/>
    <n v="87"/>
    <n v="3"/>
    <n v="2"/>
    <x v="3"/>
    <n v="1"/>
    <s v="Married"/>
    <n v="5151"/>
    <n v="12315"/>
    <n v="1"/>
    <s v="Y"/>
    <s v="No"/>
    <n v="25"/>
    <n v="4"/>
    <n v="4"/>
    <n v="80"/>
    <n v="1"/>
    <n v="10"/>
    <n v="3"/>
    <n v="3"/>
    <n v="10"/>
    <n v="0"/>
    <x v="4"/>
    <n v="9"/>
    <s v="OK"/>
    <s v="OK"/>
    <s v="OK"/>
    <s v="OK"/>
    <n v="0.7"/>
    <n v="0"/>
    <n v="0.3"/>
    <n v="0.9"/>
  </r>
  <r>
    <n v="38"/>
    <s v="No"/>
    <s v="Travel_Frequently"/>
    <n v="1394"/>
    <s v="Research &amp; Development"/>
    <n v="8"/>
    <n v="3"/>
    <s v="Medical"/>
    <n v="1"/>
    <n v="1937"/>
    <n v="4"/>
    <s v="Female"/>
    <n v="58"/>
    <n v="2"/>
    <n v="2"/>
    <x v="1"/>
    <n v="2"/>
    <s v="Divorced"/>
    <n v="2133"/>
    <n v="18115"/>
    <n v="1"/>
    <s v="Y"/>
    <s v="Yes"/>
    <n v="16"/>
    <n v="3"/>
    <n v="3"/>
    <n v="80"/>
    <n v="1"/>
    <n v="20"/>
    <n v="3"/>
    <n v="3"/>
    <n v="20"/>
    <n v="11"/>
    <x v="0"/>
    <n v="7"/>
    <s v="OK"/>
    <s v="OK"/>
    <s v="OK"/>
    <s v="OK"/>
    <n v="0"/>
    <n v="0.55000000000000004"/>
    <n v="0.15"/>
    <n v="0.35"/>
  </r>
  <r>
    <n v="58"/>
    <s v="No"/>
    <s v="Travel_Rarely"/>
    <n v="605"/>
    <s v="Sales"/>
    <n v="21"/>
    <n v="3"/>
    <s v="Life Sciences"/>
    <n v="1"/>
    <n v="1938"/>
    <n v="4"/>
    <s v="Female"/>
    <n v="72"/>
    <n v="3"/>
    <n v="4"/>
    <x v="5"/>
    <n v="4"/>
    <s v="Married"/>
    <n v="17875"/>
    <n v="11761"/>
    <n v="4"/>
    <s v="Y"/>
    <s v="Yes"/>
    <n v="13"/>
    <n v="3"/>
    <n v="3"/>
    <n v="80"/>
    <n v="1"/>
    <n v="29"/>
    <n v="2"/>
    <n v="2"/>
    <n v="1"/>
    <n v="0"/>
    <x v="0"/>
    <n v="0"/>
    <s v="OK"/>
    <s v="OK"/>
    <s v="OK"/>
    <s v="OK"/>
    <n v="0"/>
    <n v="0"/>
    <n v="2"/>
    <n v="0"/>
  </r>
  <r>
    <n v="32"/>
    <s v="Yes"/>
    <s v="Travel_Frequently"/>
    <n v="238"/>
    <s v="Research &amp; Development"/>
    <n v="5"/>
    <n v="2"/>
    <s v="Life Sciences"/>
    <n v="1"/>
    <n v="1939"/>
    <n v="1"/>
    <s v="Female"/>
    <n v="47"/>
    <n v="4"/>
    <n v="1"/>
    <x v="1"/>
    <n v="3"/>
    <s v="Single"/>
    <n v="2432"/>
    <n v="15318"/>
    <n v="3"/>
    <s v="Y"/>
    <s v="Yes"/>
    <n v="14"/>
    <n v="3"/>
    <n v="1"/>
    <n v="80"/>
    <n v="0"/>
    <n v="8"/>
    <n v="2"/>
    <n v="3"/>
    <n v="4"/>
    <n v="1"/>
    <x v="0"/>
    <n v="3"/>
    <s v="OK"/>
    <s v="OK"/>
    <s v="OK"/>
    <s v="OK"/>
    <n v="0"/>
    <n v="0.25"/>
    <n v="0.5"/>
    <n v="0.75"/>
  </r>
  <r>
    <n v="38"/>
    <s v="No"/>
    <s v="Travel_Rarely"/>
    <n v="1206"/>
    <s v="Research &amp; Development"/>
    <n v="9"/>
    <n v="2"/>
    <s v="Life Sciences"/>
    <n v="1"/>
    <n v="1940"/>
    <n v="2"/>
    <s v="Male"/>
    <n v="71"/>
    <n v="3"/>
    <n v="1"/>
    <x v="1"/>
    <n v="4"/>
    <s v="Divorced"/>
    <n v="4771"/>
    <n v="14293"/>
    <n v="2"/>
    <s v="Y"/>
    <s v="No"/>
    <n v="19"/>
    <n v="3"/>
    <n v="4"/>
    <n v="80"/>
    <n v="2"/>
    <n v="10"/>
    <n v="0"/>
    <n v="4"/>
    <n v="5"/>
    <n v="2"/>
    <x v="0"/>
    <n v="3"/>
    <s v="OK"/>
    <s v="OK"/>
    <s v="OK"/>
    <s v="OK"/>
    <n v="0"/>
    <n v="0.4"/>
    <n v="0"/>
    <n v="0.6"/>
  </r>
  <r>
    <n v="49"/>
    <s v="No"/>
    <s v="Travel_Frequently"/>
    <n v="1064"/>
    <s v="Research &amp; Development"/>
    <n v="2"/>
    <n v="1"/>
    <s v="Life Sciences"/>
    <n v="1"/>
    <n v="1941"/>
    <n v="2"/>
    <s v="Male"/>
    <n v="42"/>
    <n v="3"/>
    <n v="5"/>
    <x v="7"/>
    <n v="4"/>
    <s v="Married"/>
    <n v="19161"/>
    <n v="13738"/>
    <n v="3"/>
    <s v="Y"/>
    <s v="No"/>
    <n v="15"/>
    <n v="3"/>
    <n v="4"/>
    <n v="80"/>
    <n v="0"/>
    <n v="28"/>
    <n v="3"/>
    <n v="3"/>
    <n v="5"/>
    <n v="4"/>
    <x v="5"/>
    <n v="3"/>
    <s v="OK"/>
    <s v="OK"/>
    <s v="OK"/>
    <s v="OK"/>
    <n v="0.8"/>
    <n v="0.8"/>
    <n v="0.6"/>
    <n v="0.6"/>
  </r>
  <r>
    <n v="42"/>
    <s v="No"/>
    <s v="Travel_Rarely"/>
    <n v="419"/>
    <s v="Sales"/>
    <n v="12"/>
    <n v="4"/>
    <s v="Marketing"/>
    <n v="1"/>
    <n v="1943"/>
    <n v="2"/>
    <s v="Male"/>
    <n v="77"/>
    <n v="3"/>
    <n v="2"/>
    <x v="0"/>
    <n v="4"/>
    <s v="Divorced"/>
    <n v="5087"/>
    <n v="2900"/>
    <n v="3"/>
    <s v="Y"/>
    <s v="Yes"/>
    <n v="12"/>
    <n v="3"/>
    <n v="3"/>
    <n v="80"/>
    <n v="2"/>
    <n v="14"/>
    <n v="4"/>
    <n v="3"/>
    <n v="0"/>
    <n v="0"/>
    <x v="0"/>
    <n v="0"/>
    <s v="OK"/>
    <s v="OK"/>
    <s v="OK"/>
    <s v="OK"/>
    <n v="0"/>
    <n v="0"/>
    <n v="0"/>
    <n v="0"/>
  </r>
  <r>
    <n v="27"/>
    <s v="Yes"/>
    <s v="Travel_Frequently"/>
    <n v="1337"/>
    <s v="Human Resources"/>
    <n v="22"/>
    <n v="3"/>
    <s v="Human Resources"/>
    <n v="1"/>
    <n v="1944"/>
    <n v="1"/>
    <s v="Female"/>
    <n v="58"/>
    <n v="2"/>
    <n v="1"/>
    <x v="8"/>
    <n v="2"/>
    <s v="Married"/>
    <n v="2863"/>
    <n v="19555"/>
    <n v="1"/>
    <s v="Y"/>
    <s v="No"/>
    <n v="12"/>
    <n v="3"/>
    <n v="1"/>
    <n v="80"/>
    <n v="0"/>
    <n v="1"/>
    <n v="2"/>
    <n v="3"/>
    <n v="1"/>
    <n v="0"/>
    <x v="0"/>
    <n v="0"/>
    <s v="OK"/>
    <s v="OK"/>
    <s v="OK"/>
    <s v="OK"/>
    <n v="0"/>
    <n v="0"/>
    <n v="2"/>
    <n v="0"/>
  </r>
  <r>
    <n v="35"/>
    <s v="No"/>
    <s v="Travel_Rarely"/>
    <n v="682"/>
    <s v="Sales"/>
    <n v="18"/>
    <n v="4"/>
    <s v="Medical"/>
    <n v="1"/>
    <n v="1945"/>
    <n v="2"/>
    <s v="Male"/>
    <n v="71"/>
    <n v="3"/>
    <n v="2"/>
    <x v="0"/>
    <n v="1"/>
    <s v="Married"/>
    <n v="5561"/>
    <n v="15975"/>
    <n v="0"/>
    <s v="Y"/>
    <s v="No"/>
    <n v="16"/>
    <n v="3"/>
    <n v="4"/>
    <n v="80"/>
    <n v="1"/>
    <n v="6"/>
    <n v="2"/>
    <n v="1"/>
    <n v="5"/>
    <n v="3"/>
    <x v="0"/>
    <n v="4"/>
    <s v="OK"/>
    <s v="OK"/>
    <s v="OK"/>
    <s v="OK"/>
    <n v="0"/>
    <n v="0.6"/>
    <n v="0.4"/>
    <n v="0.8"/>
  </r>
  <r>
    <n v="28"/>
    <s v="No"/>
    <s v="Non-Travel"/>
    <n v="1103"/>
    <s v="Research &amp; Development"/>
    <n v="16"/>
    <n v="3"/>
    <s v="Medical"/>
    <n v="1"/>
    <n v="1947"/>
    <n v="3"/>
    <s v="Male"/>
    <n v="49"/>
    <n v="3"/>
    <n v="1"/>
    <x v="1"/>
    <n v="3"/>
    <s v="Single"/>
    <n v="2144"/>
    <n v="2122"/>
    <n v="1"/>
    <s v="Y"/>
    <s v="No"/>
    <n v="14"/>
    <n v="3"/>
    <n v="3"/>
    <n v="80"/>
    <n v="0"/>
    <n v="5"/>
    <n v="3"/>
    <n v="2"/>
    <n v="5"/>
    <n v="3"/>
    <x v="1"/>
    <n v="4"/>
    <s v="OK"/>
    <s v="OK"/>
    <s v="OK"/>
    <s v="OK"/>
    <n v="0.2"/>
    <n v="0.6"/>
    <n v="0.6"/>
    <n v="0.8"/>
  </r>
  <r>
    <n v="31"/>
    <s v="No"/>
    <s v="Non-Travel"/>
    <n v="976"/>
    <s v="Research &amp; Development"/>
    <n v="3"/>
    <n v="2"/>
    <s v="Medical"/>
    <n v="1"/>
    <n v="1948"/>
    <n v="3"/>
    <s v="Male"/>
    <n v="48"/>
    <n v="3"/>
    <n v="1"/>
    <x v="1"/>
    <n v="1"/>
    <s v="Divorced"/>
    <n v="3065"/>
    <n v="3995"/>
    <n v="1"/>
    <s v="Y"/>
    <s v="Yes"/>
    <n v="13"/>
    <n v="3"/>
    <n v="4"/>
    <n v="80"/>
    <n v="1"/>
    <n v="4"/>
    <n v="3"/>
    <n v="4"/>
    <n v="4"/>
    <n v="2"/>
    <x v="3"/>
    <n v="3"/>
    <s v="OK"/>
    <s v="OK"/>
    <s v="OK"/>
    <s v="OK"/>
    <n v="0.5"/>
    <n v="0.5"/>
    <n v="0.75"/>
    <n v="0.75"/>
  </r>
  <r>
    <n v="36"/>
    <s v="No"/>
    <s v="Non-Travel"/>
    <n v="1351"/>
    <s v="Research &amp; Development"/>
    <n v="9"/>
    <n v="4"/>
    <s v="Life Sciences"/>
    <n v="1"/>
    <n v="1949"/>
    <n v="1"/>
    <s v="Male"/>
    <n v="66"/>
    <n v="4"/>
    <n v="1"/>
    <x v="2"/>
    <n v="2"/>
    <s v="Married"/>
    <n v="2810"/>
    <n v="9238"/>
    <n v="1"/>
    <s v="Y"/>
    <s v="No"/>
    <n v="22"/>
    <n v="4"/>
    <n v="2"/>
    <n v="80"/>
    <n v="0"/>
    <n v="5"/>
    <n v="3"/>
    <n v="3"/>
    <n v="5"/>
    <n v="4"/>
    <x v="0"/>
    <n v="2"/>
    <s v="OK"/>
    <s v="OK"/>
    <s v="OK"/>
    <s v="OK"/>
    <n v="0"/>
    <n v="0.8"/>
    <n v="0.6"/>
    <n v="0.4"/>
  </r>
  <r>
    <n v="34"/>
    <s v="No"/>
    <s v="Travel_Rarely"/>
    <n v="937"/>
    <s v="Sales"/>
    <n v="1"/>
    <n v="3"/>
    <s v="Marketing"/>
    <n v="1"/>
    <n v="1950"/>
    <n v="1"/>
    <s v="Male"/>
    <n v="32"/>
    <n v="3"/>
    <n v="3"/>
    <x v="0"/>
    <n v="4"/>
    <s v="Single"/>
    <n v="9888"/>
    <n v="6770"/>
    <n v="1"/>
    <s v="Y"/>
    <s v="No"/>
    <n v="21"/>
    <n v="4"/>
    <n v="1"/>
    <n v="80"/>
    <n v="0"/>
    <n v="14"/>
    <n v="3"/>
    <n v="2"/>
    <n v="14"/>
    <n v="8"/>
    <x v="3"/>
    <n v="1"/>
    <s v="OK"/>
    <s v="OK"/>
    <s v="OK"/>
    <s v="OK"/>
    <n v="0.14285714285714285"/>
    <n v="0.5714285714285714"/>
    <n v="0.21428571428571427"/>
    <n v="7.1428571428571425E-2"/>
  </r>
  <r>
    <n v="34"/>
    <s v="No"/>
    <s v="Travel_Rarely"/>
    <n v="1239"/>
    <s v="Sales"/>
    <n v="13"/>
    <n v="4"/>
    <s v="Medical"/>
    <n v="1"/>
    <n v="1951"/>
    <n v="4"/>
    <s v="Male"/>
    <n v="39"/>
    <n v="3"/>
    <n v="3"/>
    <x v="0"/>
    <n v="3"/>
    <s v="Divorced"/>
    <n v="8628"/>
    <n v="22914"/>
    <n v="1"/>
    <s v="Y"/>
    <s v="No"/>
    <n v="18"/>
    <n v="3"/>
    <n v="3"/>
    <n v="80"/>
    <n v="1"/>
    <n v="9"/>
    <n v="2"/>
    <n v="2"/>
    <n v="8"/>
    <n v="7"/>
    <x v="1"/>
    <n v="1"/>
    <s v="OK"/>
    <s v="OK"/>
    <s v="OK"/>
    <s v="OK"/>
    <n v="0.125"/>
    <n v="0.875"/>
    <n v="0.25"/>
    <n v="0.125"/>
  </r>
  <r>
    <n v="26"/>
    <s v="No"/>
    <s v="Travel_Rarely"/>
    <n v="157"/>
    <s v="Research &amp; Development"/>
    <n v="1"/>
    <n v="3"/>
    <s v="Medical"/>
    <n v="1"/>
    <n v="1952"/>
    <n v="3"/>
    <s v="Male"/>
    <n v="95"/>
    <n v="3"/>
    <n v="1"/>
    <x v="2"/>
    <n v="1"/>
    <s v="Single"/>
    <n v="2867"/>
    <n v="20006"/>
    <n v="0"/>
    <s v="Y"/>
    <s v="No"/>
    <n v="13"/>
    <n v="3"/>
    <n v="4"/>
    <n v="80"/>
    <n v="0"/>
    <n v="8"/>
    <n v="6"/>
    <n v="2"/>
    <n v="7"/>
    <n v="7"/>
    <x v="4"/>
    <n v="6"/>
    <s v="OK"/>
    <s v="OK"/>
    <s v="OK"/>
    <s v="OK"/>
    <n v="1"/>
    <n v="1"/>
    <n v="0.8571428571428571"/>
    <n v="0.8571428571428571"/>
  </r>
  <r>
    <n v="29"/>
    <s v="No"/>
    <s v="Travel_Rarely"/>
    <n v="136"/>
    <s v="Research &amp; Development"/>
    <n v="1"/>
    <n v="3"/>
    <s v="Life Sciences"/>
    <n v="1"/>
    <n v="1954"/>
    <n v="1"/>
    <s v="Male"/>
    <n v="89"/>
    <n v="3"/>
    <n v="2"/>
    <x v="4"/>
    <n v="1"/>
    <s v="Married"/>
    <n v="5373"/>
    <n v="6225"/>
    <n v="0"/>
    <s v="Y"/>
    <s v="No"/>
    <n v="12"/>
    <n v="3"/>
    <n v="1"/>
    <n v="80"/>
    <n v="1"/>
    <n v="6"/>
    <n v="5"/>
    <n v="2"/>
    <n v="5"/>
    <n v="3"/>
    <x v="0"/>
    <n v="2"/>
    <s v="OK"/>
    <s v="OK"/>
    <s v="OK"/>
    <s v="OK"/>
    <n v="0"/>
    <n v="0.6"/>
    <n v="1"/>
    <n v="0.4"/>
  </r>
  <r>
    <n v="32"/>
    <s v="No"/>
    <s v="Non-Travel"/>
    <n v="1146"/>
    <s v="Research &amp; Development"/>
    <n v="15"/>
    <n v="4"/>
    <s v="Medical"/>
    <n v="1"/>
    <n v="1955"/>
    <n v="3"/>
    <s v="Female"/>
    <n v="34"/>
    <n v="3"/>
    <n v="2"/>
    <x v="4"/>
    <n v="4"/>
    <s v="Divorced"/>
    <n v="6667"/>
    <n v="16542"/>
    <n v="5"/>
    <s v="Y"/>
    <s v="No"/>
    <n v="18"/>
    <n v="3"/>
    <n v="2"/>
    <n v="80"/>
    <n v="1"/>
    <n v="9"/>
    <n v="6"/>
    <n v="3"/>
    <n v="5"/>
    <n v="1"/>
    <x v="1"/>
    <n v="2"/>
    <s v="OK"/>
    <s v="OK"/>
    <s v="OK"/>
    <s v="OK"/>
    <n v="0.2"/>
    <n v="0.2"/>
    <n v="1.2"/>
    <n v="0.4"/>
  </r>
  <r>
    <n v="31"/>
    <s v="No"/>
    <s v="Travel_Frequently"/>
    <n v="1125"/>
    <s v="Research &amp; Development"/>
    <n v="1"/>
    <n v="3"/>
    <s v="Life Sciences"/>
    <n v="1"/>
    <n v="1956"/>
    <n v="4"/>
    <s v="Male"/>
    <n v="48"/>
    <n v="1"/>
    <n v="2"/>
    <x v="1"/>
    <n v="1"/>
    <s v="Married"/>
    <n v="5003"/>
    <n v="5771"/>
    <n v="1"/>
    <s v="Y"/>
    <s v="No"/>
    <n v="21"/>
    <n v="4"/>
    <n v="2"/>
    <n v="80"/>
    <n v="0"/>
    <n v="10"/>
    <n v="6"/>
    <n v="3"/>
    <n v="10"/>
    <n v="8"/>
    <x v="6"/>
    <n v="7"/>
    <s v="OK"/>
    <s v="OK"/>
    <s v="OK"/>
    <s v="OK"/>
    <n v="0.8"/>
    <n v="0.8"/>
    <n v="0.6"/>
    <n v="0.7"/>
  </r>
  <r>
    <n v="28"/>
    <s v="Yes"/>
    <s v="Travel_Rarely"/>
    <n v="1404"/>
    <s v="Research &amp; Development"/>
    <n v="17"/>
    <n v="3"/>
    <s v="Technical Degree"/>
    <n v="1"/>
    <n v="1960"/>
    <n v="3"/>
    <s v="Male"/>
    <n v="32"/>
    <n v="2"/>
    <n v="1"/>
    <x v="2"/>
    <n v="4"/>
    <s v="Divorced"/>
    <n v="2367"/>
    <n v="18779"/>
    <n v="5"/>
    <s v="Y"/>
    <s v="No"/>
    <n v="12"/>
    <n v="3"/>
    <n v="1"/>
    <n v="80"/>
    <n v="1"/>
    <n v="6"/>
    <n v="2"/>
    <n v="2"/>
    <n v="4"/>
    <n v="1"/>
    <x v="0"/>
    <n v="3"/>
    <s v="OK"/>
    <s v="OK"/>
    <s v="OK"/>
    <s v="OK"/>
    <n v="0"/>
    <n v="0.25"/>
    <n v="0.5"/>
    <n v="0.75"/>
  </r>
  <r>
    <n v="38"/>
    <s v="No"/>
    <s v="Travel_Rarely"/>
    <n v="1404"/>
    <s v="Sales"/>
    <n v="1"/>
    <n v="3"/>
    <s v="Life Sciences"/>
    <n v="1"/>
    <n v="1961"/>
    <n v="1"/>
    <s v="Male"/>
    <n v="59"/>
    <n v="2"/>
    <n v="1"/>
    <x v="6"/>
    <n v="1"/>
    <s v="Single"/>
    <n v="2858"/>
    <n v="11473"/>
    <n v="4"/>
    <s v="Y"/>
    <s v="No"/>
    <n v="14"/>
    <n v="3"/>
    <n v="1"/>
    <n v="80"/>
    <n v="0"/>
    <n v="20"/>
    <n v="3"/>
    <n v="2"/>
    <n v="1"/>
    <n v="0"/>
    <x v="0"/>
    <n v="0"/>
    <s v="OK"/>
    <s v="OK"/>
    <s v="OK"/>
    <s v="OK"/>
    <n v="0"/>
    <n v="0"/>
    <n v="3"/>
    <n v="0"/>
  </r>
  <r>
    <n v="35"/>
    <s v="No"/>
    <s v="Travel_Rarely"/>
    <n v="1224"/>
    <s v="Sales"/>
    <n v="7"/>
    <n v="4"/>
    <s v="Life Sciences"/>
    <n v="1"/>
    <n v="1962"/>
    <n v="3"/>
    <s v="Female"/>
    <n v="55"/>
    <n v="3"/>
    <n v="2"/>
    <x v="0"/>
    <n v="4"/>
    <s v="Married"/>
    <n v="5204"/>
    <n v="13586"/>
    <n v="1"/>
    <s v="Y"/>
    <s v="Yes"/>
    <n v="11"/>
    <n v="3"/>
    <n v="4"/>
    <n v="80"/>
    <n v="0"/>
    <n v="10"/>
    <n v="2"/>
    <n v="3"/>
    <n v="10"/>
    <n v="8"/>
    <x v="0"/>
    <n v="9"/>
    <s v="OK"/>
    <s v="OK"/>
    <s v="OK"/>
    <s v="OK"/>
    <n v="0"/>
    <n v="0.8"/>
    <n v="0.2"/>
    <n v="0.9"/>
  </r>
  <r>
    <n v="27"/>
    <s v="No"/>
    <s v="Travel_Rarely"/>
    <n v="954"/>
    <s v="Sales"/>
    <n v="9"/>
    <n v="3"/>
    <s v="Marketing"/>
    <n v="1"/>
    <n v="1965"/>
    <n v="4"/>
    <s v="Male"/>
    <n v="44"/>
    <n v="3"/>
    <n v="2"/>
    <x v="0"/>
    <n v="4"/>
    <s v="Single"/>
    <n v="4105"/>
    <n v="5099"/>
    <n v="1"/>
    <s v="Y"/>
    <s v="No"/>
    <n v="14"/>
    <n v="3"/>
    <n v="1"/>
    <n v="80"/>
    <n v="0"/>
    <n v="7"/>
    <n v="5"/>
    <n v="3"/>
    <n v="7"/>
    <n v="7"/>
    <x v="0"/>
    <n v="7"/>
    <s v="OK"/>
    <s v="OK"/>
    <s v="OK"/>
    <s v="OK"/>
    <n v="0"/>
    <n v="1"/>
    <n v="0.7142857142857143"/>
    <n v="1"/>
  </r>
  <r>
    <n v="32"/>
    <s v="No"/>
    <s v="Travel_Rarely"/>
    <n v="1373"/>
    <s v="Research &amp; Development"/>
    <n v="5"/>
    <n v="4"/>
    <s v="Life Sciences"/>
    <n v="1"/>
    <n v="1966"/>
    <n v="4"/>
    <s v="Male"/>
    <n v="56"/>
    <n v="2"/>
    <n v="2"/>
    <x v="3"/>
    <n v="4"/>
    <s v="Single"/>
    <n v="9679"/>
    <n v="10138"/>
    <n v="8"/>
    <s v="Y"/>
    <s v="No"/>
    <n v="24"/>
    <n v="4"/>
    <n v="2"/>
    <n v="80"/>
    <n v="0"/>
    <n v="8"/>
    <n v="1"/>
    <n v="3"/>
    <n v="1"/>
    <n v="0"/>
    <x v="0"/>
    <n v="0"/>
    <s v="OK"/>
    <s v="OK"/>
    <s v="OK"/>
    <s v="OK"/>
    <n v="0"/>
    <n v="0"/>
    <n v="1"/>
    <n v="0"/>
  </r>
  <r>
    <n v="31"/>
    <s v="Yes"/>
    <s v="Travel_Frequently"/>
    <n v="754"/>
    <s v="Sales"/>
    <n v="26"/>
    <n v="4"/>
    <s v="Marketing"/>
    <n v="1"/>
    <n v="1967"/>
    <n v="1"/>
    <s v="Male"/>
    <n v="63"/>
    <n v="3"/>
    <n v="2"/>
    <x v="0"/>
    <n v="4"/>
    <s v="Married"/>
    <n v="5617"/>
    <n v="21075"/>
    <n v="1"/>
    <s v="Y"/>
    <s v="Yes"/>
    <n v="11"/>
    <n v="3"/>
    <n v="3"/>
    <n v="80"/>
    <n v="0"/>
    <n v="10"/>
    <n v="4"/>
    <n v="3"/>
    <n v="10"/>
    <n v="7"/>
    <x v="0"/>
    <n v="8"/>
    <s v="OK"/>
    <s v="OK"/>
    <s v="OK"/>
    <s v="OK"/>
    <n v="0"/>
    <n v="0.7"/>
    <n v="0.4"/>
    <n v="0.8"/>
  </r>
  <r>
    <n v="53"/>
    <s v="Yes"/>
    <s v="Travel_Rarely"/>
    <n v="1168"/>
    <s v="Sales"/>
    <n v="24"/>
    <n v="4"/>
    <s v="Life Sciences"/>
    <n v="1"/>
    <n v="1968"/>
    <n v="1"/>
    <s v="Male"/>
    <n v="66"/>
    <n v="3"/>
    <n v="3"/>
    <x v="0"/>
    <n v="1"/>
    <s v="Single"/>
    <n v="10448"/>
    <n v="5843"/>
    <n v="6"/>
    <s v="Y"/>
    <s v="Yes"/>
    <n v="13"/>
    <n v="3"/>
    <n v="2"/>
    <n v="80"/>
    <n v="0"/>
    <n v="15"/>
    <n v="2"/>
    <n v="2"/>
    <n v="2"/>
    <n v="2"/>
    <x v="3"/>
    <n v="2"/>
    <s v="OK"/>
    <s v="OK"/>
    <s v="OK"/>
    <s v="OK"/>
    <n v="1"/>
    <n v="1"/>
    <n v="1"/>
    <n v="1"/>
  </r>
  <r>
    <n v="54"/>
    <s v="No"/>
    <s v="Travel_Rarely"/>
    <n v="155"/>
    <s v="Research &amp; Development"/>
    <n v="9"/>
    <n v="2"/>
    <s v="Life Sciences"/>
    <n v="1"/>
    <n v="1969"/>
    <n v="1"/>
    <s v="Female"/>
    <n v="67"/>
    <n v="3"/>
    <n v="2"/>
    <x v="1"/>
    <n v="3"/>
    <s v="Married"/>
    <n v="2897"/>
    <n v="22474"/>
    <n v="3"/>
    <s v="Y"/>
    <s v="No"/>
    <n v="11"/>
    <n v="3"/>
    <n v="3"/>
    <n v="80"/>
    <n v="2"/>
    <n v="9"/>
    <n v="6"/>
    <n v="2"/>
    <n v="4"/>
    <n v="3"/>
    <x v="3"/>
    <n v="3"/>
    <s v="OK"/>
    <s v="OK"/>
    <s v="OK"/>
    <s v="OK"/>
    <n v="0.5"/>
    <n v="0.75"/>
    <n v="1.5"/>
    <n v="0.75"/>
  </r>
  <r>
    <n v="33"/>
    <s v="No"/>
    <s v="Travel_Frequently"/>
    <n v="1303"/>
    <s v="Research &amp; Development"/>
    <n v="7"/>
    <n v="2"/>
    <s v="Life Sciences"/>
    <n v="1"/>
    <n v="1970"/>
    <n v="4"/>
    <s v="Male"/>
    <n v="36"/>
    <n v="3"/>
    <n v="2"/>
    <x v="4"/>
    <n v="3"/>
    <s v="Divorced"/>
    <n v="5968"/>
    <n v="18079"/>
    <n v="1"/>
    <s v="Y"/>
    <s v="No"/>
    <n v="20"/>
    <n v="4"/>
    <n v="3"/>
    <n v="80"/>
    <n v="3"/>
    <n v="9"/>
    <n v="2"/>
    <n v="3"/>
    <n v="9"/>
    <n v="7"/>
    <x v="3"/>
    <n v="8"/>
    <s v="OK"/>
    <s v="OK"/>
    <s v="OK"/>
    <s v="OK"/>
    <n v="0.22222222222222221"/>
    <n v="0.77777777777777779"/>
    <n v="0.22222222222222221"/>
    <n v="0.88888888888888884"/>
  </r>
  <r>
    <n v="43"/>
    <s v="No"/>
    <s v="Travel_Rarely"/>
    <n v="574"/>
    <s v="Research &amp; Development"/>
    <n v="11"/>
    <n v="3"/>
    <s v="Life Sciences"/>
    <n v="1"/>
    <n v="1971"/>
    <n v="1"/>
    <s v="Male"/>
    <n v="30"/>
    <n v="3"/>
    <n v="3"/>
    <x v="4"/>
    <n v="3"/>
    <s v="Married"/>
    <n v="7510"/>
    <n v="16873"/>
    <n v="1"/>
    <s v="Y"/>
    <s v="No"/>
    <n v="17"/>
    <n v="3"/>
    <n v="2"/>
    <n v="80"/>
    <n v="1"/>
    <n v="10"/>
    <n v="1"/>
    <n v="3"/>
    <n v="10"/>
    <n v="9"/>
    <x v="0"/>
    <n v="9"/>
    <s v="OK"/>
    <s v="OK"/>
    <s v="OK"/>
    <s v="OK"/>
    <n v="0"/>
    <n v="0.9"/>
    <n v="0.1"/>
    <n v="0.9"/>
  </r>
  <r>
    <n v="38"/>
    <s v="No"/>
    <s v="Travel_Frequently"/>
    <n v="1444"/>
    <s v="Human Resources"/>
    <n v="1"/>
    <n v="4"/>
    <s v="Other"/>
    <n v="1"/>
    <n v="1972"/>
    <n v="4"/>
    <s v="Male"/>
    <n v="88"/>
    <n v="3"/>
    <n v="1"/>
    <x v="8"/>
    <n v="2"/>
    <s v="Married"/>
    <n v="2991"/>
    <n v="5224"/>
    <n v="0"/>
    <s v="Y"/>
    <s v="Yes"/>
    <n v="11"/>
    <n v="3"/>
    <n v="2"/>
    <n v="80"/>
    <n v="1"/>
    <n v="7"/>
    <n v="2"/>
    <n v="3"/>
    <n v="6"/>
    <n v="2"/>
    <x v="1"/>
    <n v="2"/>
    <s v="OK"/>
    <s v="OK"/>
    <s v="OK"/>
    <s v="OK"/>
    <n v="0.16666666666666666"/>
    <n v="0.33333333333333331"/>
    <n v="0.33333333333333331"/>
    <n v="0.33333333333333331"/>
  </r>
  <r>
    <n v="55"/>
    <s v="No"/>
    <s v="Travel_Rarely"/>
    <n v="189"/>
    <s v="Human Resources"/>
    <n v="26"/>
    <n v="4"/>
    <s v="Human Resources"/>
    <n v="1"/>
    <n v="1973"/>
    <n v="3"/>
    <s v="Male"/>
    <n v="71"/>
    <n v="4"/>
    <n v="5"/>
    <x v="5"/>
    <n v="2"/>
    <s v="Married"/>
    <n v="19636"/>
    <n v="25811"/>
    <n v="4"/>
    <s v="Y"/>
    <s v="Yes"/>
    <n v="18"/>
    <n v="3"/>
    <n v="1"/>
    <n v="80"/>
    <n v="1"/>
    <n v="35"/>
    <n v="0"/>
    <n v="3"/>
    <n v="10"/>
    <n v="9"/>
    <x v="1"/>
    <n v="4"/>
    <s v="OK"/>
    <s v="OK"/>
    <s v="OK"/>
    <s v="OK"/>
    <n v="0.1"/>
    <n v="0.9"/>
    <n v="0"/>
    <n v="0.4"/>
  </r>
  <r>
    <n v="31"/>
    <s v="No"/>
    <s v="Travel_Rarely"/>
    <n v="1276"/>
    <s v="Research &amp; Development"/>
    <n v="2"/>
    <n v="1"/>
    <s v="Medical"/>
    <n v="1"/>
    <n v="1974"/>
    <n v="4"/>
    <s v="Female"/>
    <n v="59"/>
    <n v="1"/>
    <n v="1"/>
    <x v="2"/>
    <n v="4"/>
    <s v="Divorced"/>
    <n v="1129"/>
    <n v="17536"/>
    <n v="1"/>
    <s v="Y"/>
    <s v="Yes"/>
    <n v="11"/>
    <n v="3"/>
    <n v="3"/>
    <n v="80"/>
    <n v="3"/>
    <n v="1"/>
    <n v="4"/>
    <n v="3"/>
    <n v="1"/>
    <n v="0"/>
    <x v="0"/>
    <n v="0"/>
    <s v="OK"/>
    <s v="OK"/>
    <s v="OK"/>
    <s v="OK"/>
    <n v="0"/>
    <n v="0"/>
    <n v="4"/>
    <n v="0"/>
  </r>
  <r>
    <n v="39"/>
    <s v="No"/>
    <s v="Travel_Rarely"/>
    <n v="119"/>
    <s v="Sales"/>
    <n v="15"/>
    <n v="4"/>
    <s v="Marketing"/>
    <n v="1"/>
    <n v="1975"/>
    <n v="2"/>
    <s v="Male"/>
    <n v="77"/>
    <n v="3"/>
    <n v="4"/>
    <x v="0"/>
    <n v="1"/>
    <s v="Single"/>
    <n v="13341"/>
    <n v="25098"/>
    <n v="0"/>
    <s v="Y"/>
    <s v="No"/>
    <n v="12"/>
    <n v="3"/>
    <n v="1"/>
    <n v="80"/>
    <n v="0"/>
    <n v="21"/>
    <n v="3"/>
    <n v="3"/>
    <n v="20"/>
    <n v="8"/>
    <x v="14"/>
    <n v="10"/>
    <s v="OK"/>
    <s v="OK"/>
    <s v="OK"/>
    <s v="OK"/>
    <n v="0.55000000000000004"/>
    <n v="0.4"/>
    <n v="0.15"/>
    <n v="0.5"/>
  </r>
  <r>
    <n v="42"/>
    <s v="No"/>
    <s v="Non-Travel"/>
    <n v="335"/>
    <s v="Research &amp; Development"/>
    <n v="23"/>
    <n v="2"/>
    <s v="Life Sciences"/>
    <n v="1"/>
    <n v="1976"/>
    <n v="4"/>
    <s v="Male"/>
    <n v="37"/>
    <n v="2"/>
    <n v="2"/>
    <x v="1"/>
    <n v="3"/>
    <s v="Single"/>
    <n v="4332"/>
    <n v="14811"/>
    <n v="1"/>
    <s v="Y"/>
    <s v="No"/>
    <n v="12"/>
    <n v="3"/>
    <n v="4"/>
    <n v="80"/>
    <n v="0"/>
    <n v="20"/>
    <n v="2"/>
    <n v="3"/>
    <n v="20"/>
    <n v="9"/>
    <x v="2"/>
    <n v="7"/>
    <s v="OK"/>
    <s v="OK"/>
    <s v="OK"/>
    <s v="OK"/>
    <n v="0.15"/>
    <n v="0.45"/>
    <n v="0.1"/>
    <n v="0.35"/>
  </r>
  <r>
    <n v="31"/>
    <s v="No"/>
    <s v="Non-Travel"/>
    <n v="697"/>
    <s v="Research &amp; Development"/>
    <n v="10"/>
    <n v="3"/>
    <s v="Medical"/>
    <n v="1"/>
    <n v="1979"/>
    <n v="3"/>
    <s v="Female"/>
    <n v="40"/>
    <n v="3"/>
    <n v="3"/>
    <x v="7"/>
    <n v="3"/>
    <s v="Married"/>
    <n v="11031"/>
    <n v="26862"/>
    <n v="4"/>
    <s v="Y"/>
    <s v="No"/>
    <n v="20"/>
    <n v="4"/>
    <n v="3"/>
    <n v="80"/>
    <n v="1"/>
    <n v="13"/>
    <n v="2"/>
    <n v="4"/>
    <n v="11"/>
    <n v="7"/>
    <x v="5"/>
    <n v="8"/>
    <s v="OK"/>
    <s v="OK"/>
    <s v="OK"/>
    <s v="OK"/>
    <n v="0.36363636363636365"/>
    <n v="0.63636363636363635"/>
    <n v="0.18181818181818182"/>
    <n v="0.72727272727272729"/>
  </r>
  <r>
    <n v="54"/>
    <s v="No"/>
    <s v="Travel_Rarely"/>
    <n v="157"/>
    <s v="Research &amp; Development"/>
    <n v="10"/>
    <n v="3"/>
    <s v="Medical"/>
    <n v="1"/>
    <n v="1980"/>
    <n v="3"/>
    <s v="Female"/>
    <n v="77"/>
    <n v="3"/>
    <n v="2"/>
    <x v="3"/>
    <n v="1"/>
    <s v="Single"/>
    <n v="4440"/>
    <n v="25198"/>
    <n v="6"/>
    <s v="Y"/>
    <s v="Yes"/>
    <n v="19"/>
    <n v="3"/>
    <n v="4"/>
    <n v="80"/>
    <n v="0"/>
    <n v="9"/>
    <n v="3"/>
    <n v="3"/>
    <n v="5"/>
    <n v="2"/>
    <x v="1"/>
    <n v="4"/>
    <s v="OK"/>
    <s v="OK"/>
    <s v="OK"/>
    <s v="OK"/>
    <n v="0.2"/>
    <n v="0.4"/>
    <n v="0.6"/>
    <n v="0.8"/>
  </r>
  <r>
    <n v="24"/>
    <s v="No"/>
    <s v="Travel_Rarely"/>
    <n v="771"/>
    <s v="Research &amp; Development"/>
    <n v="1"/>
    <n v="2"/>
    <s v="Life Sciences"/>
    <n v="1"/>
    <n v="1981"/>
    <n v="2"/>
    <s v="Male"/>
    <n v="45"/>
    <n v="2"/>
    <n v="2"/>
    <x v="4"/>
    <n v="3"/>
    <s v="Single"/>
    <n v="4617"/>
    <n v="14120"/>
    <n v="1"/>
    <s v="Y"/>
    <s v="No"/>
    <n v="12"/>
    <n v="3"/>
    <n v="2"/>
    <n v="80"/>
    <n v="0"/>
    <n v="4"/>
    <n v="2"/>
    <n v="2"/>
    <n v="4"/>
    <n v="3"/>
    <x v="1"/>
    <n v="2"/>
    <s v="OK"/>
    <s v="OK"/>
    <s v="OK"/>
    <s v="OK"/>
    <n v="0.25"/>
    <n v="0.75"/>
    <n v="0.5"/>
    <n v="0.5"/>
  </r>
  <r>
    <n v="23"/>
    <s v="No"/>
    <s v="Travel_Rarely"/>
    <n v="571"/>
    <s v="Research &amp; Development"/>
    <n v="12"/>
    <n v="2"/>
    <s v="Other"/>
    <n v="1"/>
    <n v="1982"/>
    <n v="4"/>
    <s v="Male"/>
    <n v="78"/>
    <n v="3"/>
    <n v="1"/>
    <x v="2"/>
    <n v="4"/>
    <s v="Single"/>
    <n v="2647"/>
    <n v="13672"/>
    <n v="1"/>
    <s v="Y"/>
    <s v="No"/>
    <n v="13"/>
    <n v="3"/>
    <n v="3"/>
    <n v="80"/>
    <n v="0"/>
    <n v="5"/>
    <n v="6"/>
    <n v="4"/>
    <n v="5"/>
    <n v="2"/>
    <x v="1"/>
    <n v="4"/>
    <s v="OK"/>
    <s v="OK"/>
    <s v="OK"/>
    <s v="OK"/>
    <n v="0.2"/>
    <n v="0.4"/>
    <n v="1.2"/>
    <n v="0.8"/>
  </r>
  <r>
    <n v="40"/>
    <s v="No"/>
    <s v="Travel_Frequently"/>
    <n v="692"/>
    <s v="Research &amp; Development"/>
    <n v="11"/>
    <n v="3"/>
    <s v="Technical Degree"/>
    <n v="1"/>
    <n v="1985"/>
    <n v="4"/>
    <s v="Female"/>
    <n v="73"/>
    <n v="3"/>
    <n v="2"/>
    <x v="2"/>
    <n v="3"/>
    <s v="Married"/>
    <n v="6323"/>
    <n v="26849"/>
    <n v="1"/>
    <s v="Y"/>
    <s v="No"/>
    <n v="11"/>
    <n v="3"/>
    <n v="1"/>
    <n v="80"/>
    <n v="1"/>
    <n v="10"/>
    <n v="2"/>
    <n v="4"/>
    <n v="10"/>
    <n v="9"/>
    <x v="10"/>
    <n v="4"/>
    <s v="OK"/>
    <s v="OK"/>
    <s v="OK"/>
    <s v="OK"/>
    <n v="0.9"/>
    <n v="0.9"/>
    <n v="0.2"/>
    <n v="0.4"/>
  </r>
  <r>
    <n v="40"/>
    <s v="No"/>
    <s v="Travel_Rarely"/>
    <n v="444"/>
    <s v="Sales"/>
    <n v="2"/>
    <n v="2"/>
    <s v="Marketing"/>
    <n v="1"/>
    <n v="1986"/>
    <n v="2"/>
    <s v="Female"/>
    <n v="92"/>
    <n v="3"/>
    <n v="2"/>
    <x v="0"/>
    <n v="2"/>
    <s v="Married"/>
    <n v="5677"/>
    <n v="4258"/>
    <n v="3"/>
    <s v="Y"/>
    <s v="No"/>
    <n v="14"/>
    <n v="3"/>
    <n v="3"/>
    <n v="80"/>
    <n v="1"/>
    <n v="15"/>
    <n v="4"/>
    <n v="3"/>
    <n v="11"/>
    <n v="8"/>
    <x v="8"/>
    <n v="10"/>
    <s v="OK"/>
    <s v="OK"/>
    <s v="OK"/>
    <s v="OK"/>
    <n v="0.45454545454545453"/>
    <n v="0.72727272727272729"/>
    <n v="0.36363636363636365"/>
    <n v="0.90909090909090906"/>
  </r>
  <r>
    <n v="25"/>
    <s v="No"/>
    <s v="Travel_Rarely"/>
    <n v="309"/>
    <s v="Human Resources"/>
    <n v="2"/>
    <n v="3"/>
    <s v="Human Resources"/>
    <n v="1"/>
    <n v="1987"/>
    <n v="3"/>
    <s v="Female"/>
    <n v="82"/>
    <n v="3"/>
    <n v="1"/>
    <x v="8"/>
    <n v="2"/>
    <s v="Married"/>
    <n v="2187"/>
    <n v="19655"/>
    <n v="4"/>
    <s v="Y"/>
    <s v="No"/>
    <n v="14"/>
    <n v="3"/>
    <n v="3"/>
    <n v="80"/>
    <n v="0"/>
    <n v="6"/>
    <n v="3"/>
    <n v="3"/>
    <n v="2"/>
    <n v="0"/>
    <x v="1"/>
    <n v="2"/>
    <s v="OK"/>
    <s v="OK"/>
    <s v="OK"/>
    <s v="OK"/>
    <n v="0.5"/>
    <n v="0"/>
    <n v="1.5"/>
    <n v="1"/>
  </r>
  <r>
    <n v="30"/>
    <s v="No"/>
    <s v="Travel_Rarely"/>
    <n v="911"/>
    <s v="Research &amp; Development"/>
    <n v="1"/>
    <n v="2"/>
    <s v="Medical"/>
    <n v="1"/>
    <n v="1989"/>
    <n v="4"/>
    <s v="Male"/>
    <n v="76"/>
    <n v="3"/>
    <n v="1"/>
    <x v="2"/>
    <n v="2"/>
    <s v="Married"/>
    <n v="3748"/>
    <n v="4077"/>
    <n v="1"/>
    <s v="Y"/>
    <s v="No"/>
    <n v="13"/>
    <n v="3"/>
    <n v="3"/>
    <n v="80"/>
    <n v="0"/>
    <n v="12"/>
    <n v="6"/>
    <n v="2"/>
    <n v="12"/>
    <n v="8"/>
    <x v="1"/>
    <n v="7"/>
    <s v="OK"/>
    <s v="OK"/>
    <s v="OK"/>
    <s v="OK"/>
    <n v="8.3333333333333329E-2"/>
    <n v="0.66666666666666663"/>
    <n v="0.5"/>
    <n v="0.58333333333333337"/>
  </r>
  <r>
    <n v="25"/>
    <s v="No"/>
    <s v="Travel_Rarely"/>
    <n v="977"/>
    <s v="Research &amp; Development"/>
    <n v="2"/>
    <n v="1"/>
    <s v="Other"/>
    <n v="1"/>
    <n v="1992"/>
    <n v="4"/>
    <s v="Male"/>
    <n v="57"/>
    <n v="3"/>
    <n v="1"/>
    <x v="2"/>
    <n v="3"/>
    <s v="Divorced"/>
    <n v="3977"/>
    <n v="7298"/>
    <n v="6"/>
    <s v="Y"/>
    <s v="Yes"/>
    <n v="19"/>
    <n v="3"/>
    <n v="3"/>
    <n v="80"/>
    <n v="1"/>
    <n v="7"/>
    <n v="2"/>
    <n v="2"/>
    <n v="2"/>
    <n v="2"/>
    <x v="0"/>
    <n v="2"/>
    <s v="OK"/>
    <s v="OK"/>
    <s v="OK"/>
    <s v="OK"/>
    <n v="0"/>
    <n v="1"/>
    <n v="1"/>
    <n v="1"/>
  </r>
  <r>
    <n v="47"/>
    <s v="No"/>
    <s v="Travel_Rarely"/>
    <n v="1180"/>
    <s v="Research &amp; Development"/>
    <n v="25"/>
    <n v="3"/>
    <s v="Medical"/>
    <n v="1"/>
    <n v="1993"/>
    <n v="1"/>
    <s v="Male"/>
    <n v="84"/>
    <n v="3"/>
    <n v="3"/>
    <x v="4"/>
    <n v="3"/>
    <s v="Single"/>
    <n v="8633"/>
    <n v="13084"/>
    <n v="2"/>
    <s v="Y"/>
    <s v="No"/>
    <n v="23"/>
    <n v="4"/>
    <n v="2"/>
    <n v="80"/>
    <n v="0"/>
    <n v="25"/>
    <n v="3"/>
    <n v="3"/>
    <n v="17"/>
    <n v="14"/>
    <x v="12"/>
    <n v="11"/>
    <s v="OK"/>
    <s v="OK"/>
    <s v="OK"/>
    <s v="OK"/>
    <n v="0.70588235294117652"/>
    <n v="0.82352941176470584"/>
    <n v="0.17647058823529413"/>
    <n v="0.6470588235294118"/>
  </r>
  <r>
    <n v="33"/>
    <s v="No"/>
    <s v="Non-Travel"/>
    <n v="1313"/>
    <s v="Research &amp; Development"/>
    <n v="1"/>
    <n v="2"/>
    <s v="Medical"/>
    <n v="1"/>
    <n v="1994"/>
    <n v="2"/>
    <s v="Male"/>
    <n v="59"/>
    <n v="2"/>
    <n v="1"/>
    <x v="2"/>
    <n v="3"/>
    <s v="Divorced"/>
    <n v="2008"/>
    <n v="20439"/>
    <n v="1"/>
    <s v="Y"/>
    <s v="No"/>
    <n v="12"/>
    <n v="3"/>
    <n v="3"/>
    <n v="80"/>
    <n v="3"/>
    <n v="1"/>
    <n v="2"/>
    <n v="2"/>
    <n v="1"/>
    <n v="1"/>
    <x v="0"/>
    <n v="0"/>
    <s v="OK"/>
    <s v="OK"/>
    <s v="OK"/>
    <s v="OK"/>
    <n v="0"/>
    <n v="1"/>
    <n v="2"/>
    <n v="0"/>
  </r>
  <r>
    <n v="38"/>
    <s v="No"/>
    <s v="Travel_Rarely"/>
    <n v="1321"/>
    <s v="Sales"/>
    <n v="1"/>
    <n v="4"/>
    <s v="Life Sciences"/>
    <n v="1"/>
    <n v="1995"/>
    <n v="4"/>
    <s v="Male"/>
    <n v="86"/>
    <n v="3"/>
    <n v="2"/>
    <x v="0"/>
    <n v="2"/>
    <s v="Married"/>
    <n v="4440"/>
    <n v="7636"/>
    <n v="0"/>
    <s v="Y"/>
    <s v="No"/>
    <n v="15"/>
    <n v="3"/>
    <n v="1"/>
    <n v="80"/>
    <n v="2"/>
    <n v="16"/>
    <n v="3"/>
    <n v="3"/>
    <n v="15"/>
    <n v="13"/>
    <x v="8"/>
    <n v="8"/>
    <s v="OK"/>
    <s v="OK"/>
    <s v="OK"/>
    <s v="OK"/>
    <n v="0.33333333333333331"/>
    <n v="0.8666666666666667"/>
    <n v="0.2"/>
    <n v="0.53333333333333333"/>
  </r>
  <r>
    <n v="31"/>
    <s v="No"/>
    <s v="Travel_Rarely"/>
    <n v="1154"/>
    <s v="Sales"/>
    <n v="2"/>
    <n v="2"/>
    <s v="Life Sciences"/>
    <n v="1"/>
    <n v="1996"/>
    <n v="1"/>
    <s v="Male"/>
    <n v="54"/>
    <n v="3"/>
    <n v="1"/>
    <x v="6"/>
    <n v="3"/>
    <s v="Married"/>
    <n v="3067"/>
    <n v="6393"/>
    <n v="0"/>
    <s v="Y"/>
    <s v="No"/>
    <n v="19"/>
    <n v="3"/>
    <n v="3"/>
    <n v="80"/>
    <n v="1"/>
    <n v="3"/>
    <n v="1"/>
    <n v="3"/>
    <n v="2"/>
    <n v="2"/>
    <x v="1"/>
    <n v="2"/>
    <s v="OK"/>
    <s v="OK"/>
    <s v="OK"/>
    <s v="OK"/>
    <n v="0.5"/>
    <n v="1"/>
    <n v="0.5"/>
    <n v="1"/>
  </r>
  <r>
    <n v="38"/>
    <s v="No"/>
    <s v="Travel_Frequently"/>
    <n v="508"/>
    <s v="Research &amp; Development"/>
    <n v="6"/>
    <n v="4"/>
    <s v="Life Sciences"/>
    <n v="1"/>
    <n v="1997"/>
    <n v="1"/>
    <s v="Male"/>
    <n v="72"/>
    <n v="2"/>
    <n v="2"/>
    <x v="3"/>
    <n v="3"/>
    <s v="Married"/>
    <n v="5321"/>
    <n v="14284"/>
    <n v="2"/>
    <s v="Y"/>
    <s v="No"/>
    <n v="11"/>
    <n v="3"/>
    <n v="4"/>
    <n v="80"/>
    <n v="1"/>
    <n v="10"/>
    <n v="1"/>
    <n v="3"/>
    <n v="8"/>
    <n v="3"/>
    <x v="4"/>
    <n v="7"/>
    <s v="OK"/>
    <s v="OK"/>
    <s v="OK"/>
    <s v="OK"/>
    <n v="0.875"/>
    <n v="0.375"/>
    <n v="0.125"/>
    <n v="0.875"/>
  </r>
  <r>
    <n v="42"/>
    <s v="No"/>
    <s v="Travel_Rarely"/>
    <n v="557"/>
    <s v="Research &amp; Development"/>
    <n v="18"/>
    <n v="4"/>
    <s v="Life Sciences"/>
    <n v="1"/>
    <n v="1998"/>
    <n v="4"/>
    <s v="Male"/>
    <n v="35"/>
    <n v="3"/>
    <n v="2"/>
    <x v="1"/>
    <n v="1"/>
    <s v="Divorced"/>
    <n v="5410"/>
    <n v="11189"/>
    <n v="6"/>
    <s v="Y"/>
    <s v="Yes"/>
    <n v="17"/>
    <n v="3"/>
    <n v="3"/>
    <n v="80"/>
    <n v="1"/>
    <n v="9"/>
    <n v="3"/>
    <n v="2"/>
    <n v="4"/>
    <n v="3"/>
    <x v="1"/>
    <n v="2"/>
    <s v="OK"/>
    <s v="OK"/>
    <s v="OK"/>
    <s v="OK"/>
    <n v="0.25"/>
    <n v="0.75"/>
    <n v="0.75"/>
    <n v="0.5"/>
  </r>
  <r>
    <n v="41"/>
    <s v="No"/>
    <s v="Travel_Rarely"/>
    <n v="642"/>
    <s v="Research &amp; Development"/>
    <n v="1"/>
    <n v="3"/>
    <s v="Life Sciences"/>
    <n v="1"/>
    <n v="1999"/>
    <n v="4"/>
    <s v="Male"/>
    <n v="76"/>
    <n v="3"/>
    <n v="1"/>
    <x v="1"/>
    <n v="4"/>
    <s v="Married"/>
    <n v="2782"/>
    <n v="21412"/>
    <n v="3"/>
    <s v="Y"/>
    <s v="No"/>
    <n v="22"/>
    <n v="4"/>
    <n v="1"/>
    <n v="80"/>
    <n v="1"/>
    <n v="12"/>
    <n v="3"/>
    <n v="3"/>
    <n v="5"/>
    <n v="3"/>
    <x v="1"/>
    <n v="0"/>
    <s v="OK"/>
    <s v="OK"/>
    <s v="OK"/>
    <s v="OK"/>
    <n v="0.2"/>
    <n v="0.6"/>
    <n v="0.6"/>
    <n v="0"/>
  </r>
  <r>
    <n v="47"/>
    <s v="No"/>
    <s v="Non-Travel"/>
    <n v="1162"/>
    <s v="Research &amp; Development"/>
    <n v="1"/>
    <n v="1"/>
    <s v="Medical"/>
    <n v="1"/>
    <n v="2000"/>
    <n v="3"/>
    <s v="Female"/>
    <n v="98"/>
    <n v="3"/>
    <n v="3"/>
    <x v="7"/>
    <n v="2"/>
    <s v="Married"/>
    <n v="11957"/>
    <n v="17231"/>
    <n v="0"/>
    <s v="Y"/>
    <s v="No"/>
    <n v="18"/>
    <n v="3"/>
    <n v="1"/>
    <n v="80"/>
    <n v="2"/>
    <n v="14"/>
    <n v="3"/>
    <n v="1"/>
    <n v="13"/>
    <n v="8"/>
    <x v="8"/>
    <n v="12"/>
    <s v="OK"/>
    <s v="OK"/>
    <s v="OK"/>
    <s v="OK"/>
    <n v="0.38461538461538464"/>
    <n v="0.61538461538461542"/>
    <n v="0.23076923076923078"/>
    <n v="0.92307692307692313"/>
  </r>
  <r>
    <n v="35"/>
    <s v="No"/>
    <s v="Travel_Rarely"/>
    <n v="1490"/>
    <s v="Research &amp; Development"/>
    <n v="11"/>
    <n v="4"/>
    <s v="Medical"/>
    <n v="1"/>
    <n v="2003"/>
    <n v="4"/>
    <s v="Male"/>
    <n v="43"/>
    <n v="3"/>
    <n v="1"/>
    <x v="2"/>
    <n v="3"/>
    <s v="Married"/>
    <n v="2660"/>
    <n v="20232"/>
    <n v="7"/>
    <s v="Y"/>
    <s v="Yes"/>
    <n v="11"/>
    <n v="3"/>
    <n v="3"/>
    <n v="80"/>
    <n v="1"/>
    <n v="5"/>
    <n v="3"/>
    <n v="3"/>
    <n v="2"/>
    <n v="2"/>
    <x v="3"/>
    <n v="2"/>
    <s v="OK"/>
    <s v="OK"/>
    <s v="OK"/>
    <s v="OK"/>
    <n v="1"/>
    <n v="1"/>
    <n v="1.5"/>
    <n v="1"/>
  </r>
  <r>
    <n v="22"/>
    <s v="No"/>
    <s v="Travel_Rarely"/>
    <n v="581"/>
    <s v="Research &amp; Development"/>
    <n v="1"/>
    <n v="2"/>
    <s v="Life Sciences"/>
    <n v="1"/>
    <n v="2007"/>
    <n v="4"/>
    <s v="Male"/>
    <n v="63"/>
    <n v="3"/>
    <n v="1"/>
    <x v="1"/>
    <n v="3"/>
    <s v="Single"/>
    <n v="3375"/>
    <n v="17624"/>
    <n v="0"/>
    <s v="Y"/>
    <s v="No"/>
    <n v="12"/>
    <n v="3"/>
    <n v="4"/>
    <n v="80"/>
    <n v="0"/>
    <n v="4"/>
    <n v="2"/>
    <n v="4"/>
    <n v="3"/>
    <n v="2"/>
    <x v="1"/>
    <n v="2"/>
    <s v="OK"/>
    <s v="OK"/>
    <s v="OK"/>
    <s v="OK"/>
    <n v="0.33333333333333331"/>
    <n v="0.66666666666666663"/>
    <n v="0.66666666666666663"/>
    <n v="0.66666666666666663"/>
  </r>
  <r>
    <n v="35"/>
    <s v="No"/>
    <s v="Travel_Rarely"/>
    <n v="1395"/>
    <s v="Research &amp; Development"/>
    <n v="9"/>
    <n v="4"/>
    <s v="Medical"/>
    <n v="1"/>
    <n v="2008"/>
    <n v="2"/>
    <s v="Male"/>
    <n v="48"/>
    <n v="3"/>
    <n v="2"/>
    <x v="1"/>
    <n v="3"/>
    <s v="Single"/>
    <n v="5098"/>
    <n v="18698"/>
    <n v="1"/>
    <s v="Y"/>
    <s v="No"/>
    <n v="19"/>
    <n v="3"/>
    <n v="2"/>
    <n v="80"/>
    <n v="0"/>
    <n v="10"/>
    <n v="5"/>
    <n v="3"/>
    <n v="10"/>
    <n v="7"/>
    <x v="0"/>
    <n v="8"/>
    <s v="OK"/>
    <s v="OK"/>
    <s v="OK"/>
    <s v="OK"/>
    <n v="0"/>
    <n v="0.7"/>
    <n v="0.5"/>
    <n v="0.8"/>
  </r>
  <r>
    <n v="33"/>
    <s v="No"/>
    <s v="Travel_Rarely"/>
    <n v="501"/>
    <s v="Research &amp; Development"/>
    <n v="15"/>
    <n v="2"/>
    <s v="Medical"/>
    <n v="1"/>
    <n v="2009"/>
    <n v="2"/>
    <s v="Female"/>
    <n v="95"/>
    <n v="3"/>
    <n v="2"/>
    <x v="4"/>
    <n v="4"/>
    <s v="Married"/>
    <n v="4878"/>
    <n v="21653"/>
    <n v="0"/>
    <s v="Y"/>
    <s v="Yes"/>
    <n v="13"/>
    <n v="3"/>
    <n v="1"/>
    <n v="80"/>
    <n v="1"/>
    <n v="10"/>
    <n v="6"/>
    <n v="3"/>
    <n v="9"/>
    <n v="7"/>
    <x v="6"/>
    <n v="1"/>
    <s v="OK"/>
    <s v="OK"/>
    <s v="OK"/>
    <s v="OK"/>
    <n v="0.88888888888888884"/>
    <n v="0.77777777777777779"/>
    <n v="0.66666666666666663"/>
    <n v="0.1111111111111111"/>
  </r>
  <r>
    <n v="32"/>
    <s v="No"/>
    <s v="Travel_Rarely"/>
    <n v="267"/>
    <s v="Research &amp; Development"/>
    <n v="29"/>
    <n v="4"/>
    <s v="Life Sciences"/>
    <n v="1"/>
    <n v="2010"/>
    <n v="3"/>
    <s v="Female"/>
    <n v="49"/>
    <n v="2"/>
    <n v="1"/>
    <x v="2"/>
    <n v="2"/>
    <s v="Single"/>
    <n v="2837"/>
    <n v="15919"/>
    <n v="1"/>
    <s v="Y"/>
    <s v="No"/>
    <n v="13"/>
    <n v="3"/>
    <n v="3"/>
    <n v="80"/>
    <n v="0"/>
    <n v="6"/>
    <n v="3"/>
    <n v="3"/>
    <n v="6"/>
    <n v="2"/>
    <x v="5"/>
    <n v="1"/>
    <s v="OK"/>
    <s v="OK"/>
    <s v="OK"/>
    <s v="OK"/>
    <n v="0.66666666666666663"/>
    <n v="0.33333333333333331"/>
    <n v="0.5"/>
    <n v="0.16666666666666666"/>
  </r>
  <r>
    <n v="40"/>
    <s v="No"/>
    <s v="Travel_Rarely"/>
    <n v="543"/>
    <s v="Research &amp; Development"/>
    <n v="1"/>
    <n v="4"/>
    <s v="Life Sciences"/>
    <n v="1"/>
    <n v="2012"/>
    <n v="1"/>
    <s v="Male"/>
    <n v="83"/>
    <n v="3"/>
    <n v="1"/>
    <x v="2"/>
    <n v="4"/>
    <s v="Married"/>
    <n v="2406"/>
    <n v="4060"/>
    <n v="8"/>
    <s v="Y"/>
    <s v="No"/>
    <n v="19"/>
    <n v="3"/>
    <n v="3"/>
    <n v="80"/>
    <n v="2"/>
    <n v="8"/>
    <n v="3"/>
    <n v="2"/>
    <n v="1"/>
    <n v="0"/>
    <x v="0"/>
    <n v="0"/>
    <s v="OK"/>
    <s v="OK"/>
    <s v="OK"/>
    <s v="OK"/>
    <n v="0"/>
    <n v="0"/>
    <n v="3"/>
    <n v="0"/>
  </r>
  <r>
    <n v="32"/>
    <s v="No"/>
    <s v="Travel_Rarely"/>
    <n v="234"/>
    <s v="Sales"/>
    <n v="1"/>
    <n v="4"/>
    <s v="Medical"/>
    <n v="1"/>
    <n v="2013"/>
    <n v="2"/>
    <s v="Male"/>
    <n v="68"/>
    <n v="2"/>
    <n v="1"/>
    <x v="6"/>
    <n v="2"/>
    <s v="Married"/>
    <n v="2269"/>
    <n v="18024"/>
    <n v="0"/>
    <s v="Y"/>
    <s v="No"/>
    <n v="14"/>
    <n v="3"/>
    <n v="2"/>
    <n v="80"/>
    <n v="1"/>
    <n v="3"/>
    <n v="2"/>
    <n v="3"/>
    <n v="2"/>
    <n v="2"/>
    <x v="3"/>
    <n v="2"/>
    <s v="OK"/>
    <s v="OK"/>
    <s v="OK"/>
    <s v="OK"/>
    <n v="1"/>
    <n v="1"/>
    <n v="1"/>
    <n v="1"/>
  </r>
  <r>
    <n v="39"/>
    <s v="No"/>
    <s v="Travel_Rarely"/>
    <n v="116"/>
    <s v="Research &amp; Development"/>
    <n v="24"/>
    <n v="1"/>
    <s v="Life Sciences"/>
    <n v="1"/>
    <n v="2014"/>
    <n v="1"/>
    <s v="Male"/>
    <n v="52"/>
    <n v="3"/>
    <n v="2"/>
    <x v="1"/>
    <n v="4"/>
    <s v="Single"/>
    <n v="4108"/>
    <n v="5340"/>
    <n v="7"/>
    <s v="Y"/>
    <s v="No"/>
    <n v="13"/>
    <n v="3"/>
    <n v="1"/>
    <n v="80"/>
    <n v="0"/>
    <n v="18"/>
    <n v="2"/>
    <n v="3"/>
    <n v="7"/>
    <n v="7"/>
    <x v="1"/>
    <n v="7"/>
    <s v="OK"/>
    <s v="OK"/>
    <s v="OK"/>
    <s v="OK"/>
    <n v="0.14285714285714285"/>
    <n v="1"/>
    <n v="0.2857142857142857"/>
    <n v="1"/>
  </r>
  <r>
    <n v="38"/>
    <s v="No"/>
    <s v="Travel_Rarely"/>
    <n v="201"/>
    <s v="Research &amp; Development"/>
    <n v="10"/>
    <n v="3"/>
    <s v="Medical"/>
    <n v="1"/>
    <n v="2015"/>
    <n v="2"/>
    <s v="Female"/>
    <n v="99"/>
    <n v="1"/>
    <n v="3"/>
    <x v="7"/>
    <n v="3"/>
    <s v="Married"/>
    <n v="13206"/>
    <n v="3376"/>
    <n v="3"/>
    <s v="Y"/>
    <s v="No"/>
    <n v="12"/>
    <n v="3"/>
    <n v="1"/>
    <n v="80"/>
    <n v="1"/>
    <n v="20"/>
    <n v="3"/>
    <n v="3"/>
    <n v="18"/>
    <n v="16"/>
    <x v="1"/>
    <n v="11"/>
    <s v="OK"/>
    <s v="OK"/>
    <s v="OK"/>
    <s v="OK"/>
    <n v="5.5555555555555552E-2"/>
    <n v="0.88888888888888884"/>
    <n v="0.16666666666666666"/>
    <n v="0.61111111111111116"/>
  </r>
  <r>
    <n v="32"/>
    <s v="No"/>
    <s v="Travel_Rarely"/>
    <n v="801"/>
    <s v="Sales"/>
    <n v="1"/>
    <n v="4"/>
    <s v="Marketing"/>
    <n v="1"/>
    <n v="2016"/>
    <n v="3"/>
    <s v="Female"/>
    <n v="48"/>
    <n v="3"/>
    <n v="3"/>
    <x v="0"/>
    <n v="4"/>
    <s v="Married"/>
    <n v="10422"/>
    <n v="24032"/>
    <n v="1"/>
    <s v="Y"/>
    <s v="No"/>
    <n v="19"/>
    <n v="3"/>
    <n v="3"/>
    <n v="80"/>
    <n v="2"/>
    <n v="14"/>
    <n v="3"/>
    <n v="3"/>
    <n v="14"/>
    <n v="10"/>
    <x v="8"/>
    <n v="7"/>
    <s v="OK"/>
    <s v="OK"/>
    <s v="OK"/>
    <s v="OK"/>
    <n v="0.35714285714285715"/>
    <n v="0.7142857142857143"/>
    <n v="0.21428571428571427"/>
    <n v="0.5"/>
  </r>
  <r>
    <n v="37"/>
    <s v="No"/>
    <s v="Travel_Rarely"/>
    <n v="161"/>
    <s v="Research &amp; Development"/>
    <n v="10"/>
    <n v="3"/>
    <s v="Life Sciences"/>
    <n v="1"/>
    <n v="2017"/>
    <n v="3"/>
    <s v="Female"/>
    <n v="42"/>
    <n v="4"/>
    <n v="3"/>
    <x v="7"/>
    <n v="4"/>
    <s v="Married"/>
    <n v="13744"/>
    <n v="15471"/>
    <n v="1"/>
    <s v="Y"/>
    <s v="Yes"/>
    <n v="25"/>
    <n v="4"/>
    <n v="1"/>
    <n v="80"/>
    <n v="1"/>
    <n v="16"/>
    <n v="2"/>
    <n v="3"/>
    <n v="16"/>
    <n v="11"/>
    <x v="7"/>
    <n v="8"/>
    <s v="OK"/>
    <s v="OK"/>
    <s v="OK"/>
    <s v="OK"/>
    <n v="0.375"/>
    <n v="0.6875"/>
    <n v="0.125"/>
    <n v="0.5"/>
  </r>
  <r>
    <n v="25"/>
    <s v="No"/>
    <s v="Travel_Rarely"/>
    <n v="1382"/>
    <s v="Sales"/>
    <n v="8"/>
    <n v="2"/>
    <s v="Other"/>
    <n v="1"/>
    <n v="2018"/>
    <n v="1"/>
    <s v="Female"/>
    <n v="85"/>
    <n v="3"/>
    <n v="2"/>
    <x v="0"/>
    <n v="3"/>
    <s v="Divorced"/>
    <n v="4907"/>
    <n v="13684"/>
    <n v="0"/>
    <s v="Y"/>
    <s v="Yes"/>
    <n v="22"/>
    <n v="4"/>
    <n v="2"/>
    <n v="80"/>
    <n v="1"/>
    <n v="6"/>
    <n v="3"/>
    <n v="2"/>
    <n v="5"/>
    <n v="3"/>
    <x v="0"/>
    <n v="4"/>
    <s v="OK"/>
    <s v="OK"/>
    <s v="OK"/>
    <s v="OK"/>
    <n v="0"/>
    <n v="0.6"/>
    <n v="0.6"/>
    <n v="0.8"/>
  </r>
  <r>
    <n v="52"/>
    <s v="No"/>
    <s v="Non-Travel"/>
    <n v="585"/>
    <s v="Sales"/>
    <n v="29"/>
    <n v="4"/>
    <s v="Life Sciences"/>
    <n v="1"/>
    <n v="2019"/>
    <n v="1"/>
    <s v="Male"/>
    <n v="40"/>
    <n v="3"/>
    <n v="1"/>
    <x v="6"/>
    <n v="4"/>
    <s v="Divorced"/>
    <n v="3482"/>
    <n v="19788"/>
    <n v="2"/>
    <s v="Y"/>
    <s v="No"/>
    <n v="15"/>
    <n v="3"/>
    <n v="2"/>
    <n v="80"/>
    <n v="2"/>
    <n v="16"/>
    <n v="3"/>
    <n v="2"/>
    <n v="9"/>
    <n v="8"/>
    <x v="0"/>
    <n v="0"/>
    <s v="OK"/>
    <s v="OK"/>
    <s v="OK"/>
    <s v="OK"/>
    <n v="0"/>
    <n v="0.88888888888888884"/>
    <n v="0.33333333333333331"/>
    <n v="0"/>
  </r>
  <r>
    <n v="44"/>
    <s v="No"/>
    <s v="Travel_Rarely"/>
    <n v="1037"/>
    <s v="Research &amp; Development"/>
    <n v="1"/>
    <n v="3"/>
    <s v="Medical"/>
    <n v="1"/>
    <n v="2020"/>
    <n v="2"/>
    <s v="Male"/>
    <n v="42"/>
    <n v="3"/>
    <n v="1"/>
    <x v="1"/>
    <n v="4"/>
    <s v="Single"/>
    <n v="2436"/>
    <n v="13422"/>
    <n v="6"/>
    <s v="Y"/>
    <s v="Yes"/>
    <n v="12"/>
    <n v="3"/>
    <n v="3"/>
    <n v="80"/>
    <n v="0"/>
    <n v="6"/>
    <n v="2"/>
    <n v="3"/>
    <n v="4"/>
    <n v="3"/>
    <x v="1"/>
    <n v="2"/>
    <s v="OK"/>
    <s v="OK"/>
    <s v="OK"/>
    <s v="OK"/>
    <n v="0.25"/>
    <n v="0.75"/>
    <n v="0.5"/>
    <n v="0.5"/>
  </r>
  <r>
    <n v="21"/>
    <s v="No"/>
    <s v="Travel_Rarely"/>
    <n v="501"/>
    <s v="Sales"/>
    <n v="5"/>
    <n v="1"/>
    <s v="Medical"/>
    <n v="1"/>
    <n v="2021"/>
    <n v="3"/>
    <s v="Male"/>
    <n v="58"/>
    <n v="3"/>
    <n v="1"/>
    <x v="6"/>
    <n v="1"/>
    <s v="Single"/>
    <n v="2380"/>
    <n v="25479"/>
    <n v="1"/>
    <s v="Y"/>
    <s v="Yes"/>
    <n v="11"/>
    <n v="3"/>
    <n v="4"/>
    <n v="80"/>
    <n v="0"/>
    <n v="2"/>
    <n v="6"/>
    <n v="3"/>
    <n v="2"/>
    <n v="2"/>
    <x v="1"/>
    <n v="2"/>
    <s v="OK"/>
    <s v="OK"/>
    <s v="OK"/>
    <s v="OK"/>
    <n v="0.5"/>
    <n v="1"/>
    <n v="3"/>
    <n v="1"/>
  </r>
  <r>
    <n v="39"/>
    <s v="No"/>
    <s v="Non-Travel"/>
    <n v="105"/>
    <s v="Research &amp; Development"/>
    <n v="9"/>
    <n v="3"/>
    <s v="Life Sciences"/>
    <n v="1"/>
    <n v="2022"/>
    <n v="4"/>
    <s v="Male"/>
    <n v="87"/>
    <n v="3"/>
    <n v="5"/>
    <x v="5"/>
    <n v="4"/>
    <s v="Single"/>
    <n v="19431"/>
    <n v="15302"/>
    <n v="2"/>
    <s v="Y"/>
    <s v="No"/>
    <n v="13"/>
    <n v="3"/>
    <n v="3"/>
    <n v="80"/>
    <n v="0"/>
    <n v="21"/>
    <n v="3"/>
    <n v="2"/>
    <n v="6"/>
    <n v="0"/>
    <x v="1"/>
    <n v="3"/>
    <s v="OK"/>
    <s v="OK"/>
    <s v="OK"/>
    <s v="OK"/>
    <n v="0.16666666666666666"/>
    <n v="0"/>
    <n v="0.5"/>
    <n v="0.5"/>
  </r>
  <r>
    <n v="23"/>
    <s v="Yes"/>
    <s v="Travel_Frequently"/>
    <n v="638"/>
    <s v="Sales"/>
    <n v="9"/>
    <n v="3"/>
    <s v="Marketing"/>
    <n v="1"/>
    <n v="2023"/>
    <n v="4"/>
    <s v="Male"/>
    <n v="33"/>
    <n v="3"/>
    <n v="1"/>
    <x v="6"/>
    <n v="1"/>
    <s v="Married"/>
    <n v="1790"/>
    <n v="26956"/>
    <n v="1"/>
    <s v="Y"/>
    <s v="No"/>
    <n v="19"/>
    <n v="3"/>
    <n v="1"/>
    <n v="80"/>
    <n v="1"/>
    <n v="1"/>
    <n v="3"/>
    <n v="2"/>
    <n v="1"/>
    <n v="0"/>
    <x v="1"/>
    <n v="0"/>
    <s v="OK"/>
    <s v="OK"/>
    <s v="OK"/>
    <s v="OK"/>
    <n v="1"/>
    <n v="0"/>
    <n v="3"/>
    <n v="0"/>
  </r>
  <r>
    <n v="36"/>
    <s v="No"/>
    <s v="Travel_Rarely"/>
    <n v="557"/>
    <s v="Sales"/>
    <n v="3"/>
    <n v="3"/>
    <s v="Medical"/>
    <n v="1"/>
    <n v="2024"/>
    <n v="1"/>
    <s v="Female"/>
    <n v="94"/>
    <n v="2"/>
    <n v="3"/>
    <x v="0"/>
    <n v="4"/>
    <s v="Married"/>
    <n v="7644"/>
    <n v="12695"/>
    <n v="0"/>
    <s v="Y"/>
    <s v="No"/>
    <n v="19"/>
    <n v="3"/>
    <n v="3"/>
    <n v="80"/>
    <n v="2"/>
    <n v="10"/>
    <n v="2"/>
    <n v="3"/>
    <n v="9"/>
    <n v="7"/>
    <x v="2"/>
    <n v="4"/>
    <s v="OK"/>
    <s v="OK"/>
    <s v="OK"/>
    <s v="OK"/>
    <n v="0.33333333333333331"/>
    <n v="0.77777777777777779"/>
    <n v="0.22222222222222221"/>
    <n v="0.44444444444444442"/>
  </r>
  <r>
    <n v="36"/>
    <s v="No"/>
    <s v="Travel_Frequently"/>
    <n v="688"/>
    <s v="Research &amp; Development"/>
    <n v="4"/>
    <n v="2"/>
    <s v="Life Sciences"/>
    <n v="1"/>
    <n v="2025"/>
    <n v="4"/>
    <s v="Female"/>
    <n v="97"/>
    <n v="3"/>
    <n v="2"/>
    <x v="3"/>
    <n v="2"/>
    <s v="Divorced"/>
    <n v="5131"/>
    <n v="9192"/>
    <n v="7"/>
    <s v="Y"/>
    <s v="No"/>
    <n v="13"/>
    <n v="3"/>
    <n v="2"/>
    <n v="80"/>
    <n v="3"/>
    <n v="18"/>
    <n v="3"/>
    <n v="3"/>
    <n v="4"/>
    <n v="2"/>
    <x v="0"/>
    <n v="2"/>
    <s v="OK"/>
    <s v="OK"/>
    <s v="OK"/>
    <s v="OK"/>
    <n v="0"/>
    <n v="0.5"/>
    <n v="0.75"/>
    <n v="0.5"/>
  </r>
  <r>
    <n v="56"/>
    <s v="No"/>
    <s v="Non-Travel"/>
    <n v="667"/>
    <s v="Research &amp; Development"/>
    <n v="1"/>
    <n v="4"/>
    <s v="Life Sciences"/>
    <n v="1"/>
    <n v="2026"/>
    <n v="3"/>
    <s v="Male"/>
    <n v="57"/>
    <n v="3"/>
    <n v="2"/>
    <x v="4"/>
    <n v="3"/>
    <s v="Divorced"/>
    <n v="6306"/>
    <n v="26236"/>
    <n v="1"/>
    <s v="Y"/>
    <s v="No"/>
    <n v="21"/>
    <n v="4"/>
    <n v="1"/>
    <n v="80"/>
    <n v="1"/>
    <n v="13"/>
    <n v="2"/>
    <n v="2"/>
    <n v="13"/>
    <n v="12"/>
    <x v="1"/>
    <n v="9"/>
    <s v="OK"/>
    <s v="OK"/>
    <s v="OK"/>
    <s v="OK"/>
    <n v="7.6923076923076927E-2"/>
    <n v="0.92307692307692313"/>
    <n v="0.15384615384615385"/>
    <n v="0.69230769230769229"/>
  </r>
  <r>
    <n v="29"/>
    <s v="Yes"/>
    <s v="Travel_Rarely"/>
    <n v="1092"/>
    <s v="Research &amp; Development"/>
    <n v="1"/>
    <n v="4"/>
    <s v="Medical"/>
    <n v="1"/>
    <n v="2027"/>
    <n v="1"/>
    <s v="Male"/>
    <n v="36"/>
    <n v="3"/>
    <n v="1"/>
    <x v="1"/>
    <n v="4"/>
    <s v="Married"/>
    <n v="4787"/>
    <n v="26124"/>
    <n v="9"/>
    <s v="Y"/>
    <s v="Yes"/>
    <n v="14"/>
    <n v="3"/>
    <n v="2"/>
    <n v="80"/>
    <n v="3"/>
    <n v="4"/>
    <n v="3"/>
    <n v="4"/>
    <n v="2"/>
    <n v="2"/>
    <x v="3"/>
    <n v="2"/>
    <s v="OK"/>
    <s v="OK"/>
    <s v="OK"/>
    <s v="OK"/>
    <n v="1"/>
    <n v="1"/>
    <n v="1.5"/>
    <n v="1"/>
  </r>
  <r>
    <n v="42"/>
    <s v="No"/>
    <s v="Travel_Rarely"/>
    <n v="300"/>
    <s v="Research &amp; Development"/>
    <n v="2"/>
    <n v="3"/>
    <s v="Life Sciences"/>
    <n v="1"/>
    <n v="2031"/>
    <n v="1"/>
    <s v="Male"/>
    <n v="56"/>
    <n v="3"/>
    <n v="5"/>
    <x v="5"/>
    <n v="3"/>
    <s v="Married"/>
    <n v="18880"/>
    <n v="17312"/>
    <n v="5"/>
    <s v="Y"/>
    <s v="No"/>
    <n v="11"/>
    <n v="3"/>
    <n v="1"/>
    <n v="80"/>
    <n v="0"/>
    <n v="24"/>
    <n v="2"/>
    <n v="2"/>
    <n v="22"/>
    <n v="6"/>
    <x v="5"/>
    <n v="14"/>
    <s v="OK"/>
    <s v="OK"/>
    <s v="OK"/>
    <s v="OK"/>
    <n v="0.18181818181818182"/>
    <n v="0.27272727272727271"/>
    <n v="9.0909090909090912E-2"/>
    <n v="0.63636363636363635"/>
  </r>
  <r>
    <n v="56"/>
    <s v="Yes"/>
    <s v="Travel_Rarely"/>
    <n v="310"/>
    <s v="Research &amp; Development"/>
    <n v="7"/>
    <n v="2"/>
    <s v="Technical Degree"/>
    <n v="1"/>
    <n v="2032"/>
    <n v="4"/>
    <s v="Male"/>
    <n v="72"/>
    <n v="3"/>
    <n v="1"/>
    <x v="2"/>
    <n v="3"/>
    <s v="Married"/>
    <n v="2339"/>
    <n v="3666"/>
    <n v="8"/>
    <s v="Y"/>
    <s v="No"/>
    <n v="11"/>
    <n v="3"/>
    <n v="4"/>
    <n v="80"/>
    <n v="1"/>
    <n v="14"/>
    <n v="4"/>
    <n v="1"/>
    <n v="10"/>
    <n v="9"/>
    <x v="10"/>
    <n v="8"/>
    <s v="OK"/>
    <s v="OK"/>
    <s v="OK"/>
    <s v="OK"/>
    <n v="0.9"/>
    <n v="0.9"/>
    <n v="0.4"/>
    <n v="0.8"/>
  </r>
  <r>
    <n v="41"/>
    <s v="No"/>
    <s v="Travel_Rarely"/>
    <n v="582"/>
    <s v="Research &amp; Development"/>
    <n v="28"/>
    <n v="4"/>
    <s v="Life Sciences"/>
    <n v="1"/>
    <n v="2034"/>
    <n v="1"/>
    <s v="Female"/>
    <n v="60"/>
    <n v="2"/>
    <n v="4"/>
    <x v="3"/>
    <n v="2"/>
    <s v="Married"/>
    <n v="13570"/>
    <n v="5640"/>
    <n v="0"/>
    <s v="Y"/>
    <s v="No"/>
    <n v="23"/>
    <n v="4"/>
    <n v="3"/>
    <n v="80"/>
    <n v="1"/>
    <n v="21"/>
    <n v="3"/>
    <n v="3"/>
    <n v="20"/>
    <n v="7"/>
    <x v="0"/>
    <n v="10"/>
    <s v="OK"/>
    <s v="OK"/>
    <s v="OK"/>
    <s v="OK"/>
    <n v="0"/>
    <n v="0.35"/>
    <n v="0.15"/>
    <n v="0.5"/>
  </r>
  <r>
    <n v="34"/>
    <s v="No"/>
    <s v="Travel_Rarely"/>
    <n v="704"/>
    <s v="Sales"/>
    <n v="28"/>
    <n v="3"/>
    <s v="Marketing"/>
    <n v="1"/>
    <n v="2035"/>
    <n v="4"/>
    <s v="Female"/>
    <n v="95"/>
    <n v="2"/>
    <n v="2"/>
    <x v="0"/>
    <n v="3"/>
    <s v="Married"/>
    <n v="6712"/>
    <n v="8978"/>
    <n v="1"/>
    <s v="Y"/>
    <s v="No"/>
    <n v="21"/>
    <n v="4"/>
    <n v="4"/>
    <n v="80"/>
    <n v="2"/>
    <n v="8"/>
    <n v="2"/>
    <n v="3"/>
    <n v="8"/>
    <n v="7"/>
    <x v="1"/>
    <n v="7"/>
    <s v="OK"/>
    <s v="OK"/>
    <s v="OK"/>
    <s v="OK"/>
    <n v="0.125"/>
    <n v="0.875"/>
    <n v="0.25"/>
    <n v="0.875"/>
  </r>
  <r>
    <n v="36"/>
    <s v="No"/>
    <s v="Non-Travel"/>
    <n v="301"/>
    <s v="Sales"/>
    <n v="15"/>
    <n v="4"/>
    <s v="Marketing"/>
    <n v="1"/>
    <n v="2036"/>
    <n v="4"/>
    <s v="Male"/>
    <n v="88"/>
    <n v="1"/>
    <n v="2"/>
    <x v="0"/>
    <n v="4"/>
    <s v="Divorced"/>
    <n v="5406"/>
    <n v="10436"/>
    <n v="1"/>
    <s v="Y"/>
    <s v="No"/>
    <n v="24"/>
    <n v="4"/>
    <n v="1"/>
    <n v="80"/>
    <n v="1"/>
    <n v="15"/>
    <n v="4"/>
    <n v="2"/>
    <n v="15"/>
    <n v="12"/>
    <x v="14"/>
    <n v="11"/>
    <s v="OK"/>
    <s v="OK"/>
    <s v="OK"/>
    <s v="OK"/>
    <n v="0.73333333333333328"/>
    <n v="0.8"/>
    <n v="0.26666666666666666"/>
    <n v="0.73333333333333328"/>
  </r>
  <r>
    <n v="41"/>
    <s v="No"/>
    <s v="Travel_Rarely"/>
    <n v="930"/>
    <s v="Sales"/>
    <n v="3"/>
    <n v="3"/>
    <s v="Life Sciences"/>
    <n v="1"/>
    <n v="2037"/>
    <n v="3"/>
    <s v="Male"/>
    <n v="57"/>
    <n v="2"/>
    <n v="2"/>
    <x v="0"/>
    <n v="2"/>
    <s v="Divorced"/>
    <n v="8938"/>
    <n v="12227"/>
    <n v="2"/>
    <s v="Y"/>
    <s v="No"/>
    <n v="11"/>
    <n v="3"/>
    <n v="3"/>
    <n v="80"/>
    <n v="1"/>
    <n v="14"/>
    <n v="5"/>
    <n v="3"/>
    <n v="5"/>
    <n v="4"/>
    <x v="0"/>
    <n v="4"/>
    <s v="OK"/>
    <s v="OK"/>
    <s v="OK"/>
    <s v="OK"/>
    <n v="0"/>
    <n v="0.8"/>
    <n v="1"/>
    <n v="0.8"/>
  </r>
  <r>
    <n v="32"/>
    <s v="No"/>
    <s v="Travel_Rarely"/>
    <n v="529"/>
    <s v="Research &amp; Development"/>
    <n v="2"/>
    <n v="3"/>
    <s v="Technical Degree"/>
    <n v="1"/>
    <n v="2038"/>
    <n v="4"/>
    <s v="Male"/>
    <n v="78"/>
    <n v="3"/>
    <n v="1"/>
    <x v="1"/>
    <n v="1"/>
    <s v="Single"/>
    <n v="2439"/>
    <n v="11288"/>
    <n v="1"/>
    <s v="Y"/>
    <s v="No"/>
    <n v="14"/>
    <n v="3"/>
    <n v="4"/>
    <n v="80"/>
    <n v="0"/>
    <n v="4"/>
    <n v="4"/>
    <n v="3"/>
    <n v="4"/>
    <n v="2"/>
    <x v="1"/>
    <n v="2"/>
    <s v="OK"/>
    <s v="OK"/>
    <s v="OK"/>
    <s v="OK"/>
    <n v="0.25"/>
    <n v="0.5"/>
    <n v="1"/>
    <n v="0.5"/>
  </r>
  <r>
    <n v="35"/>
    <s v="No"/>
    <s v="Travel_Rarely"/>
    <n v="1146"/>
    <s v="Human Resources"/>
    <n v="26"/>
    <n v="4"/>
    <s v="Life Sciences"/>
    <n v="1"/>
    <n v="2040"/>
    <n v="3"/>
    <s v="Female"/>
    <n v="31"/>
    <n v="3"/>
    <n v="3"/>
    <x v="8"/>
    <n v="4"/>
    <s v="Single"/>
    <n v="8837"/>
    <n v="16642"/>
    <n v="1"/>
    <s v="Y"/>
    <s v="Yes"/>
    <n v="16"/>
    <n v="3"/>
    <n v="3"/>
    <n v="80"/>
    <n v="0"/>
    <n v="9"/>
    <n v="2"/>
    <n v="3"/>
    <n v="9"/>
    <n v="0"/>
    <x v="1"/>
    <n v="7"/>
    <s v="OK"/>
    <s v="OK"/>
    <s v="OK"/>
    <s v="OK"/>
    <n v="0.1111111111111111"/>
    <n v="0"/>
    <n v="0.22222222222222221"/>
    <n v="0.77777777777777779"/>
  </r>
  <r>
    <n v="38"/>
    <s v="No"/>
    <s v="Travel_Rarely"/>
    <n v="345"/>
    <s v="Sales"/>
    <n v="10"/>
    <n v="2"/>
    <s v="Life Sciences"/>
    <n v="1"/>
    <n v="2041"/>
    <n v="1"/>
    <s v="Female"/>
    <n v="100"/>
    <n v="3"/>
    <n v="2"/>
    <x v="0"/>
    <n v="4"/>
    <s v="Married"/>
    <n v="5343"/>
    <n v="5982"/>
    <n v="1"/>
    <s v="Y"/>
    <s v="No"/>
    <n v="11"/>
    <n v="3"/>
    <n v="3"/>
    <n v="80"/>
    <n v="1"/>
    <n v="10"/>
    <n v="1"/>
    <n v="3"/>
    <n v="10"/>
    <n v="7"/>
    <x v="1"/>
    <n v="9"/>
    <s v="OK"/>
    <s v="OK"/>
    <s v="OK"/>
    <s v="OK"/>
    <n v="0.1"/>
    <n v="0.7"/>
    <n v="0.1"/>
    <n v="0.9"/>
  </r>
  <r>
    <n v="50"/>
    <s v="Yes"/>
    <s v="Travel_Frequently"/>
    <n v="878"/>
    <s v="Sales"/>
    <n v="1"/>
    <n v="4"/>
    <s v="Life Sciences"/>
    <n v="1"/>
    <n v="2044"/>
    <n v="2"/>
    <s v="Male"/>
    <n v="94"/>
    <n v="3"/>
    <n v="2"/>
    <x v="0"/>
    <n v="3"/>
    <s v="Divorced"/>
    <n v="6728"/>
    <n v="14255"/>
    <n v="7"/>
    <s v="Y"/>
    <s v="No"/>
    <n v="12"/>
    <n v="3"/>
    <n v="4"/>
    <n v="80"/>
    <n v="2"/>
    <n v="12"/>
    <n v="3"/>
    <n v="3"/>
    <n v="6"/>
    <n v="3"/>
    <x v="0"/>
    <n v="1"/>
    <s v="OK"/>
    <s v="OK"/>
    <s v="OK"/>
    <s v="OK"/>
    <n v="0"/>
    <n v="0.5"/>
    <n v="0.5"/>
    <n v="0.16666666666666666"/>
  </r>
  <r>
    <n v="36"/>
    <s v="No"/>
    <s v="Travel_Rarely"/>
    <n v="1120"/>
    <s v="Sales"/>
    <n v="11"/>
    <n v="4"/>
    <s v="Marketing"/>
    <n v="1"/>
    <n v="2045"/>
    <n v="2"/>
    <s v="Female"/>
    <n v="100"/>
    <n v="2"/>
    <n v="2"/>
    <x v="0"/>
    <n v="4"/>
    <s v="Married"/>
    <n v="6652"/>
    <n v="14369"/>
    <n v="4"/>
    <s v="Y"/>
    <s v="No"/>
    <n v="13"/>
    <n v="3"/>
    <n v="1"/>
    <n v="80"/>
    <n v="1"/>
    <n v="8"/>
    <n v="2"/>
    <n v="2"/>
    <n v="6"/>
    <n v="3"/>
    <x v="0"/>
    <n v="0"/>
    <s v="OK"/>
    <s v="OK"/>
    <s v="OK"/>
    <s v="OK"/>
    <n v="0"/>
    <n v="0.5"/>
    <n v="0.33333333333333331"/>
    <n v="0"/>
  </r>
  <r>
    <n v="45"/>
    <s v="No"/>
    <s v="Travel_Rarely"/>
    <n v="374"/>
    <s v="Sales"/>
    <n v="20"/>
    <n v="3"/>
    <s v="Life Sciences"/>
    <n v="1"/>
    <n v="2046"/>
    <n v="4"/>
    <s v="Female"/>
    <n v="50"/>
    <n v="3"/>
    <n v="2"/>
    <x v="0"/>
    <n v="3"/>
    <s v="Single"/>
    <n v="4850"/>
    <n v="23333"/>
    <n v="8"/>
    <s v="Y"/>
    <s v="No"/>
    <n v="15"/>
    <n v="3"/>
    <n v="3"/>
    <n v="80"/>
    <n v="0"/>
    <n v="8"/>
    <n v="3"/>
    <n v="3"/>
    <n v="5"/>
    <n v="3"/>
    <x v="0"/>
    <n v="1"/>
    <s v="OK"/>
    <s v="OK"/>
    <s v="OK"/>
    <s v="OK"/>
    <n v="0"/>
    <n v="0.6"/>
    <n v="0.6"/>
    <n v="0.2"/>
  </r>
  <r>
    <n v="40"/>
    <s v="No"/>
    <s v="Travel_Rarely"/>
    <n v="1322"/>
    <s v="Research &amp; Development"/>
    <n v="2"/>
    <n v="4"/>
    <s v="Life Sciences"/>
    <n v="1"/>
    <n v="2048"/>
    <n v="3"/>
    <s v="Male"/>
    <n v="52"/>
    <n v="2"/>
    <n v="1"/>
    <x v="1"/>
    <n v="3"/>
    <s v="Single"/>
    <n v="2809"/>
    <n v="2725"/>
    <n v="2"/>
    <s v="Y"/>
    <s v="No"/>
    <n v="14"/>
    <n v="3"/>
    <n v="4"/>
    <n v="80"/>
    <n v="0"/>
    <n v="8"/>
    <n v="2"/>
    <n v="3"/>
    <n v="2"/>
    <n v="2"/>
    <x v="3"/>
    <n v="2"/>
    <s v="OK"/>
    <s v="OK"/>
    <s v="OK"/>
    <s v="OK"/>
    <n v="1"/>
    <n v="1"/>
    <n v="1"/>
    <n v="1"/>
  </r>
  <r>
    <n v="35"/>
    <s v="No"/>
    <s v="Travel_Frequently"/>
    <n v="1199"/>
    <s v="Research &amp; Development"/>
    <n v="18"/>
    <n v="4"/>
    <s v="Life Sciences"/>
    <n v="1"/>
    <n v="2049"/>
    <n v="3"/>
    <s v="Male"/>
    <n v="80"/>
    <n v="3"/>
    <n v="2"/>
    <x v="4"/>
    <n v="3"/>
    <s v="Married"/>
    <n v="5689"/>
    <n v="24594"/>
    <n v="1"/>
    <s v="Y"/>
    <s v="Yes"/>
    <n v="14"/>
    <n v="3"/>
    <n v="4"/>
    <n v="80"/>
    <n v="2"/>
    <n v="10"/>
    <n v="2"/>
    <n v="4"/>
    <n v="10"/>
    <n v="2"/>
    <x v="0"/>
    <n v="2"/>
    <s v="OK"/>
    <s v="OK"/>
    <s v="OK"/>
    <s v="OK"/>
    <n v="0"/>
    <n v="0.2"/>
    <n v="0.2"/>
    <n v="0.2"/>
  </r>
  <r>
    <n v="40"/>
    <s v="No"/>
    <s v="Travel_Rarely"/>
    <n v="1194"/>
    <s v="Research &amp; Development"/>
    <n v="2"/>
    <n v="4"/>
    <s v="Medical"/>
    <n v="1"/>
    <n v="2051"/>
    <n v="3"/>
    <s v="Female"/>
    <n v="98"/>
    <n v="3"/>
    <n v="1"/>
    <x v="1"/>
    <n v="3"/>
    <s v="Married"/>
    <n v="2001"/>
    <n v="12549"/>
    <n v="2"/>
    <s v="Y"/>
    <s v="No"/>
    <n v="14"/>
    <n v="3"/>
    <n v="2"/>
    <n v="80"/>
    <n v="3"/>
    <n v="20"/>
    <n v="2"/>
    <n v="3"/>
    <n v="5"/>
    <n v="3"/>
    <x v="0"/>
    <n v="2"/>
    <s v="OK"/>
    <s v="OK"/>
    <s v="OK"/>
    <s v="OK"/>
    <n v="0"/>
    <n v="0.6"/>
    <n v="0.4"/>
    <n v="0.4"/>
  </r>
  <r>
    <n v="35"/>
    <s v="No"/>
    <s v="Travel_Rarely"/>
    <n v="287"/>
    <s v="Research &amp; Development"/>
    <n v="1"/>
    <n v="4"/>
    <s v="Life Sciences"/>
    <n v="1"/>
    <n v="2052"/>
    <n v="3"/>
    <s v="Female"/>
    <n v="62"/>
    <n v="1"/>
    <n v="1"/>
    <x v="1"/>
    <n v="4"/>
    <s v="Married"/>
    <n v="2977"/>
    <n v="8952"/>
    <n v="1"/>
    <s v="Y"/>
    <s v="No"/>
    <n v="12"/>
    <n v="3"/>
    <n v="4"/>
    <n v="80"/>
    <n v="1"/>
    <n v="4"/>
    <n v="5"/>
    <n v="3"/>
    <n v="4"/>
    <n v="3"/>
    <x v="1"/>
    <n v="1"/>
    <s v="OK"/>
    <s v="OK"/>
    <s v="OK"/>
    <s v="OK"/>
    <n v="0.25"/>
    <n v="0.75"/>
    <n v="1.25"/>
    <n v="0.25"/>
  </r>
  <r>
    <n v="29"/>
    <s v="No"/>
    <s v="Travel_Rarely"/>
    <n v="1378"/>
    <s v="Research &amp; Development"/>
    <n v="13"/>
    <n v="2"/>
    <s v="Other"/>
    <n v="1"/>
    <n v="2053"/>
    <n v="4"/>
    <s v="Male"/>
    <n v="46"/>
    <n v="2"/>
    <n v="2"/>
    <x v="2"/>
    <n v="2"/>
    <s v="Married"/>
    <n v="4025"/>
    <n v="23679"/>
    <n v="4"/>
    <s v="Y"/>
    <s v="Yes"/>
    <n v="13"/>
    <n v="3"/>
    <n v="1"/>
    <n v="80"/>
    <n v="1"/>
    <n v="10"/>
    <n v="2"/>
    <n v="3"/>
    <n v="4"/>
    <n v="3"/>
    <x v="0"/>
    <n v="3"/>
    <s v="OK"/>
    <s v="OK"/>
    <s v="OK"/>
    <s v="OK"/>
    <n v="0"/>
    <n v="0.75"/>
    <n v="0.5"/>
    <n v="0.75"/>
  </r>
  <r>
    <n v="29"/>
    <s v="No"/>
    <s v="Travel_Rarely"/>
    <n v="468"/>
    <s v="Research &amp; Development"/>
    <n v="28"/>
    <n v="4"/>
    <s v="Medical"/>
    <n v="1"/>
    <n v="2054"/>
    <n v="4"/>
    <s v="Female"/>
    <n v="73"/>
    <n v="2"/>
    <n v="1"/>
    <x v="1"/>
    <n v="1"/>
    <s v="Single"/>
    <n v="3785"/>
    <n v="8489"/>
    <n v="1"/>
    <s v="Y"/>
    <s v="No"/>
    <n v="14"/>
    <n v="3"/>
    <n v="2"/>
    <n v="80"/>
    <n v="0"/>
    <n v="5"/>
    <n v="3"/>
    <n v="1"/>
    <n v="5"/>
    <n v="4"/>
    <x v="0"/>
    <n v="4"/>
    <s v="OK"/>
    <s v="OK"/>
    <s v="OK"/>
    <s v="OK"/>
    <n v="0"/>
    <n v="0.8"/>
    <n v="0.6"/>
    <n v="0.8"/>
  </r>
  <r>
    <n v="50"/>
    <s v="Yes"/>
    <s v="Travel_Rarely"/>
    <n v="410"/>
    <s v="Sales"/>
    <n v="28"/>
    <n v="3"/>
    <s v="Marketing"/>
    <n v="1"/>
    <n v="2055"/>
    <n v="4"/>
    <s v="Male"/>
    <n v="39"/>
    <n v="2"/>
    <n v="3"/>
    <x v="0"/>
    <n v="1"/>
    <s v="Divorced"/>
    <n v="10854"/>
    <n v="16586"/>
    <n v="4"/>
    <s v="Y"/>
    <s v="Yes"/>
    <n v="13"/>
    <n v="3"/>
    <n v="2"/>
    <n v="80"/>
    <n v="1"/>
    <n v="20"/>
    <n v="3"/>
    <n v="3"/>
    <n v="3"/>
    <n v="2"/>
    <x v="3"/>
    <n v="0"/>
    <s v="OK"/>
    <s v="OK"/>
    <s v="OK"/>
    <s v="OK"/>
    <n v="0.66666666666666663"/>
    <n v="0.66666666666666663"/>
    <n v="1"/>
    <n v="0"/>
  </r>
  <r>
    <n v="39"/>
    <s v="No"/>
    <s v="Travel_Rarely"/>
    <n v="722"/>
    <s v="Sales"/>
    <n v="24"/>
    <n v="1"/>
    <s v="Marketing"/>
    <n v="1"/>
    <n v="2056"/>
    <n v="2"/>
    <s v="Female"/>
    <n v="60"/>
    <n v="2"/>
    <n v="4"/>
    <x v="0"/>
    <n v="4"/>
    <s v="Married"/>
    <n v="12031"/>
    <n v="8828"/>
    <n v="0"/>
    <s v="Y"/>
    <s v="No"/>
    <n v="11"/>
    <n v="3"/>
    <n v="1"/>
    <n v="80"/>
    <n v="1"/>
    <n v="21"/>
    <n v="2"/>
    <n v="2"/>
    <n v="20"/>
    <n v="9"/>
    <x v="10"/>
    <n v="6"/>
    <s v="OK"/>
    <s v="OK"/>
    <s v="OK"/>
    <s v="OK"/>
    <n v="0.45"/>
    <n v="0.45"/>
    <n v="0.1"/>
    <n v="0.3"/>
  </r>
  <r>
    <n v="31"/>
    <s v="No"/>
    <s v="Non-Travel"/>
    <n v="325"/>
    <s v="Research &amp; Development"/>
    <n v="5"/>
    <n v="3"/>
    <s v="Medical"/>
    <n v="1"/>
    <n v="2057"/>
    <n v="2"/>
    <s v="Male"/>
    <n v="74"/>
    <n v="3"/>
    <n v="2"/>
    <x v="3"/>
    <n v="1"/>
    <s v="Single"/>
    <n v="9936"/>
    <n v="3787"/>
    <n v="0"/>
    <s v="Y"/>
    <s v="No"/>
    <n v="19"/>
    <n v="3"/>
    <n v="2"/>
    <n v="80"/>
    <n v="0"/>
    <n v="10"/>
    <n v="2"/>
    <n v="3"/>
    <n v="9"/>
    <n v="4"/>
    <x v="1"/>
    <n v="7"/>
    <s v="OK"/>
    <s v="OK"/>
    <s v="OK"/>
    <s v="OK"/>
    <n v="0.1111111111111111"/>
    <n v="0.44444444444444442"/>
    <n v="0.22222222222222221"/>
    <n v="0.77777777777777779"/>
  </r>
  <r>
    <n v="26"/>
    <s v="No"/>
    <s v="Travel_Rarely"/>
    <n v="1167"/>
    <s v="Sales"/>
    <n v="5"/>
    <n v="3"/>
    <s v="Other"/>
    <n v="1"/>
    <n v="2060"/>
    <n v="4"/>
    <s v="Female"/>
    <n v="30"/>
    <n v="2"/>
    <n v="1"/>
    <x v="6"/>
    <n v="3"/>
    <s v="Single"/>
    <n v="2966"/>
    <n v="21378"/>
    <n v="0"/>
    <s v="Y"/>
    <s v="No"/>
    <n v="18"/>
    <n v="3"/>
    <n v="4"/>
    <n v="80"/>
    <n v="0"/>
    <n v="5"/>
    <n v="2"/>
    <n v="3"/>
    <n v="4"/>
    <n v="2"/>
    <x v="0"/>
    <n v="0"/>
    <s v="OK"/>
    <s v="OK"/>
    <s v="OK"/>
    <s v="OK"/>
    <n v="0"/>
    <n v="0.5"/>
    <n v="0.5"/>
    <n v="0"/>
  </r>
  <r>
    <n v="36"/>
    <s v="No"/>
    <s v="Travel_Frequently"/>
    <n v="884"/>
    <s v="Research &amp; Development"/>
    <n v="23"/>
    <n v="2"/>
    <s v="Medical"/>
    <n v="1"/>
    <n v="2061"/>
    <n v="3"/>
    <s v="Male"/>
    <n v="41"/>
    <n v="4"/>
    <n v="2"/>
    <x v="2"/>
    <n v="4"/>
    <s v="Married"/>
    <n v="2571"/>
    <n v="12290"/>
    <n v="4"/>
    <s v="Y"/>
    <s v="No"/>
    <n v="17"/>
    <n v="3"/>
    <n v="3"/>
    <n v="80"/>
    <n v="1"/>
    <n v="17"/>
    <n v="3"/>
    <n v="3"/>
    <n v="5"/>
    <n v="2"/>
    <x v="0"/>
    <n v="3"/>
    <s v="OK"/>
    <s v="OK"/>
    <s v="OK"/>
    <s v="OK"/>
    <n v="0"/>
    <n v="0.4"/>
    <n v="0.6"/>
    <n v="0.6"/>
  </r>
  <r>
    <n v="39"/>
    <s v="No"/>
    <s v="Travel_Rarely"/>
    <n v="613"/>
    <s v="Research &amp; Development"/>
    <n v="6"/>
    <n v="1"/>
    <s v="Medical"/>
    <n v="1"/>
    <n v="2062"/>
    <n v="4"/>
    <s v="Male"/>
    <n v="42"/>
    <n v="2"/>
    <n v="3"/>
    <x v="4"/>
    <n v="1"/>
    <s v="Married"/>
    <n v="9991"/>
    <n v="21457"/>
    <n v="4"/>
    <s v="Y"/>
    <s v="No"/>
    <n v="15"/>
    <n v="3"/>
    <n v="1"/>
    <n v="80"/>
    <n v="1"/>
    <n v="9"/>
    <n v="5"/>
    <n v="3"/>
    <n v="7"/>
    <n v="7"/>
    <x v="1"/>
    <n v="7"/>
    <s v="OK"/>
    <s v="OK"/>
    <s v="OK"/>
    <s v="OK"/>
    <n v="0.14285714285714285"/>
    <n v="1"/>
    <n v="0.7142857142857143"/>
    <n v="1"/>
  </r>
  <r>
    <n v="27"/>
    <s v="No"/>
    <s v="Travel_Rarely"/>
    <n v="155"/>
    <s v="Research &amp; Development"/>
    <n v="4"/>
    <n v="3"/>
    <s v="Life Sciences"/>
    <n v="1"/>
    <n v="2064"/>
    <n v="2"/>
    <s v="Male"/>
    <n v="87"/>
    <n v="4"/>
    <n v="2"/>
    <x v="3"/>
    <n v="2"/>
    <s v="Married"/>
    <n v="6142"/>
    <n v="5174"/>
    <n v="1"/>
    <s v="Y"/>
    <s v="Yes"/>
    <n v="20"/>
    <n v="4"/>
    <n v="2"/>
    <n v="80"/>
    <n v="1"/>
    <n v="6"/>
    <n v="0"/>
    <n v="3"/>
    <n v="6"/>
    <n v="2"/>
    <x v="0"/>
    <n v="3"/>
    <s v="OK"/>
    <s v="OK"/>
    <s v="OK"/>
    <s v="OK"/>
    <n v="0"/>
    <n v="0.33333333333333331"/>
    <n v="0"/>
    <n v="0.5"/>
  </r>
  <r>
    <n v="49"/>
    <s v="No"/>
    <s v="Travel_Frequently"/>
    <n v="1023"/>
    <s v="Sales"/>
    <n v="2"/>
    <n v="3"/>
    <s v="Medical"/>
    <n v="1"/>
    <n v="2065"/>
    <n v="4"/>
    <s v="Male"/>
    <n v="63"/>
    <n v="2"/>
    <n v="2"/>
    <x v="0"/>
    <n v="2"/>
    <s v="Married"/>
    <n v="5390"/>
    <n v="13243"/>
    <n v="2"/>
    <s v="Y"/>
    <s v="No"/>
    <n v="14"/>
    <n v="3"/>
    <n v="4"/>
    <n v="80"/>
    <n v="0"/>
    <n v="17"/>
    <n v="3"/>
    <n v="2"/>
    <n v="9"/>
    <n v="6"/>
    <x v="0"/>
    <n v="8"/>
    <s v="OK"/>
    <s v="OK"/>
    <s v="OK"/>
    <s v="OK"/>
    <n v="0"/>
    <n v="0.66666666666666663"/>
    <n v="0.33333333333333331"/>
    <n v="0.88888888888888884"/>
  </r>
  <r>
    <n v="34"/>
    <s v="No"/>
    <s v="Travel_Rarely"/>
    <n v="628"/>
    <s v="Research &amp; Development"/>
    <n v="8"/>
    <n v="3"/>
    <s v="Medical"/>
    <n v="1"/>
    <n v="2068"/>
    <n v="2"/>
    <s v="Male"/>
    <n v="82"/>
    <n v="4"/>
    <n v="2"/>
    <x v="2"/>
    <n v="3"/>
    <s v="Married"/>
    <n v="4404"/>
    <n v="10228"/>
    <n v="2"/>
    <s v="Y"/>
    <s v="No"/>
    <n v="12"/>
    <n v="3"/>
    <n v="1"/>
    <n v="80"/>
    <n v="0"/>
    <n v="6"/>
    <n v="3"/>
    <n v="4"/>
    <n v="4"/>
    <n v="3"/>
    <x v="1"/>
    <n v="2"/>
    <s v="OK"/>
    <s v="OK"/>
    <s v="OK"/>
    <s v="OK"/>
    <n v="0.25"/>
    <n v="0.75"/>
    <n v="0.75"/>
    <n v="0.5"/>
  </r>
  <r>
    <m/>
    <m/>
    <m/>
    <m/>
    <m/>
    <m/>
    <m/>
    <m/>
    <m/>
    <m/>
    <m/>
    <m/>
    <m/>
    <m/>
    <m/>
    <x v="9"/>
    <m/>
    <m/>
    <m/>
    <m/>
    <m/>
    <m/>
    <m/>
    <m/>
    <m/>
    <m/>
    <m/>
    <m/>
    <m/>
    <m/>
    <m/>
    <m/>
    <m/>
    <x v="16"/>
    <m/>
    <m/>
    <m/>
    <m/>
    <m/>
    <m/>
    <m/>
    <m/>
    <m/>
  </r>
  <r>
    <m/>
    <m/>
    <m/>
    <m/>
    <m/>
    <m/>
    <m/>
    <m/>
    <m/>
    <m/>
    <m/>
    <m/>
    <m/>
    <m/>
    <m/>
    <x v="9"/>
    <m/>
    <m/>
    <m/>
    <m/>
    <m/>
    <m/>
    <m/>
    <m/>
    <m/>
    <m/>
    <m/>
    <m/>
    <m/>
    <m/>
    <m/>
    <m/>
    <m/>
    <x v="16"/>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1D8D9-4F7A-42CD-906F-C332EC9ADD4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G24" firstHeaderRow="1" firstDataRow="2" firstDataCol="1"/>
  <pivotFields count="4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h="1" x="0"/>
        <item x="1"/>
        <item x="2"/>
        <item x="3"/>
        <item x="4"/>
        <item x="5"/>
        <item x="6"/>
        <item t="default"/>
      </items>
    </pivotField>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33"/>
  </colFields>
  <colItems count="6">
    <i>
      <x v="1"/>
    </i>
    <i>
      <x v="2"/>
    </i>
    <i>
      <x v="3"/>
    </i>
    <i>
      <x v="4"/>
    </i>
    <i>
      <x v="5"/>
    </i>
    <i t="grand">
      <x/>
    </i>
  </colItems>
  <dataFields count="1">
    <dataField name="Sum of Age" fld="0" baseField="0" baseItem="0"/>
  </dataFields>
  <chartFormats count="5">
    <chartFormat chart="0" format="0" series="1">
      <pivotArea type="data" outline="0" fieldPosition="0">
        <references count="2">
          <reference field="4294967294" count="1" selected="0">
            <x v="0"/>
          </reference>
          <reference field="33" count="1" selected="0">
            <x v="1"/>
          </reference>
        </references>
      </pivotArea>
    </chartFormat>
    <chartFormat chart="0" format="1" series="1">
      <pivotArea type="data" outline="0" fieldPosition="0">
        <references count="2">
          <reference field="4294967294" count="1" selected="0">
            <x v="0"/>
          </reference>
          <reference field="33" count="1" selected="0">
            <x v="2"/>
          </reference>
        </references>
      </pivotArea>
    </chartFormat>
    <chartFormat chart="0" format="2" series="1">
      <pivotArea type="data" outline="0" fieldPosition="0">
        <references count="2">
          <reference field="4294967294" count="1" selected="0">
            <x v="0"/>
          </reference>
          <reference field="33" count="1" selected="0">
            <x v="3"/>
          </reference>
        </references>
      </pivotArea>
    </chartFormat>
    <chartFormat chart="0" format="3" series="1">
      <pivotArea type="data" outline="0" fieldPosition="0">
        <references count="2">
          <reference field="4294967294" count="1" selected="0">
            <x v="0"/>
          </reference>
          <reference field="33" count="1" selected="0">
            <x v="4"/>
          </reference>
        </references>
      </pivotArea>
    </chartFormat>
    <chartFormat chart="0" format="4" series="1">
      <pivotArea type="data" outline="0" fieldPosition="0">
        <references count="2">
          <reference field="4294967294" count="1" selected="0">
            <x v="0"/>
          </reference>
          <reference field="3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11C90-F4CB-4B90-8659-969921E3BA6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
  <location ref="A1:B11" firstHeaderRow="1" firstDataRow="1" firstDataCol="1"/>
  <pivotFields count="43">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items count="114">
        <item x="0"/>
        <item x="32"/>
        <item x="74"/>
        <item x="104"/>
        <item x="80"/>
        <item x="54"/>
        <item x="105"/>
        <item x="64"/>
        <item x="66"/>
        <item x="90"/>
        <item x="73"/>
        <item x="53"/>
        <item x="89"/>
        <item x="69"/>
        <item x="28"/>
        <item x="45"/>
        <item x="25"/>
        <item x="88"/>
        <item x="1"/>
        <item x="85"/>
        <item x="5"/>
        <item x="77"/>
        <item x="8"/>
        <item x="33"/>
        <item x="26"/>
        <item x="95"/>
        <item x="20"/>
        <item x="72"/>
        <item x="108"/>
        <item x="99"/>
        <item x="37"/>
        <item x="11"/>
        <item x="30"/>
        <item x="82"/>
        <item x="16"/>
        <item x="92"/>
        <item x="36"/>
        <item x="15"/>
        <item x="50"/>
        <item x="86"/>
        <item x="10"/>
        <item x="75"/>
        <item x="81"/>
        <item x="12"/>
        <item x="57"/>
        <item x="27"/>
        <item x="59"/>
        <item x="51"/>
        <item x="9"/>
        <item x="111"/>
        <item x="40"/>
        <item x="2"/>
        <item x="65"/>
        <item x="110"/>
        <item x="102"/>
        <item x="46"/>
        <item x="103"/>
        <item x="101"/>
        <item x="78"/>
        <item x="4"/>
        <item x="14"/>
        <item x="44"/>
        <item x="79"/>
        <item x="31"/>
        <item x="106"/>
        <item x="98"/>
        <item x="23"/>
        <item x="7"/>
        <item x="60"/>
        <item x="19"/>
        <item x="58"/>
        <item x="47"/>
        <item x="52"/>
        <item x="96"/>
        <item x="41"/>
        <item x="93"/>
        <item x="55"/>
        <item x="76"/>
        <item x="91"/>
        <item x="13"/>
        <item x="109"/>
        <item x="70"/>
        <item x="62"/>
        <item x="39"/>
        <item x="49"/>
        <item x="107"/>
        <item x="48"/>
        <item x="71"/>
        <item x="94"/>
        <item x="34"/>
        <item x="17"/>
        <item x="100"/>
        <item x="42"/>
        <item x="24"/>
        <item x="68"/>
        <item x="67"/>
        <item x="112"/>
        <item x="38"/>
        <item x="63"/>
        <item x="21"/>
        <item x="83"/>
        <item x="97"/>
        <item x="6"/>
        <item x="61"/>
        <item x="56"/>
        <item x="43"/>
        <item x="84"/>
        <item x="18"/>
        <item x="22"/>
        <item x="29"/>
        <item x="87"/>
        <item x="35"/>
        <item x="3"/>
        <item t="default"/>
      </items>
    </pivotField>
    <pivotField numFmtId="2" showAll="0"/>
    <pivotField numFmtId="2" showAll="0"/>
    <pivotField numFmtId="2" showAll="0"/>
  </pivotFields>
  <rowFields count="1">
    <field x="15"/>
  </rowFields>
  <rowItems count="10">
    <i>
      <x/>
    </i>
    <i>
      <x v="1"/>
    </i>
    <i>
      <x v="2"/>
    </i>
    <i>
      <x v="3"/>
    </i>
    <i>
      <x v="4"/>
    </i>
    <i>
      <x v="5"/>
    </i>
    <i>
      <x v="6"/>
    </i>
    <i>
      <x v="7"/>
    </i>
    <i>
      <x v="8"/>
    </i>
    <i t="grand">
      <x/>
    </i>
  </rowItems>
  <colItems count="1">
    <i/>
  </colItems>
  <dataFields count="1">
    <dataField name="Count of Attrition"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67F4BDA-CD8E-4DA1-B868-208F6B8C79D0}" sourceName="Department">
  <pivotTables>
    <pivotTable tabId="2" name="PivotTable1"/>
  </pivotTables>
  <data>
    <tabular pivotCacheId="6850768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gap_ratio" xr10:uid="{ACC610A4-1984-46D8-92D4-0686D1A7EDE6}" sourceName="Promotion gap ratio">
  <pivotTables>
    <pivotTable tabId="2" name="PivotTable1"/>
  </pivotTables>
  <data>
    <tabular pivotCacheId="685076816">
      <items count="113">
        <i x="0" s="1"/>
        <i x="32" s="1"/>
        <i x="74" s="1"/>
        <i x="104" s="1"/>
        <i x="80" s="1"/>
        <i x="54" s="1"/>
        <i x="105" s="1"/>
        <i x="64" s="1"/>
        <i x="66" s="1"/>
        <i x="90" s="1"/>
        <i x="73" s="1"/>
        <i x="53" s="1"/>
        <i x="89" s="1"/>
        <i x="69" s="1"/>
        <i x="28" s="1"/>
        <i x="45" s="1"/>
        <i x="25" s="1"/>
        <i x="88" s="1"/>
        <i x="1" s="1"/>
        <i x="85" s="1"/>
        <i x="5" s="1"/>
        <i x="77" s="1"/>
        <i x="8" s="1"/>
        <i x="33" s="1"/>
        <i x="26" s="1"/>
        <i x="95" s="1"/>
        <i x="20" s="1"/>
        <i x="72" s="1"/>
        <i x="108" s="1"/>
        <i x="99" s="1"/>
        <i x="37" s="1"/>
        <i x="11" s="1"/>
        <i x="30" s="1"/>
        <i x="82" s="1"/>
        <i x="16" s="1"/>
        <i x="92" s="1"/>
        <i x="36" s="1"/>
        <i x="15" s="1"/>
        <i x="50" s="1"/>
        <i x="86" s="1"/>
        <i x="10" s="1"/>
        <i x="75" s="1"/>
        <i x="81" s="1"/>
        <i x="12" s="1"/>
        <i x="57" s="1"/>
        <i x="27" s="1"/>
        <i x="59" s="1"/>
        <i x="51" s="1"/>
        <i x="9" s="1"/>
        <i x="111" s="1"/>
        <i x="40" s="1"/>
        <i x="2" s="1"/>
        <i x="65" s="1"/>
        <i x="110" s="1"/>
        <i x="102" s="1"/>
        <i x="46" s="1"/>
        <i x="103" s="1"/>
        <i x="101" s="1"/>
        <i x="78" s="1"/>
        <i x="4" s="1"/>
        <i x="14" s="1"/>
        <i x="44" s="1"/>
        <i x="79" s="1"/>
        <i x="31" s="1"/>
        <i x="106" s="1"/>
        <i x="98" s="1"/>
        <i x="23" s="1"/>
        <i x="7" s="1"/>
        <i x="60" s="1"/>
        <i x="19" s="1"/>
        <i x="58" s="1"/>
        <i x="47" s="1"/>
        <i x="52" s="1"/>
        <i x="96" s="1"/>
        <i x="41" s="1"/>
        <i x="93" s="1"/>
        <i x="55" s="1"/>
        <i x="76" s="1"/>
        <i x="91" s="1"/>
        <i x="13" s="1"/>
        <i x="109" s="1"/>
        <i x="70" s="1"/>
        <i x="62" s="1"/>
        <i x="39" s="1"/>
        <i x="49" s="1"/>
        <i x="107" s="1"/>
        <i x="48" s="1"/>
        <i x="71" s="1"/>
        <i x="94" s="1"/>
        <i x="34" s="1"/>
        <i x="17" s="1"/>
        <i x="100" s="1"/>
        <i x="42" s="1"/>
        <i x="24" s="1"/>
        <i x="68" s="1"/>
        <i x="67" s="1"/>
        <i x="112" s="1"/>
        <i x="38" s="1"/>
        <i x="63" s="1"/>
        <i x="21" s="1"/>
        <i x="83" s="1"/>
        <i x="97" s="1"/>
        <i x="6" s="1"/>
        <i x="61" s="1"/>
        <i x="56" s="1"/>
        <i x="43" s="1"/>
        <i x="84" s="1"/>
        <i x="18" s="1"/>
        <i x="22" s="1"/>
        <i x="29" s="1"/>
        <i x="87" s="1"/>
        <i x="3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CB12738-AD62-4E05-A622-990E576AD78D}" cache="Slicer_Department" caption="Department" rowHeight="251883"/>
  <slicer name="Promotion gap ratio" xr10:uid="{5884E49A-B27D-4828-80CA-0A062566B142}" cache="Slicer_Promotion_gap_ratio" caption="Promotion gap ratio"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B71C-42F8-4672-B641-BA5757A27A30}">
  <dimension ref="A1:G24"/>
  <sheetViews>
    <sheetView tabSelected="1" workbookViewId="0">
      <selection activeCell="B5" sqref="B5"/>
    </sheetView>
  </sheetViews>
  <sheetFormatPr defaultRowHeight="14.5" x14ac:dyDescent="0.35"/>
  <cols>
    <col min="1" max="1" width="22.6328125" bestFit="1" customWidth="1"/>
    <col min="2" max="2" width="15.1796875" bestFit="1" customWidth="1"/>
    <col min="3" max="5" width="4.81640625" bestFit="1" customWidth="1"/>
    <col min="6" max="6" width="5.453125" bestFit="1" customWidth="1"/>
    <col min="7" max="8" width="10.36328125" bestFit="1" customWidth="1"/>
    <col min="9" max="9" width="4.81640625" bestFit="1" customWidth="1"/>
    <col min="10" max="17" width="3.81640625" bestFit="1" customWidth="1"/>
    <col min="18" max="18" width="6.81640625" bestFit="1" customWidth="1"/>
    <col min="19" max="19" width="10.36328125" bestFit="1" customWidth="1"/>
  </cols>
  <sheetData>
    <row r="1" spans="1:7" x14ac:dyDescent="0.35">
      <c r="A1" s="3" t="s">
        <v>73</v>
      </c>
      <c r="B1" t="s">
        <v>72</v>
      </c>
    </row>
    <row r="2" spans="1:7" x14ac:dyDescent="0.35">
      <c r="A2" s="4" t="s">
        <v>54</v>
      </c>
      <c r="B2" s="5">
        <v>131</v>
      </c>
    </row>
    <row r="3" spans="1:7" x14ac:dyDescent="0.35">
      <c r="A3" s="4" t="s">
        <v>61</v>
      </c>
      <c r="B3" s="5">
        <v>52</v>
      </c>
    </row>
    <row r="4" spans="1:7" x14ac:dyDescent="0.35">
      <c r="A4" s="4" t="s">
        <v>50</v>
      </c>
      <c r="B4" s="5">
        <v>259</v>
      </c>
    </row>
    <row r="5" spans="1:7" x14ac:dyDescent="0.35">
      <c r="A5" s="4" t="s">
        <v>56</v>
      </c>
      <c r="B5" s="5">
        <v>102</v>
      </c>
    </row>
    <row r="6" spans="1:7" x14ac:dyDescent="0.35">
      <c r="A6" s="4" t="s">
        <v>53</v>
      </c>
      <c r="B6" s="5">
        <v>145</v>
      </c>
    </row>
    <row r="7" spans="1:7" x14ac:dyDescent="0.35">
      <c r="A7" s="4" t="s">
        <v>58</v>
      </c>
      <c r="B7" s="5">
        <v>80</v>
      </c>
    </row>
    <row r="8" spans="1:7" x14ac:dyDescent="0.35">
      <c r="A8" s="4" t="s">
        <v>47</v>
      </c>
      <c r="B8" s="5">
        <v>292</v>
      </c>
    </row>
    <row r="9" spans="1:7" x14ac:dyDescent="0.35">
      <c r="A9" s="4" t="s">
        <v>40</v>
      </c>
      <c r="B9" s="5">
        <v>326</v>
      </c>
    </row>
    <row r="10" spans="1:7" x14ac:dyDescent="0.35">
      <c r="A10" s="4" t="s">
        <v>57</v>
      </c>
      <c r="B10" s="5">
        <v>83</v>
      </c>
    </row>
    <row r="11" spans="1:7" x14ac:dyDescent="0.35">
      <c r="A11" s="4" t="s">
        <v>71</v>
      </c>
      <c r="B11" s="5">
        <v>1470</v>
      </c>
    </row>
    <row r="13" spans="1:7" x14ac:dyDescent="0.35">
      <c r="A13" s="3" t="s">
        <v>75</v>
      </c>
      <c r="B13" s="3" t="s">
        <v>74</v>
      </c>
    </row>
    <row r="14" spans="1:7" x14ac:dyDescent="0.35">
      <c r="A14" s="3" t="s">
        <v>70</v>
      </c>
      <c r="B14" t="s">
        <v>76</v>
      </c>
      <c r="C14" t="s">
        <v>77</v>
      </c>
      <c r="D14" t="s">
        <v>78</v>
      </c>
      <c r="E14" t="s">
        <v>79</v>
      </c>
      <c r="F14" t="s">
        <v>80</v>
      </c>
      <c r="G14" t="s">
        <v>71</v>
      </c>
    </row>
    <row r="15" spans="1:7" x14ac:dyDescent="0.35">
      <c r="A15" s="4" t="s">
        <v>54</v>
      </c>
      <c r="B15" s="5">
        <v>3489</v>
      </c>
      <c r="C15" s="5">
        <v>582</v>
      </c>
      <c r="D15" s="5">
        <v>412</v>
      </c>
      <c r="E15" s="5">
        <v>348</v>
      </c>
      <c r="F15" s="5">
        <v>384</v>
      </c>
      <c r="G15" s="5">
        <v>5215</v>
      </c>
    </row>
    <row r="16" spans="1:7" x14ac:dyDescent="0.35">
      <c r="A16" s="4" t="s">
        <v>61</v>
      </c>
      <c r="B16" s="5">
        <v>1494</v>
      </c>
      <c r="C16" s="5">
        <v>298</v>
      </c>
      <c r="D16" s="5">
        <v>54</v>
      </c>
      <c r="E16" s="5"/>
      <c r="F16" s="5"/>
      <c r="G16" s="5">
        <v>1846</v>
      </c>
    </row>
    <row r="17" spans="1:7" x14ac:dyDescent="0.35">
      <c r="A17" s="4" t="s">
        <v>50</v>
      </c>
      <c r="B17" s="5">
        <v>7305</v>
      </c>
      <c r="C17" s="5">
        <v>779</v>
      </c>
      <c r="D17" s="5">
        <v>459</v>
      </c>
      <c r="E17" s="5">
        <v>215</v>
      </c>
      <c r="F17" s="5">
        <v>73</v>
      </c>
      <c r="G17" s="5">
        <v>8831</v>
      </c>
    </row>
    <row r="18" spans="1:7" x14ac:dyDescent="0.35">
      <c r="A18" s="4" t="s">
        <v>56</v>
      </c>
      <c r="B18" s="5">
        <v>2209</v>
      </c>
      <c r="C18" s="5">
        <v>829</v>
      </c>
      <c r="D18" s="5">
        <v>574</v>
      </c>
      <c r="E18" s="5">
        <v>562</v>
      </c>
      <c r="F18" s="5">
        <v>596</v>
      </c>
      <c r="G18" s="5">
        <v>4770</v>
      </c>
    </row>
    <row r="19" spans="1:7" x14ac:dyDescent="0.35">
      <c r="A19" s="4" t="s">
        <v>53</v>
      </c>
      <c r="B19" s="5">
        <v>3927</v>
      </c>
      <c r="C19" s="5">
        <v>921</v>
      </c>
      <c r="D19" s="5">
        <v>523</v>
      </c>
      <c r="E19" s="5">
        <v>39</v>
      </c>
      <c r="F19" s="5">
        <v>143</v>
      </c>
      <c r="G19" s="5">
        <v>5553</v>
      </c>
    </row>
    <row r="20" spans="1:7" x14ac:dyDescent="0.35">
      <c r="A20" s="4" t="s">
        <v>58</v>
      </c>
      <c r="B20" s="5">
        <v>2202</v>
      </c>
      <c r="C20" s="5">
        <v>595</v>
      </c>
      <c r="D20" s="5">
        <v>327</v>
      </c>
      <c r="E20" s="5"/>
      <c r="F20" s="5">
        <v>396</v>
      </c>
      <c r="G20" s="5">
        <v>3520</v>
      </c>
    </row>
    <row r="21" spans="1:7" x14ac:dyDescent="0.35">
      <c r="A21" s="4" t="s">
        <v>47</v>
      </c>
      <c r="B21" s="5">
        <v>8387</v>
      </c>
      <c r="C21" s="5">
        <v>614</v>
      </c>
      <c r="D21" s="5">
        <v>802</v>
      </c>
      <c r="E21" s="5">
        <v>150</v>
      </c>
      <c r="F21" s="5">
        <v>44</v>
      </c>
      <c r="G21" s="5">
        <v>9997</v>
      </c>
    </row>
    <row r="22" spans="1:7" x14ac:dyDescent="0.35">
      <c r="A22" s="4" t="s">
        <v>40</v>
      </c>
      <c r="B22" s="5">
        <v>8259</v>
      </c>
      <c r="C22" s="5">
        <v>1269</v>
      </c>
      <c r="D22" s="5">
        <v>1583</v>
      </c>
      <c r="E22" s="5">
        <v>591</v>
      </c>
      <c r="F22" s="5">
        <v>324</v>
      </c>
      <c r="G22" s="5">
        <v>12026</v>
      </c>
    </row>
    <row r="23" spans="1:7" x14ac:dyDescent="0.35">
      <c r="A23" s="4" t="s">
        <v>57</v>
      </c>
      <c r="B23" s="5">
        <v>2174</v>
      </c>
      <c r="C23" s="5">
        <v>262</v>
      </c>
      <c r="D23" s="5">
        <v>84</v>
      </c>
      <c r="E23" s="5"/>
      <c r="F23" s="5"/>
      <c r="G23" s="5">
        <v>2520</v>
      </c>
    </row>
    <row r="24" spans="1:7" x14ac:dyDescent="0.35">
      <c r="A24" s="4" t="s">
        <v>71</v>
      </c>
      <c r="B24" s="5">
        <v>39446</v>
      </c>
      <c r="C24" s="5">
        <v>6149</v>
      </c>
      <c r="D24" s="5">
        <v>4818</v>
      </c>
      <c r="E24" s="5">
        <v>1905</v>
      </c>
      <c r="F24" s="5">
        <v>1960</v>
      </c>
      <c r="G24" s="5">
        <v>54278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C528-8BC9-4913-BDE9-34F189577E7A}">
  <dimension ref="A1:AQ1472"/>
  <sheetViews>
    <sheetView workbookViewId="0">
      <selection sqref="A1:XFD1048576"/>
    </sheetView>
  </sheetViews>
  <sheetFormatPr defaultColWidth="6.6328125" defaultRowHeight="14.5" x14ac:dyDescent="0.35"/>
  <cols>
    <col min="1" max="1" width="3.81640625" bestFit="1" customWidth="1"/>
    <col min="2" max="2" width="7.36328125" bestFit="1" customWidth="1"/>
    <col min="3" max="3" width="15.08984375" bestFit="1" customWidth="1"/>
    <col min="4" max="4" width="8.54296875" bestFit="1" customWidth="1"/>
    <col min="5" max="5" width="21.36328125" bestFit="1" customWidth="1"/>
    <col min="6" max="6" width="17.26953125" bestFit="1" customWidth="1"/>
    <col min="7" max="7" width="8.90625" bestFit="1" customWidth="1"/>
    <col min="8" max="8" width="15.6328125" bestFit="1" customWidth="1"/>
    <col min="9" max="9" width="13.6328125" bestFit="1" customWidth="1"/>
    <col min="10" max="10" width="15.1796875" bestFit="1" customWidth="1"/>
    <col min="11" max="11" width="20.7265625" bestFit="1" customWidth="1"/>
    <col min="12" max="12" width="6.81640625" bestFit="1" customWidth="1"/>
    <col min="13" max="13" width="9.7265625" bestFit="1" customWidth="1"/>
    <col min="14" max="14" width="13.26953125" bestFit="1" customWidth="1"/>
    <col min="15" max="15" width="7.6328125" bestFit="1" customWidth="1"/>
    <col min="16" max="16" width="22.6328125" bestFit="1" customWidth="1"/>
    <col min="17" max="17" width="13.1796875" bestFit="1" customWidth="1"/>
    <col min="18" max="18" width="11.6328125" bestFit="1" customWidth="1"/>
    <col min="19" max="19" width="13.26953125" bestFit="1" customWidth="1"/>
    <col min="20" max="20" width="10.90625" bestFit="1" customWidth="1"/>
    <col min="21" max="21" width="20.1796875" bestFit="1" customWidth="1"/>
    <col min="23" max="23" width="8.54296875" bestFit="1" customWidth="1"/>
    <col min="24" max="24" width="15.81640625" bestFit="1" customWidth="1"/>
    <col min="25" max="25" width="16.453125" bestFit="1" customWidth="1"/>
    <col min="26" max="26" width="20.6328125" bestFit="1" customWidth="1"/>
    <col min="27" max="27" width="13" bestFit="1" customWidth="1"/>
    <col min="28" max="28" width="15.08984375" bestFit="1" customWidth="1"/>
    <col min="29" max="29" width="16" bestFit="1" customWidth="1"/>
    <col min="30" max="30" width="19.26953125" bestFit="1" customWidth="1"/>
    <col min="31" max="31" width="14.54296875" bestFit="1" customWidth="1"/>
    <col min="32" max="32" width="14.81640625" bestFit="1" customWidth="1"/>
    <col min="33" max="33" width="16.6328125" bestFit="1" customWidth="1"/>
    <col min="34" max="34" width="21.90625" bestFit="1" customWidth="1"/>
    <col min="35" max="35" width="19.81640625" bestFit="1" customWidth="1"/>
    <col min="36" max="36" width="18.36328125" bestFit="1" customWidth="1"/>
    <col min="37" max="37" width="14.453125" bestFit="1" customWidth="1"/>
    <col min="38" max="38" width="15.54296875" bestFit="1" customWidth="1"/>
    <col min="39" max="39" width="13.1796875" bestFit="1" customWidth="1"/>
    <col min="40" max="40" width="16.6328125" bestFit="1" customWidth="1"/>
    <col min="41" max="41" width="18.08984375" bestFit="1" customWidth="1"/>
    <col min="42" max="42" width="19.54296875" bestFit="1" customWidth="1"/>
    <col min="43" max="43" width="22.36328125" bestFit="1" customWidth="1"/>
  </cols>
  <sheetData>
    <row r="1" spans="1:43"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62</v>
      </c>
      <c r="AK1" s="2" t="s">
        <v>63</v>
      </c>
      <c r="AL1" s="2" t="s">
        <v>64</v>
      </c>
      <c r="AM1" s="2" t="s">
        <v>65</v>
      </c>
      <c r="AN1" s="2" t="s">
        <v>66</v>
      </c>
      <c r="AO1" s="2" t="s">
        <v>67</v>
      </c>
      <c r="AP1" s="2" t="s">
        <v>68</v>
      </c>
      <c r="AQ1" s="2" t="s">
        <v>69</v>
      </c>
    </row>
    <row r="2" spans="1:43"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IF(AF2&lt;=AC2, "OK", "ERROR")</f>
        <v>OK</v>
      </c>
      <c r="AK2" t="str">
        <f>IF(AH2&lt;=AF2,"OK", "ERROR")</f>
        <v>OK</v>
      </c>
      <c r="AL2" t="str">
        <f>IF(AG2&lt;=AF2,"OK","ERROR")</f>
        <v>OK</v>
      </c>
      <c r="AM2" t="str">
        <f>IF(AI2&lt;=AF2,"OK","ERROR")</f>
        <v>OK</v>
      </c>
      <c r="AN2" s="1">
        <f>IF(AF2=0,0,AH2/AF2)</f>
        <v>0</v>
      </c>
      <c r="AO2" s="1">
        <f>IF(AF2=0,0,AG2/AF2)</f>
        <v>0.66666666666666663</v>
      </c>
      <c r="AP2" s="1">
        <f>IF(AF2=0,0,AD2/AF2)</f>
        <v>0</v>
      </c>
      <c r="AQ2" s="1">
        <f>IF(AF2=0,0,AI2/AF2)</f>
        <v>0.83333333333333337</v>
      </c>
    </row>
    <row r="3" spans="1:43"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ref="AJ3:AJ66" si="0">IF(AF3&lt;=AC3, "OK", "ERROR")</f>
        <v>OK</v>
      </c>
      <c r="AK3" t="str">
        <f>IF(AH3&lt;=AF3,"OK", "ERROR")</f>
        <v>OK</v>
      </c>
      <c r="AL3" t="str">
        <f t="shared" ref="AL3:AL66" si="1">IF(AG3&lt;=AF3,"OK","ERROR")</f>
        <v>OK</v>
      </c>
      <c r="AM3" t="str">
        <f t="shared" ref="AM3:AM66" si="2">IF(AI3&lt;=AF3,"OK","ERROR")</f>
        <v>OK</v>
      </c>
      <c r="AN3" s="1">
        <f>IF(AF3=0,0,AH3/AF3)</f>
        <v>0.1</v>
      </c>
      <c r="AO3" s="1">
        <f t="shared" ref="AO3:AO66" si="3">IF(AF3=0,0,AG3/AF3)</f>
        <v>0.7</v>
      </c>
      <c r="AP3" s="1">
        <f t="shared" ref="AP3:AP66" si="4">IF(AF3=0,0,AD3/AF3)</f>
        <v>0.3</v>
      </c>
      <c r="AQ3" s="1">
        <f t="shared" ref="AQ3:AQ66" si="5">IF(AF3=0,0,AI3/AF3)</f>
        <v>0.7</v>
      </c>
    </row>
    <row r="4" spans="1:43"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OK</v>
      </c>
      <c r="AK4" t="str">
        <f t="shared" ref="AK4:AK67" si="6">IF(AH4&lt;=AF4,"OK", "ERROR")</f>
        <v>OK</v>
      </c>
      <c r="AL4" t="str">
        <f t="shared" si="1"/>
        <v>OK</v>
      </c>
      <c r="AM4" t="str">
        <f t="shared" si="2"/>
        <v>OK</v>
      </c>
      <c r="AN4" s="1">
        <f>IF(AF4=0,0,AH4/AF4)</f>
        <v>0</v>
      </c>
      <c r="AO4" s="1">
        <f t="shared" si="3"/>
        <v>0</v>
      </c>
      <c r="AP4" s="1">
        <f t="shared" si="4"/>
        <v>0</v>
      </c>
      <c r="AQ4" s="1">
        <f t="shared" si="5"/>
        <v>0</v>
      </c>
    </row>
    <row r="5" spans="1:43"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OK</v>
      </c>
      <c r="AK5" t="str">
        <f t="shared" si="6"/>
        <v>OK</v>
      </c>
      <c r="AL5" t="str">
        <f t="shared" si="1"/>
        <v>OK</v>
      </c>
      <c r="AM5" t="str">
        <f t="shared" si="2"/>
        <v>OK</v>
      </c>
      <c r="AN5" s="1">
        <f>IF(AF5=0,0,AH5/AF5)</f>
        <v>0.375</v>
      </c>
      <c r="AO5" s="1">
        <f t="shared" si="3"/>
        <v>0.875</v>
      </c>
      <c r="AP5" s="1">
        <f t="shared" si="4"/>
        <v>0.375</v>
      </c>
      <c r="AQ5" s="1">
        <f t="shared" si="5"/>
        <v>0</v>
      </c>
    </row>
    <row r="6" spans="1:43"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OK</v>
      </c>
      <c r="AK6" t="str">
        <f t="shared" si="6"/>
        <v>OK</v>
      </c>
      <c r="AL6" t="str">
        <f t="shared" si="1"/>
        <v>OK</v>
      </c>
      <c r="AM6" t="str">
        <f t="shared" si="2"/>
        <v>OK</v>
      </c>
      <c r="AN6" s="1">
        <f>IF(AF6=0,0,AH6/AF6)</f>
        <v>1</v>
      </c>
      <c r="AO6" s="1">
        <f t="shared" si="3"/>
        <v>1</v>
      </c>
      <c r="AP6" s="1">
        <f t="shared" si="4"/>
        <v>1.5</v>
      </c>
      <c r="AQ6" s="1">
        <f t="shared" si="5"/>
        <v>1</v>
      </c>
    </row>
    <row r="7" spans="1:43"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OK</v>
      </c>
      <c r="AK7" t="str">
        <f t="shared" si="6"/>
        <v>OK</v>
      </c>
      <c r="AL7" t="str">
        <f t="shared" si="1"/>
        <v>OK</v>
      </c>
      <c r="AM7" t="str">
        <f t="shared" si="2"/>
        <v>OK</v>
      </c>
      <c r="AN7" s="1">
        <f>IF(AF7=0,0,AH7/AF7)</f>
        <v>0.42857142857142855</v>
      </c>
      <c r="AO7" s="1">
        <f t="shared" si="3"/>
        <v>1</v>
      </c>
      <c r="AP7" s="1">
        <f t="shared" si="4"/>
        <v>0.2857142857142857</v>
      </c>
      <c r="AQ7" s="1">
        <f t="shared" si="5"/>
        <v>0.8571428571428571</v>
      </c>
    </row>
    <row r="8" spans="1:43"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OK</v>
      </c>
      <c r="AK8" t="str">
        <f t="shared" si="6"/>
        <v>OK</v>
      </c>
      <c r="AL8" t="str">
        <f t="shared" si="1"/>
        <v>OK</v>
      </c>
      <c r="AM8" t="str">
        <f t="shared" si="2"/>
        <v>OK</v>
      </c>
      <c r="AN8" s="1">
        <f>IF(AF8=0,0,AH8/AF8)</f>
        <v>0</v>
      </c>
      <c r="AO8" s="1">
        <f t="shared" si="3"/>
        <v>0</v>
      </c>
      <c r="AP8" s="1">
        <f t="shared" si="4"/>
        <v>3</v>
      </c>
      <c r="AQ8" s="1">
        <f t="shared" si="5"/>
        <v>0</v>
      </c>
    </row>
    <row r="9" spans="1:43"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OK</v>
      </c>
      <c r="AK9" t="str">
        <f t="shared" si="6"/>
        <v>OK</v>
      </c>
      <c r="AL9" t="str">
        <f t="shared" si="1"/>
        <v>OK</v>
      </c>
      <c r="AM9" t="str">
        <f t="shared" si="2"/>
        <v>OK</v>
      </c>
      <c r="AN9" s="1">
        <f>IF(AF9=0,0,AH9/AF9)</f>
        <v>0</v>
      </c>
      <c r="AO9" s="1">
        <f t="shared" si="3"/>
        <v>0</v>
      </c>
      <c r="AP9" s="1">
        <f t="shared" si="4"/>
        <v>2</v>
      </c>
      <c r="AQ9" s="1">
        <f t="shared" si="5"/>
        <v>0</v>
      </c>
    </row>
    <row r="10" spans="1:43"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OK</v>
      </c>
      <c r="AK10" t="str">
        <f t="shared" si="6"/>
        <v>OK</v>
      </c>
      <c r="AL10" t="str">
        <f t="shared" si="1"/>
        <v>OK</v>
      </c>
      <c r="AM10" t="str">
        <f t="shared" si="2"/>
        <v>OK</v>
      </c>
      <c r="AN10" s="1">
        <f>IF(AF10=0,0,AH10/AF10)</f>
        <v>0.1111111111111111</v>
      </c>
      <c r="AO10" s="1">
        <f t="shared" si="3"/>
        <v>0.77777777777777779</v>
      </c>
      <c r="AP10" s="1">
        <f t="shared" si="4"/>
        <v>0.22222222222222221</v>
      </c>
      <c r="AQ10" s="1">
        <f t="shared" si="5"/>
        <v>0.88888888888888884</v>
      </c>
    </row>
    <row r="11" spans="1:43"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OK</v>
      </c>
      <c r="AK11" t="str">
        <f t="shared" si="6"/>
        <v>OK</v>
      </c>
      <c r="AL11" t="str">
        <f t="shared" si="1"/>
        <v>OK</v>
      </c>
      <c r="AM11" t="str">
        <f t="shared" si="2"/>
        <v>OK</v>
      </c>
      <c r="AN11" s="1">
        <f>IF(AF11=0,0,AH11/AF11)</f>
        <v>1</v>
      </c>
      <c r="AO11" s="1">
        <f t="shared" si="3"/>
        <v>1</v>
      </c>
      <c r="AP11" s="1">
        <f t="shared" si="4"/>
        <v>0.42857142857142855</v>
      </c>
      <c r="AQ11" s="1">
        <f t="shared" si="5"/>
        <v>1</v>
      </c>
    </row>
    <row r="12" spans="1:43"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OK</v>
      </c>
      <c r="AK12" t="str">
        <f t="shared" si="6"/>
        <v>OK</v>
      </c>
      <c r="AL12" t="str">
        <f t="shared" si="1"/>
        <v>OK</v>
      </c>
      <c r="AM12" t="str">
        <f t="shared" si="2"/>
        <v>OK</v>
      </c>
      <c r="AN12" s="1">
        <f>IF(AF12=0,0,AH12/AF12)</f>
        <v>0</v>
      </c>
      <c r="AO12" s="1">
        <f t="shared" si="3"/>
        <v>0.8</v>
      </c>
      <c r="AP12" s="1">
        <f t="shared" si="4"/>
        <v>1</v>
      </c>
      <c r="AQ12" s="1">
        <f t="shared" si="5"/>
        <v>0.6</v>
      </c>
    </row>
    <row r="13" spans="1:43"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OK</v>
      </c>
      <c r="AK13" t="str">
        <f t="shared" si="6"/>
        <v>OK</v>
      </c>
      <c r="AL13" t="str">
        <f t="shared" si="1"/>
        <v>OK</v>
      </c>
      <c r="AM13" t="str">
        <f t="shared" si="2"/>
        <v>OK</v>
      </c>
      <c r="AN13" s="1">
        <f>IF(AF13=0,0,AH13/AF13)</f>
        <v>0</v>
      </c>
      <c r="AO13" s="1">
        <f t="shared" si="3"/>
        <v>0.55555555555555558</v>
      </c>
      <c r="AP13" s="1">
        <f t="shared" si="4"/>
        <v>0.33333333333333331</v>
      </c>
      <c r="AQ13" s="1">
        <f t="shared" si="5"/>
        <v>0.88888888888888884</v>
      </c>
    </row>
    <row r="14" spans="1:43"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OK</v>
      </c>
      <c r="AK14" t="str">
        <f t="shared" si="6"/>
        <v>OK</v>
      </c>
      <c r="AL14" t="str">
        <f t="shared" si="1"/>
        <v>OK</v>
      </c>
      <c r="AM14" t="str">
        <f t="shared" si="2"/>
        <v>OK</v>
      </c>
      <c r="AN14" s="1">
        <f>IF(AF14=0,0,AH14/AF14)</f>
        <v>0.8</v>
      </c>
      <c r="AO14" s="1">
        <f t="shared" si="3"/>
        <v>0.4</v>
      </c>
      <c r="AP14" s="1">
        <f t="shared" si="4"/>
        <v>0.2</v>
      </c>
      <c r="AQ14" s="1">
        <f t="shared" si="5"/>
        <v>0.6</v>
      </c>
    </row>
    <row r="15" spans="1:43"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OK</v>
      </c>
      <c r="AK15" t="str">
        <f t="shared" si="6"/>
        <v>OK</v>
      </c>
      <c r="AL15" t="str">
        <f t="shared" si="1"/>
        <v>OK</v>
      </c>
      <c r="AM15" t="str">
        <f t="shared" si="2"/>
        <v>OK</v>
      </c>
      <c r="AN15" s="1">
        <f>IF(AF15=0,0,AH15/AF15)</f>
        <v>0.5</v>
      </c>
      <c r="AO15" s="1">
        <f t="shared" si="3"/>
        <v>1</v>
      </c>
      <c r="AP15" s="1">
        <f t="shared" si="4"/>
        <v>1</v>
      </c>
      <c r="AQ15" s="1">
        <f t="shared" si="5"/>
        <v>1</v>
      </c>
    </row>
    <row r="16" spans="1:43"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OK</v>
      </c>
      <c r="AK16" t="str">
        <f t="shared" si="6"/>
        <v>OK</v>
      </c>
      <c r="AL16" t="str">
        <f t="shared" si="1"/>
        <v>OK</v>
      </c>
      <c r="AM16" t="str">
        <f t="shared" si="2"/>
        <v>OK</v>
      </c>
      <c r="AN16" s="1">
        <f>IF(AF16=0,0,AH16/AF16)</f>
        <v>0</v>
      </c>
      <c r="AO16" s="1">
        <f t="shared" si="3"/>
        <v>0.5</v>
      </c>
      <c r="AP16" s="1">
        <f t="shared" si="4"/>
        <v>1</v>
      </c>
      <c r="AQ16" s="1">
        <f t="shared" si="5"/>
        <v>0.75</v>
      </c>
    </row>
    <row r="17" spans="1:43"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OK</v>
      </c>
      <c r="AK17" t="str">
        <f t="shared" si="6"/>
        <v>OK</v>
      </c>
      <c r="AL17" t="str">
        <f t="shared" si="1"/>
        <v>OK</v>
      </c>
      <c r="AM17" t="str">
        <f t="shared" si="2"/>
        <v>OK</v>
      </c>
      <c r="AN17" s="1">
        <f>IF(AF17=0,0,AH17/AF17)</f>
        <v>0.8</v>
      </c>
      <c r="AO17" s="1">
        <f t="shared" si="3"/>
        <v>0.9</v>
      </c>
      <c r="AP17" s="1">
        <f t="shared" si="4"/>
        <v>0.1</v>
      </c>
      <c r="AQ17" s="1">
        <f t="shared" si="5"/>
        <v>0.8</v>
      </c>
    </row>
    <row r="18" spans="1:43"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OK</v>
      </c>
      <c r="AK18" t="str">
        <f t="shared" si="6"/>
        <v>OK</v>
      </c>
      <c r="AL18" t="str">
        <f t="shared" si="1"/>
        <v>OK</v>
      </c>
      <c r="AM18" t="str">
        <f t="shared" si="2"/>
        <v>OK</v>
      </c>
      <c r="AN18" s="1">
        <f>IF(AF18=0,0,AH18/AF18)</f>
        <v>0</v>
      </c>
      <c r="AO18" s="1">
        <f t="shared" si="3"/>
        <v>0.33333333333333331</v>
      </c>
      <c r="AP18" s="1">
        <f t="shared" si="4"/>
        <v>0.83333333333333337</v>
      </c>
      <c r="AQ18" s="1">
        <f t="shared" si="5"/>
        <v>0.83333333333333337</v>
      </c>
    </row>
    <row r="19" spans="1:43"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OK</v>
      </c>
      <c r="AK19" t="str">
        <f t="shared" si="6"/>
        <v>OK</v>
      </c>
      <c r="AL19" t="str">
        <f t="shared" si="1"/>
        <v>OK</v>
      </c>
      <c r="AM19" t="str">
        <f t="shared" si="2"/>
        <v>OK</v>
      </c>
      <c r="AN19" s="1">
        <f>IF(AF19=0,0,AH19/AF19)</f>
        <v>0</v>
      </c>
      <c r="AO19" s="1">
        <f t="shared" si="3"/>
        <v>0</v>
      </c>
      <c r="AP19" s="1">
        <f t="shared" si="4"/>
        <v>2</v>
      </c>
      <c r="AQ19" s="1">
        <f t="shared" si="5"/>
        <v>0</v>
      </c>
    </row>
    <row r="20" spans="1:43"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OK</v>
      </c>
      <c r="AK20" t="str">
        <f t="shared" si="6"/>
        <v>OK</v>
      </c>
      <c r="AL20" t="str">
        <f t="shared" si="1"/>
        <v>OK</v>
      </c>
      <c r="AM20" t="str">
        <f t="shared" si="2"/>
        <v>OK</v>
      </c>
      <c r="AN20" s="1">
        <f>IF(AF20=0,0,AH20/AF20)</f>
        <v>0.12</v>
      </c>
      <c r="AO20" s="1">
        <f t="shared" si="3"/>
        <v>0.32</v>
      </c>
      <c r="AP20" s="1">
        <f t="shared" si="4"/>
        <v>0.12</v>
      </c>
      <c r="AQ20" s="1">
        <f t="shared" si="5"/>
        <v>0.28000000000000003</v>
      </c>
    </row>
    <row r="21" spans="1:43"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OK</v>
      </c>
      <c r="AK21" t="str">
        <f t="shared" si="6"/>
        <v>OK</v>
      </c>
      <c r="AL21" t="str">
        <f t="shared" si="1"/>
        <v>OK</v>
      </c>
      <c r="AM21" t="str">
        <f t="shared" si="2"/>
        <v>OK</v>
      </c>
      <c r="AN21" s="1">
        <f>IF(AF21=0,0,AH21/AF21)</f>
        <v>0.33333333333333331</v>
      </c>
      <c r="AO21" s="1">
        <f t="shared" si="3"/>
        <v>0.66666666666666663</v>
      </c>
      <c r="AP21" s="1">
        <f t="shared" si="4"/>
        <v>1</v>
      </c>
      <c r="AQ21" s="1">
        <f t="shared" si="5"/>
        <v>0.66666666666666663</v>
      </c>
    </row>
    <row r="22" spans="1:43"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OK</v>
      </c>
      <c r="AK22" t="str">
        <f t="shared" si="6"/>
        <v>OK</v>
      </c>
      <c r="AL22" t="str">
        <f t="shared" si="1"/>
        <v>OK</v>
      </c>
      <c r="AM22" t="str">
        <f t="shared" si="2"/>
        <v>OK</v>
      </c>
      <c r="AN22" s="1">
        <f>IF(AF22=0,0,AH22/AF22)</f>
        <v>0.25</v>
      </c>
      <c r="AO22" s="1">
        <f t="shared" si="3"/>
        <v>0.5</v>
      </c>
      <c r="AP22" s="1">
        <f t="shared" si="4"/>
        <v>1.25</v>
      </c>
      <c r="AQ22" s="1">
        <f t="shared" si="5"/>
        <v>0.75</v>
      </c>
    </row>
    <row r="23" spans="1:43"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OK</v>
      </c>
      <c r="AK23" t="str">
        <f t="shared" si="6"/>
        <v>OK</v>
      </c>
      <c r="AL23" t="str">
        <f t="shared" si="1"/>
        <v>OK</v>
      </c>
      <c r="AM23" t="str">
        <f t="shared" si="2"/>
        <v>OK</v>
      </c>
      <c r="AN23" s="1">
        <f>IF(AF23=0,0,AH23/AF23)</f>
        <v>0</v>
      </c>
      <c r="AO23" s="1">
        <f t="shared" si="3"/>
        <v>0.6</v>
      </c>
      <c r="AP23" s="1">
        <f t="shared" si="4"/>
        <v>0.8</v>
      </c>
      <c r="AQ23" s="1">
        <f t="shared" si="5"/>
        <v>0.6</v>
      </c>
    </row>
    <row r="24" spans="1:43"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OK</v>
      </c>
      <c r="AK24" t="str">
        <f t="shared" si="6"/>
        <v>OK</v>
      </c>
      <c r="AL24" t="str">
        <f t="shared" si="1"/>
        <v>OK</v>
      </c>
      <c r="AM24" t="str">
        <f t="shared" si="2"/>
        <v>OK</v>
      </c>
      <c r="AN24" s="1">
        <f>IF(AF24=0,0,AH24/AF24)</f>
        <v>0.16666666666666666</v>
      </c>
      <c r="AO24" s="1">
        <f t="shared" si="3"/>
        <v>0.5</v>
      </c>
      <c r="AP24" s="1">
        <f t="shared" si="4"/>
        <v>0.33333333333333331</v>
      </c>
      <c r="AQ24" s="1">
        <f t="shared" si="5"/>
        <v>0.91666666666666663</v>
      </c>
    </row>
    <row r="25" spans="1:43"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OK</v>
      </c>
      <c r="AK25" t="str">
        <f t="shared" si="6"/>
        <v>OK</v>
      </c>
      <c r="AL25" t="str">
        <f t="shared" si="1"/>
        <v>OK</v>
      </c>
      <c r="AM25" t="str">
        <f t="shared" si="2"/>
        <v>OK</v>
      </c>
      <c r="AN25" s="1">
        <f>IF(AF25=0,0,AH25/AF25)</f>
        <v>0</v>
      </c>
      <c r="AO25" s="1">
        <f t="shared" si="3"/>
        <v>0</v>
      </c>
      <c r="AP25" s="1">
        <f t="shared" si="4"/>
        <v>0</v>
      </c>
      <c r="AQ25" s="1">
        <f t="shared" si="5"/>
        <v>0</v>
      </c>
    </row>
    <row r="26" spans="1:43"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OK</v>
      </c>
      <c r="AK26" t="str">
        <f t="shared" si="6"/>
        <v>OK</v>
      </c>
      <c r="AL26" t="str">
        <f t="shared" si="1"/>
        <v>OK</v>
      </c>
      <c r="AM26" t="str">
        <f t="shared" si="2"/>
        <v>OK</v>
      </c>
      <c r="AN26" s="1">
        <f>IF(AF26=0,0,AH26/AF26)</f>
        <v>0.25</v>
      </c>
      <c r="AO26" s="1">
        <f t="shared" si="3"/>
        <v>0.5</v>
      </c>
      <c r="AP26" s="1">
        <f t="shared" si="4"/>
        <v>0.5</v>
      </c>
      <c r="AQ26" s="1">
        <f t="shared" si="5"/>
        <v>0.75</v>
      </c>
    </row>
    <row r="27" spans="1:43"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OK</v>
      </c>
      <c r="AK27" t="str">
        <f t="shared" si="6"/>
        <v>OK</v>
      </c>
      <c r="AL27" t="str">
        <f t="shared" si="1"/>
        <v>OK</v>
      </c>
      <c r="AM27" t="str">
        <f t="shared" si="2"/>
        <v>OK</v>
      </c>
      <c r="AN27" s="1">
        <f>IF(AF27=0,0,AH27/AF27)</f>
        <v>0.2857142857142857</v>
      </c>
      <c r="AO27" s="1">
        <f t="shared" si="3"/>
        <v>0.9285714285714286</v>
      </c>
      <c r="AP27" s="1">
        <f t="shared" si="4"/>
        <v>0.21428571428571427</v>
      </c>
      <c r="AQ27" s="1">
        <f t="shared" si="5"/>
        <v>0.5714285714285714</v>
      </c>
    </row>
    <row r="28" spans="1:43"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OK</v>
      </c>
      <c r="AK28" t="str">
        <f t="shared" si="6"/>
        <v>OK</v>
      </c>
      <c r="AL28" t="str">
        <f t="shared" si="1"/>
        <v>OK</v>
      </c>
      <c r="AM28" t="str">
        <f t="shared" si="2"/>
        <v>OK</v>
      </c>
      <c r="AN28" s="1">
        <f>IF(AF28=0,0,AH28/AF28)</f>
        <v>0.6</v>
      </c>
      <c r="AO28" s="1">
        <f t="shared" si="3"/>
        <v>0.2</v>
      </c>
      <c r="AP28" s="1">
        <f t="shared" si="4"/>
        <v>0.5</v>
      </c>
      <c r="AQ28" s="1">
        <f t="shared" si="5"/>
        <v>0.7</v>
      </c>
    </row>
    <row r="29" spans="1:43"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OK</v>
      </c>
      <c r="AK29" t="str">
        <f t="shared" si="6"/>
        <v>OK</v>
      </c>
      <c r="AL29" t="str">
        <f t="shared" si="1"/>
        <v>OK</v>
      </c>
      <c r="AM29" t="str">
        <f t="shared" si="2"/>
        <v>OK</v>
      </c>
      <c r="AN29" s="1">
        <f>IF(AF29=0,0,AH29/AF29)</f>
        <v>0.44444444444444442</v>
      </c>
      <c r="AO29" s="1">
        <f t="shared" si="3"/>
        <v>0.77777777777777779</v>
      </c>
      <c r="AP29" s="1">
        <f t="shared" si="4"/>
        <v>0.22222222222222221</v>
      </c>
      <c r="AQ29" s="1">
        <f t="shared" si="5"/>
        <v>0.22222222222222221</v>
      </c>
    </row>
    <row r="30" spans="1:43"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OK</v>
      </c>
      <c r="AK30" t="str">
        <f t="shared" si="6"/>
        <v>OK</v>
      </c>
      <c r="AL30" t="str">
        <f t="shared" si="1"/>
        <v>OK</v>
      </c>
      <c r="AM30" t="str">
        <f t="shared" si="2"/>
        <v>OK</v>
      </c>
      <c r="AN30" s="1">
        <f>IF(AF30=0,0,AH30/AF30)</f>
        <v>0.22727272727272727</v>
      </c>
      <c r="AO30" s="1">
        <f t="shared" si="3"/>
        <v>0.27272727272727271</v>
      </c>
      <c r="AP30" s="1">
        <f t="shared" si="4"/>
        <v>0.18181818181818182</v>
      </c>
      <c r="AQ30" s="1">
        <f t="shared" si="5"/>
        <v>0.77272727272727271</v>
      </c>
    </row>
    <row r="31" spans="1:43"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OK</v>
      </c>
      <c r="AK31" t="str">
        <f t="shared" si="6"/>
        <v>OK</v>
      </c>
      <c r="AL31" t="str">
        <f t="shared" si="1"/>
        <v>OK</v>
      </c>
      <c r="AM31" t="str">
        <f t="shared" si="2"/>
        <v>OK</v>
      </c>
      <c r="AN31" s="1">
        <f>IF(AF31=0,0,AH31/AF31)</f>
        <v>1</v>
      </c>
      <c r="AO31" s="1">
        <f t="shared" si="3"/>
        <v>1</v>
      </c>
      <c r="AP31" s="1">
        <f t="shared" si="4"/>
        <v>1</v>
      </c>
      <c r="AQ31" s="1">
        <f t="shared" si="5"/>
        <v>0.5</v>
      </c>
    </row>
    <row r="32" spans="1:43"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OK</v>
      </c>
      <c r="AK32" t="str">
        <f t="shared" si="6"/>
        <v>OK</v>
      </c>
      <c r="AL32" t="str">
        <f t="shared" si="1"/>
        <v>OK</v>
      </c>
      <c r="AM32" t="str">
        <f t="shared" si="2"/>
        <v>OK</v>
      </c>
      <c r="AN32" s="1">
        <f>IF(AF32=0,0,AH32/AF32)</f>
        <v>0</v>
      </c>
      <c r="AO32" s="1">
        <f t="shared" si="3"/>
        <v>1</v>
      </c>
      <c r="AP32" s="1">
        <f t="shared" si="4"/>
        <v>3</v>
      </c>
      <c r="AQ32" s="1">
        <f t="shared" si="5"/>
        <v>0</v>
      </c>
    </row>
    <row r="33" spans="1:43"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OK</v>
      </c>
      <c r="AK33" t="str">
        <f t="shared" si="6"/>
        <v>OK</v>
      </c>
      <c r="AL33" t="str">
        <f t="shared" si="1"/>
        <v>OK</v>
      </c>
      <c r="AM33" t="str">
        <f t="shared" si="2"/>
        <v>OK</v>
      </c>
      <c r="AN33" s="1">
        <f>IF(AF33=0,0,AH33/AF33)</f>
        <v>0.25</v>
      </c>
      <c r="AO33" s="1">
        <f t="shared" si="3"/>
        <v>0.5</v>
      </c>
      <c r="AP33" s="1">
        <f t="shared" si="4"/>
        <v>1.25</v>
      </c>
      <c r="AQ33" s="1">
        <f t="shared" si="5"/>
        <v>0.75</v>
      </c>
    </row>
    <row r="34" spans="1:43"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OK</v>
      </c>
      <c r="AK34" t="str">
        <f t="shared" si="6"/>
        <v>OK</v>
      </c>
      <c r="AL34" t="str">
        <f t="shared" si="1"/>
        <v>OK</v>
      </c>
      <c r="AM34" t="str">
        <f t="shared" si="2"/>
        <v>OK</v>
      </c>
      <c r="AN34" s="1">
        <f>IF(AF34=0,0,AH34/AF34)</f>
        <v>0.1</v>
      </c>
      <c r="AO34" s="1">
        <f t="shared" si="3"/>
        <v>0</v>
      </c>
      <c r="AP34" s="1">
        <f t="shared" si="4"/>
        <v>0.5</v>
      </c>
      <c r="AQ34" s="1">
        <f t="shared" si="5"/>
        <v>0.8</v>
      </c>
    </row>
    <row r="35" spans="1:43"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OK</v>
      </c>
      <c r="AK35" t="str">
        <f t="shared" si="6"/>
        <v>OK</v>
      </c>
      <c r="AL35" t="str">
        <f t="shared" si="1"/>
        <v>OK</v>
      </c>
      <c r="AM35" t="str">
        <f t="shared" si="2"/>
        <v>OK</v>
      </c>
      <c r="AN35" s="1">
        <f>IF(AF35=0,0,AH35/AF35)</f>
        <v>0</v>
      </c>
      <c r="AO35" s="1">
        <f t="shared" si="3"/>
        <v>0</v>
      </c>
      <c r="AP35" s="1">
        <f t="shared" si="4"/>
        <v>6</v>
      </c>
      <c r="AQ35" s="1">
        <f t="shared" si="5"/>
        <v>0</v>
      </c>
    </row>
    <row r="36" spans="1:43"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OK</v>
      </c>
      <c r="AK36" t="str">
        <f t="shared" si="6"/>
        <v>OK</v>
      </c>
      <c r="AL36" t="str">
        <f t="shared" si="1"/>
        <v>OK</v>
      </c>
      <c r="AM36" t="str">
        <f t="shared" si="2"/>
        <v>OK</v>
      </c>
      <c r="AN36" s="1">
        <f>IF(AF36=0,0,AH36/AF36)</f>
        <v>1</v>
      </c>
      <c r="AO36" s="1">
        <f t="shared" si="3"/>
        <v>0</v>
      </c>
      <c r="AP36" s="1">
        <f t="shared" si="4"/>
        <v>1</v>
      </c>
      <c r="AQ36" s="1">
        <f t="shared" si="5"/>
        <v>0</v>
      </c>
    </row>
    <row r="37" spans="1:43"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OK</v>
      </c>
      <c r="AK37" t="str">
        <f t="shared" si="6"/>
        <v>OK</v>
      </c>
      <c r="AL37" t="str">
        <f t="shared" si="1"/>
        <v>OK</v>
      </c>
      <c r="AM37" t="str">
        <f t="shared" si="2"/>
        <v>OK</v>
      </c>
      <c r="AN37" s="1">
        <f>IF(AF37=0,0,AH37/AF37)</f>
        <v>0.2</v>
      </c>
      <c r="AO37" s="1">
        <f t="shared" si="3"/>
        <v>0.6</v>
      </c>
      <c r="AP37" s="1">
        <f t="shared" si="4"/>
        <v>0.6</v>
      </c>
      <c r="AQ37" s="1">
        <f t="shared" si="5"/>
        <v>0.8</v>
      </c>
    </row>
    <row r="38" spans="1:43"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OK</v>
      </c>
      <c r="AK38" t="str">
        <f t="shared" si="6"/>
        <v>OK</v>
      </c>
      <c r="AL38" t="str">
        <f t="shared" si="1"/>
        <v>OK</v>
      </c>
      <c r="AM38" t="str">
        <f t="shared" si="2"/>
        <v>OK</v>
      </c>
      <c r="AN38" s="1">
        <f>IF(AF38=0,0,AH38/AF38)</f>
        <v>0</v>
      </c>
      <c r="AO38" s="1">
        <f t="shared" si="3"/>
        <v>0.66666666666666663</v>
      </c>
      <c r="AP38" s="1">
        <f t="shared" si="4"/>
        <v>0.66666666666666663</v>
      </c>
      <c r="AQ38" s="1">
        <f t="shared" si="5"/>
        <v>0.66666666666666663</v>
      </c>
    </row>
    <row r="39" spans="1:43"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OK</v>
      </c>
      <c r="AK39" t="str">
        <f t="shared" si="6"/>
        <v>OK</v>
      </c>
      <c r="AL39" t="str">
        <f t="shared" si="1"/>
        <v>OK</v>
      </c>
      <c r="AM39" t="str">
        <f t="shared" si="2"/>
        <v>OK</v>
      </c>
      <c r="AN39" s="1">
        <f>IF(AF39=0,0,AH39/AF39)</f>
        <v>1</v>
      </c>
      <c r="AO39" s="1">
        <f t="shared" si="3"/>
        <v>1</v>
      </c>
      <c r="AP39" s="1">
        <f t="shared" si="4"/>
        <v>1.5</v>
      </c>
      <c r="AQ39" s="1">
        <f t="shared" si="5"/>
        <v>1</v>
      </c>
    </row>
    <row r="40" spans="1:43"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OK</v>
      </c>
      <c r="AK40" t="str">
        <f t="shared" si="6"/>
        <v>OK</v>
      </c>
      <c r="AL40" t="str">
        <f t="shared" si="1"/>
        <v>OK</v>
      </c>
      <c r="AM40" t="str">
        <f t="shared" si="2"/>
        <v>OK</v>
      </c>
      <c r="AN40" s="1">
        <f>IF(AF40=0,0,AH40/AF40)</f>
        <v>0</v>
      </c>
      <c r="AO40" s="1">
        <f t="shared" si="3"/>
        <v>1</v>
      </c>
      <c r="AP40" s="1">
        <f t="shared" si="4"/>
        <v>3</v>
      </c>
      <c r="AQ40" s="1">
        <f t="shared" si="5"/>
        <v>0</v>
      </c>
    </row>
    <row r="41" spans="1:43"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OK</v>
      </c>
      <c r="AK41" t="str">
        <f t="shared" si="6"/>
        <v>OK</v>
      </c>
      <c r="AL41" t="str">
        <f t="shared" si="1"/>
        <v>OK</v>
      </c>
      <c r="AM41" t="str">
        <f t="shared" si="2"/>
        <v>OK</v>
      </c>
      <c r="AN41" s="1">
        <f>IF(AF41=0,0,AH41/AF41)</f>
        <v>0.2</v>
      </c>
      <c r="AO41" s="1">
        <f t="shared" si="3"/>
        <v>0.6</v>
      </c>
      <c r="AP41" s="1">
        <f t="shared" si="4"/>
        <v>0.6</v>
      </c>
      <c r="AQ41" s="1">
        <f t="shared" si="5"/>
        <v>0.6</v>
      </c>
    </row>
    <row r="42" spans="1:43"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OK</v>
      </c>
      <c r="AK42" t="str">
        <f t="shared" si="6"/>
        <v>OK</v>
      </c>
      <c r="AL42" t="str">
        <f t="shared" si="1"/>
        <v>OK</v>
      </c>
      <c r="AM42" t="str">
        <f t="shared" si="2"/>
        <v>OK</v>
      </c>
      <c r="AN42" s="1">
        <f>IF(AF42=0,0,AH42/AF42)</f>
        <v>0</v>
      </c>
      <c r="AO42" s="1">
        <f t="shared" si="3"/>
        <v>0</v>
      </c>
      <c r="AP42" s="1">
        <f t="shared" si="4"/>
        <v>3</v>
      </c>
      <c r="AQ42" s="1">
        <f t="shared" si="5"/>
        <v>0</v>
      </c>
    </row>
    <row r="43" spans="1:43"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OK</v>
      </c>
      <c r="AK43" t="str">
        <f t="shared" si="6"/>
        <v>OK</v>
      </c>
      <c r="AL43" t="str">
        <f t="shared" si="1"/>
        <v>OK</v>
      </c>
      <c r="AM43" t="str">
        <f t="shared" si="2"/>
        <v>OK</v>
      </c>
      <c r="AN43" s="1">
        <f>IF(AF43=0,0,AH43/AF43)</f>
        <v>0</v>
      </c>
      <c r="AO43" s="1">
        <f t="shared" si="3"/>
        <v>0</v>
      </c>
      <c r="AP43" s="1">
        <f t="shared" si="4"/>
        <v>6</v>
      </c>
      <c r="AQ43" s="1">
        <f t="shared" si="5"/>
        <v>0</v>
      </c>
    </row>
    <row r="44" spans="1:43"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OK</v>
      </c>
      <c r="AK44" t="str">
        <f t="shared" si="6"/>
        <v>OK</v>
      </c>
      <c r="AL44" t="str">
        <f t="shared" si="1"/>
        <v>OK</v>
      </c>
      <c r="AM44" t="str">
        <f t="shared" si="2"/>
        <v>OK</v>
      </c>
      <c r="AN44" s="1">
        <f>IF(AF44=0,0,AH44/AF44)</f>
        <v>0</v>
      </c>
      <c r="AO44" s="1">
        <f t="shared" si="3"/>
        <v>0</v>
      </c>
      <c r="AP44" s="1">
        <f t="shared" si="4"/>
        <v>2</v>
      </c>
      <c r="AQ44" s="1">
        <f t="shared" si="5"/>
        <v>1</v>
      </c>
    </row>
    <row r="45" spans="1:43"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OK</v>
      </c>
      <c r="AK45" t="str">
        <f t="shared" si="6"/>
        <v>OK</v>
      </c>
      <c r="AL45" t="str">
        <f t="shared" si="1"/>
        <v>OK</v>
      </c>
      <c r="AM45" t="str">
        <f t="shared" si="2"/>
        <v>OK</v>
      </c>
      <c r="AN45" s="1">
        <f>IF(AF45=0,0,AH45/AF45)</f>
        <v>0.1111111111111111</v>
      </c>
      <c r="AO45" s="1">
        <f t="shared" si="3"/>
        <v>0.88888888888888884</v>
      </c>
      <c r="AP45" s="1">
        <f t="shared" si="4"/>
        <v>0</v>
      </c>
      <c r="AQ45" s="1">
        <f t="shared" si="5"/>
        <v>0.77777777777777779</v>
      </c>
    </row>
    <row r="46" spans="1:43"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OK</v>
      </c>
      <c r="AK46" t="str">
        <f t="shared" si="6"/>
        <v>OK</v>
      </c>
      <c r="AL46" t="str">
        <f t="shared" si="1"/>
        <v>OK</v>
      </c>
      <c r="AM46" t="str">
        <f t="shared" si="2"/>
        <v>OK</v>
      </c>
      <c r="AN46" s="1">
        <f>IF(AF46=0,0,AH46/AF46)</f>
        <v>0.25</v>
      </c>
      <c r="AO46" s="1">
        <f t="shared" si="3"/>
        <v>0.66666666666666663</v>
      </c>
      <c r="AP46" s="1">
        <f t="shared" si="4"/>
        <v>0.16666666666666666</v>
      </c>
      <c r="AQ46" s="1">
        <f t="shared" si="5"/>
        <v>0.58333333333333337</v>
      </c>
    </row>
    <row r="47" spans="1:43"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OK</v>
      </c>
      <c r="AK47" t="str">
        <f t="shared" si="6"/>
        <v>OK</v>
      </c>
      <c r="AL47" t="str">
        <f t="shared" si="1"/>
        <v>OK</v>
      </c>
      <c r="AM47" t="str">
        <f t="shared" si="2"/>
        <v>OK</v>
      </c>
      <c r="AN47" s="1">
        <f>IF(AF47=0,0,AH47/AF47)</f>
        <v>0.68181818181818177</v>
      </c>
      <c r="AO47" s="1">
        <f t="shared" si="3"/>
        <v>0.68181818181818177</v>
      </c>
      <c r="AP47" s="1">
        <f t="shared" si="4"/>
        <v>0</v>
      </c>
      <c r="AQ47" s="1">
        <f t="shared" si="5"/>
        <v>0.36363636363636365</v>
      </c>
    </row>
    <row r="48" spans="1:43"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OK</v>
      </c>
      <c r="AK48" t="str">
        <f t="shared" si="6"/>
        <v>OK</v>
      </c>
      <c r="AL48" t="str">
        <f t="shared" si="1"/>
        <v>OK</v>
      </c>
      <c r="AM48" t="str">
        <f t="shared" si="2"/>
        <v>OK</v>
      </c>
      <c r="AN48" s="1">
        <f>IF(AF48=0,0,AH48/AF48)</f>
        <v>0.88888888888888884</v>
      </c>
      <c r="AO48" s="1">
        <f t="shared" si="3"/>
        <v>0.55555555555555558</v>
      </c>
      <c r="AP48" s="1">
        <f t="shared" si="4"/>
        <v>0.22222222222222221</v>
      </c>
      <c r="AQ48" s="1">
        <f t="shared" si="5"/>
        <v>0.77777777777777779</v>
      </c>
    </row>
    <row r="49" spans="1:43"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OK</v>
      </c>
      <c r="AK49" t="str">
        <f t="shared" si="6"/>
        <v>OK</v>
      </c>
      <c r="AL49" t="str">
        <f t="shared" si="1"/>
        <v>OK</v>
      </c>
      <c r="AM49" t="str">
        <f t="shared" si="2"/>
        <v>OK</v>
      </c>
      <c r="AN49" s="1">
        <f>IF(AF49=0,0,AH49/AF49)</f>
        <v>0</v>
      </c>
      <c r="AO49" s="1">
        <f t="shared" si="3"/>
        <v>0</v>
      </c>
      <c r="AP49" s="1">
        <f t="shared" si="4"/>
        <v>1</v>
      </c>
      <c r="AQ49" s="1">
        <f t="shared" si="5"/>
        <v>0</v>
      </c>
    </row>
    <row r="50" spans="1:43"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OK</v>
      </c>
      <c r="AK50" t="str">
        <f t="shared" si="6"/>
        <v>OK</v>
      </c>
      <c r="AL50" t="str">
        <f t="shared" si="1"/>
        <v>OK</v>
      </c>
      <c r="AM50" t="str">
        <f t="shared" si="2"/>
        <v>OK</v>
      </c>
      <c r="AN50" s="1">
        <f>IF(AF50=0,0,AH50/AF50)</f>
        <v>0</v>
      </c>
      <c r="AO50" s="1">
        <f t="shared" si="3"/>
        <v>0.66666666666666663</v>
      </c>
      <c r="AP50" s="1">
        <f t="shared" si="4"/>
        <v>0.44444444444444442</v>
      </c>
      <c r="AQ50" s="1">
        <f t="shared" si="5"/>
        <v>0.88888888888888884</v>
      </c>
    </row>
    <row r="51" spans="1:43"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OK</v>
      </c>
      <c r="AK51" t="str">
        <f t="shared" si="6"/>
        <v>OK</v>
      </c>
      <c r="AL51" t="str">
        <f t="shared" si="1"/>
        <v>OK</v>
      </c>
      <c r="AM51" t="str">
        <f t="shared" si="2"/>
        <v>OK</v>
      </c>
      <c r="AN51" s="1">
        <f>IF(AF51=0,0,AH51/AF51)</f>
        <v>0</v>
      </c>
      <c r="AO51" s="1">
        <f t="shared" si="3"/>
        <v>0</v>
      </c>
      <c r="AP51" s="1">
        <f t="shared" si="4"/>
        <v>2</v>
      </c>
      <c r="AQ51" s="1">
        <f t="shared" si="5"/>
        <v>1</v>
      </c>
    </row>
    <row r="52" spans="1:43"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OK</v>
      </c>
      <c r="AK52" t="str">
        <f t="shared" si="6"/>
        <v>OK</v>
      </c>
      <c r="AL52" t="str">
        <f t="shared" si="1"/>
        <v>OK</v>
      </c>
      <c r="AM52" t="str">
        <f t="shared" si="2"/>
        <v>OK</v>
      </c>
      <c r="AN52" s="1">
        <f>IF(AF52=0,0,AH52/AF52)</f>
        <v>0</v>
      </c>
      <c r="AO52" s="1">
        <f t="shared" si="3"/>
        <v>0</v>
      </c>
      <c r="AP52" s="1">
        <f t="shared" si="4"/>
        <v>2</v>
      </c>
      <c r="AQ52" s="1">
        <f t="shared" si="5"/>
        <v>0</v>
      </c>
    </row>
    <row r="53" spans="1:43"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OK</v>
      </c>
      <c r="AK53" t="str">
        <f t="shared" si="6"/>
        <v>OK</v>
      </c>
      <c r="AL53" t="str">
        <f t="shared" si="1"/>
        <v>OK</v>
      </c>
      <c r="AM53" t="str">
        <f t="shared" si="2"/>
        <v>OK</v>
      </c>
      <c r="AN53" s="1">
        <f>IF(AF53=0,0,AH53/AF53)</f>
        <v>1</v>
      </c>
      <c r="AO53" s="1">
        <f t="shared" si="3"/>
        <v>1</v>
      </c>
      <c r="AP53" s="1">
        <f t="shared" si="4"/>
        <v>1.5</v>
      </c>
      <c r="AQ53" s="1">
        <f t="shared" si="5"/>
        <v>1</v>
      </c>
    </row>
    <row r="54" spans="1:43"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OK</v>
      </c>
      <c r="AK54" t="str">
        <f t="shared" si="6"/>
        <v>OK</v>
      </c>
      <c r="AL54" t="str">
        <f t="shared" si="1"/>
        <v>OK</v>
      </c>
      <c r="AM54" t="str">
        <f t="shared" si="2"/>
        <v>OK</v>
      </c>
      <c r="AN54" s="1">
        <f>IF(AF54=0,0,AH54/AF54)</f>
        <v>0.25</v>
      </c>
      <c r="AO54" s="1">
        <f t="shared" si="3"/>
        <v>0.75</v>
      </c>
      <c r="AP54" s="1">
        <f t="shared" si="4"/>
        <v>0.5</v>
      </c>
      <c r="AQ54" s="1">
        <f t="shared" si="5"/>
        <v>0.75</v>
      </c>
    </row>
    <row r="55" spans="1:43"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OK</v>
      </c>
      <c r="AK55" t="str">
        <f t="shared" si="6"/>
        <v>OK</v>
      </c>
      <c r="AL55" t="str">
        <f t="shared" si="1"/>
        <v>OK</v>
      </c>
      <c r="AM55" t="str">
        <f t="shared" si="2"/>
        <v>OK</v>
      </c>
      <c r="AN55" s="1">
        <f>IF(AF55=0,0,AH55/AF55)</f>
        <v>0.5</v>
      </c>
      <c r="AO55" s="1">
        <f t="shared" si="3"/>
        <v>0</v>
      </c>
      <c r="AP55" s="1">
        <f t="shared" si="4"/>
        <v>0.75</v>
      </c>
      <c r="AQ55" s="1">
        <f t="shared" si="5"/>
        <v>0.75</v>
      </c>
    </row>
    <row r="56" spans="1:43"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OK</v>
      </c>
      <c r="AK56" t="str">
        <f t="shared" si="6"/>
        <v>OK</v>
      </c>
      <c r="AL56" t="str">
        <f t="shared" si="1"/>
        <v>OK</v>
      </c>
      <c r="AM56" t="str">
        <f t="shared" si="2"/>
        <v>OK</v>
      </c>
      <c r="AN56" s="1">
        <f>IF(AF56=0,0,AH56/AF56)</f>
        <v>0</v>
      </c>
      <c r="AO56" s="1">
        <f t="shared" si="3"/>
        <v>1</v>
      </c>
      <c r="AP56" s="1">
        <f t="shared" si="4"/>
        <v>1</v>
      </c>
      <c r="AQ56" s="1">
        <f t="shared" si="5"/>
        <v>0</v>
      </c>
    </row>
    <row r="57" spans="1:43"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OK</v>
      </c>
      <c r="AK57" t="str">
        <f t="shared" si="6"/>
        <v>OK</v>
      </c>
      <c r="AL57" t="str">
        <f t="shared" si="1"/>
        <v>OK</v>
      </c>
      <c r="AM57" t="str">
        <f t="shared" si="2"/>
        <v>OK</v>
      </c>
      <c r="AN57" s="1">
        <f>IF(AF57=0,0,AH57/AF57)</f>
        <v>0.53333333333333333</v>
      </c>
      <c r="AO57" s="1">
        <f t="shared" si="3"/>
        <v>0.93333333333333335</v>
      </c>
      <c r="AP57" s="1">
        <f t="shared" si="4"/>
        <v>6.6666666666666666E-2</v>
      </c>
      <c r="AQ57" s="1">
        <f t="shared" si="5"/>
        <v>0.8</v>
      </c>
    </row>
    <row r="58" spans="1:43"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OK</v>
      </c>
      <c r="AK58" t="str">
        <f t="shared" si="6"/>
        <v>OK</v>
      </c>
      <c r="AL58" t="str">
        <f t="shared" si="1"/>
        <v>OK</v>
      </c>
      <c r="AM58" t="str">
        <f t="shared" si="2"/>
        <v>OK</v>
      </c>
      <c r="AN58" s="1">
        <f>IF(AF58=0,0,AH58/AF58)</f>
        <v>0.1111111111111111</v>
      </c>
      <c r="AO58" s="1">
        <f t="shared" si="3"/>
        <v>0.88888888888888884</v>
      </c>
      <c r="AP58" s="1">
        <f t="shared" si="4"/>
        <v>0.33333333333333331</v>
      </c>
      <c r="AQ58" s="1">
        <f t="shared" si="5"/>
        <v>0.88888888888888884</v>
      </c>
    </row>
    <row r="59" spans="1:43"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OK</v>
      </c>
      <c r="AK59" t="str">
        <f t="shared" si="6"/>
        <v>OK</v>
      </c>
      <c r="AL59" t="str">
        <f t="shared" si="1"/>
        <v>OK</v>
      </c>
      <c r="AM59" t="str">
        <f t="shared" si="2"/>
        <v>OK</v>
      </c>
      <c r="AN59" s="1">
        <f>IF(AF59=0,0,AH59/AF59)</f>
        <v>1</v>
      </c>
      <c r="AO59" s="1">
        <f t="shared" si="3"/>
        <v>1</v>
      </c>
      <c r="AP59" s="1">
        <f t="shared" si="4"/>
        <v>1.5</v>
      </c>
      <c r="AQ59" s="1">
        <f t="shared" si="5"/>
        <v>1</v>
      </c>
    </row>
    <row r="60" spans="1:43"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OK</v>
      </c>
      <c r="AK60" t="str">
        <f t="shared" si="6"/>
        <v>OK</v>
      </c>
      <c r="AL60" t="str">
        <f t="shared" si="1"/>
        <v>OK</v>
      </c>
      <c r="AM60" t="str">
        <f t="shared" si="2"/>
        <v>OK</v>
      </c>
      <c r="AN60" s="1">
        <f>IF(AF60=0,0,AH60/AF60)</f>
        <v>0.14285714285714285</v>
      </c>
      <c r="AO60" s="1">
        <f t="shared" si="3"/>
        <v>1</v>
      </c>
      <c r="AP60" s="1">
        <f t="shared" si="4"/>
        <v>0.42857142857142855</v>
      </c>
      <c r="AQ60" s="1">
        <f t="shared" si="5"/>
        <v>1</v>
      </c>
    </row>
    <row r="61" spans="1:43"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OK</v>
      </c>
      <c r="AK61" t="str">
        <f t="shared" si="6"/>
        <v>OK</v>
      </c>
      <c r="AL61" t="str">
        <f t="shared" si="1"/>
        <v>OK</v>
      </c>
      <c r="AM61" t="str">
        <f t="shared" si="2"/>
        <v>OK</v>
      </c>
      <c r="AN61" s="1">
        <f>IF(AF61=0,0,AH61/AF61)</f>
        <v>0</v>
      </c>
      <c r="AO61" s="1">
        <f t="shared" si="3"/>
        <v>0.7142857142857143</v>
      </c>
      <c r="AP61" s="1">
        <f t="shared" si="4"/>
        <v>0.2857142857142857</v>
      </c>
      <c r="AQ61" s="1">
        <f t="shared" si="5"/>
        <v>1</v>
      </c>
    </row>
    <row r="62" spans="1:43"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OK</v>
      </c>
      <c r="AK62" t="str">
        <f t="shared" si="6"/>
        <v>OK</v>
      </c>
      <c r="AL62" t="str">
        <f t="shared" si="1"/>
        <v>OK</v>
      </c>
      <c r="AM62" t="str">
        <f t="shared" si="2"/>
        <v>OK</v>
      </c>
      <c r="AN62" s="1">
        <f>IF(AF62=0,0,AH62/AF62)</f>
        <v>0.77777777777777779</v>
      </c>
      <c r="AO62" s="1">
        <f t="shared" si="3"/>
        <v>0.88888888888888884</v>
      </c>
      <c r="AP62" s="1">
        <f t="shared" si="4"/>
        <v>0.33333333333333331</v>
      </c>
      <c r="AQ62" s="1">
        <f t="shared" si="5"/>
        <v>0.88888888888888884</v>
      </c>
    </row>
    <row r="63" spans="1:43"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OK</v>
      </c>
      <c r="AK63" t="str">
        <f t="shared" si="6"/>
        <v>OK</v>
      </c>
      <c r="AL63" t="str">
        <f t="shared" si="1"/>
        <v>OK</v>
      </c>
      <c r="AM63" t="str">
        <f t="shared" si="2"/>
        <v>OK</v>
      </c>
      <c r="AN63" s="1">
        <f>IF(AF63=0,0,AH63/AF63)</f>
        <v>0.9</v>
      </c>
      <c r="AO63" s="1">
        <f t="shared" si="3"/>
        <v>0.3</v>
      </c>
      <c r="AP63" s="1">
        <f t="shared" si="4"/>
        <v>0.2</v>
      </c>
      <c r="AQ63" s="1">
        <f t="shared" si="5"/>
        <v>0.9</v>
      </c>
    </row>
    <row r="64" spans="1:43"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OK</v>
      </c>
      <c r="AK64" t="str">
        <f t="shared" si="6"/>
        <v>OK</v>
      </c>
      <c r="AL64" t="str">
        <f t="shared" si="1"/>
        <v>OK</v>
      </c>
      <c r="AM64" t="str">
        <f t="shared" si="2"/>
        <v>OK</v>
      </c>
      <c r="AN64" s="1">
        <f>IF(AF64=0,0,AH64/AF64)</f>
        <v>0.48148148148148145</v>
      </c>
      <c r="AO64" s="1">
        <f t="shared" si="3"/>
        <v>0.1111111111111111</v>
      </c>
      <c r="AP64" s="1">
        <f t="shared" si="4"/>
        <v>7.407407407407407E-2</v>
      </c>
      <c r="AQ64" s="1">
        <f t="shared" si="5"/>
        <v>0.29629629629629628</v>
      </c>
    </row>
    <row r="65" spans="1:43"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OK</v>
      </c>
      <c r="AK65" t="str">
        <f t="shared" si="6"/>
        <v>OK</v>
      </c>
      <c r="AL65" t="str">
        <f t="shared" si="1"/>
        <v>OK</v>
      </c>
      <c r="AM65" t="str">
        <f t="shared" si="2"/>
        <v>OK</v>
      </c>
      <c r="AN65" s="1">
        <f>IF(AF65=0,0,AH65/AF65)</f>
        <v>0.33333333333333331</v>
      </c>
      <c r="AO65" s="1">
        <f t="shared" si="3"/>
        <v>0.76190476190476186</v>
      </c>
      <c r="AP65" s="1">
        <f t="shared" si="4"/>
        <v>0.14285714285714285</v>
      </c>
      <c r="AQ65" s="1">
        <f t="shared" si="5"/>
        <v>0.42857142857142855</v>
      </c>
    </row>
    <row r="66" spans="1:43"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si="0"/>
        <v>OK</v>
      </c>
      <c r="AK66" t="str">
        <f t="shared" si="6"/>
        <v>OK</v>
      </c>
      <c r="AL66" t="str">
        <f t="shared" si="1"/>
        <v>OK</v>
      </c>
      <c r="AM66" t="str">
        <f t="shared" si="2"/>
        <v>OK</v>
      </c>
      <c r="AN66" s="1">
        <f>IF(AF66=0,0,AH66/AF66)</f>
        <v>0.70588235294117652</v>
      </c>
      <c r="AO66" s="1">
        <f t="shared" si="3"/>
        <v>0.82352941176470584</v>
      </c>
      <c r="AP66" s="1">
        <f t="shared" si="4"/>
        <v>0.11764705882352941</v>
      </c>
      <c r="AQ66" s="1">
        <f t="shared" si="5"/>
        <v>0.47058823529411764</v>
      </c>
    </row>
    <row r="67" spans="1:43"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ref="AJ67:AJ130" si="7">IF(AF67&lt;=AC67, "OK", "ERROR")</f>
        <v>OK</v>
      </c>
      <c r="AK67" t="str">
        <f t="shared" si="6"/>
        <v>OK</v>
      </c>
      <c r="AL67" t="str">
        <f t="shared" ref="AL67:AL130" si="8">IF(AG67&lt;=AF67,"OK","ERROR")</f>
        <v>OK</v>
      </c>
      <c r="AM67" t="str">
        <f t="shared" ref="AM67:AM130" si="9">IF(AI67&lt;=AF67,"OK","ERROR")</f>
        <v>OK</v>
      </c>
      <c r="AN67" s="1">
        <f>IF(AF67=0,0,AH67/AF67)</f>
        <v>0</v>
      </c>
      <c r="AO67" s="1">
        <f t="shared" ref="AO67:AO130" si="10">IF(AF67=0,0,AG67/AF67)</f>
        <v>0</v>
      </c>
      <c r="AP67" s="1">
        <f t="shared" ref="AP67:AP130" si="11">IF(AF67=0,0,AD67/AF67)</f>
        <v>0.4</v>
      </c>
      <c r="AQ67" s="1">
        <f t="shared" ref="AQ67:AQ130" si="12">IF(AF67=0,0,AI67/AF67)</f>
        <v>0.4</v>
      </c>
    </row>
    <row r="68" spans="1:43"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7"/>
        <v>OK</v>
      </c>
      <c r="AK68" t="str">
        <f t="shared" ref="AK68:AK131" si="13">IF(AH68&lt;=AF68,"OK", "ERROR")</f>
        <v>OK</v>
      </c>
      <c r="AL68" t="str">
        <f t="shared" si="8"/>
        <v>OK</v>
      </c>
      <c r="AM68" t="str">
        <f t="shared" si="9"/>
        <v>OK</v>
      </c>
      <c r="AN68" s="1">
        <f>IF(AF68=0,0,AH68/AF68)</f>
        <v>0</v>
      </c>
      <c r="AO68" s="1">
        <f t="shared" si="10"/>
        <v>0.83333333333333337</v>
      </c>
      <c r="AP68" s="1">
        <f t="shared" si="11"/>
        <v>0.5</v>
      </c>
      <c r="AQ68" s="1">
        <f t="shared" si="12"/>
        <v>0.5</v>
      </c>
    </row>
    <row r="69" spans="1:43"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7"/>
        <v>OK</v>
      </c>
      <c r="AK69" t="str">
        <f t="shared" si="13"/>
        <v>OK</v>
      </c>
      <c r="AL69" t="str">
        <f t="shared" si="8"/>
        <v>OK</v>
      </c>
      <c r="AM69" t="str">
        <f t="shared" si="9"/>
        <v>OK</v>
      </c>
      <c r="AN69" s="1">
        <f>IF(AF69=0,0,AH69/AF69)</f>
        <v>0</v>
      </c>
      <c r="AO69" s="1">
        <f t="shared" si="10"/>
        <v>0</v>
      </c>
      <c r="AP69" s="1">
        <f t="shared" si="11"/>
        <v>2</v>
      </c>
      <c r="AQ69" s="1">
        <f t="shared" si="12"/>
        <v>0</v>
      </c>
    </row>
    <row r="70" spans="1:43"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7"/>
        <v>OK</v>
      </c>
      <c r="AK70" t="str">
        <f t="shared" si="13"/>
        <v>OK</v>
      </c>
      <c r="AL70" t="str">
        <f t="shared" si="8"/>
        <v>OK</v>
      </c>
      <c r="AM70" t="str">
        <f t="shared" si="9"/>
        <v>OK</v>
      </c>
      <c r="AN70" s="1">
        <f>IF(AF70=0,0,AH70/AF70)</f>
        <v>0.33333333333333331</v>
      </c>
      <c r="AO70" s="1">
        <f t="shared" si="10"/>
        <v>0.66666666666666663</v>
      </c>
      <c r="AP70" s="1">
        <f t="shared" si="11"/>
        <v>0.66666666666666663</v>
      </c>
      <c r="AQ70" s="1">
        <f t="shared" si="12"/>
        <v>0.66666666666666663</v>
      </c>
    </row>
    <row r="71" spans="1:43"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7"/>
        <v>OK</v>
      </c>
      <c r="AK71" t="str">
        <f t="shared" si="13"/>
        <v>OK</v>
      </c>
      <c r="AL71" t="str">
        <f t="shared" si="8"/>
        <v>OK</v>
      </c>
      <c r="AM71" t="str">
        <f t="shared" si="9"/>
        <v>OK</v>
      </c>
      <c r="AN71" s="1">
        <f>IF(AF71=0,0,AH71/AF71)</f>
        <v>0</v>
      </c>
      <c r="AO71" s="1">
        <f t="shared" si="10"/>
        <v>0</v>
      </c>
      <c r="AP71" s="1">
        <f t="shared" si="11"/>
        <v>0</v>
      </c>
      <c r="AQ71" s="1">
        <f t="shared" si="12"/>
        <v>0</v>
      </c>
    </row>
    <row r="72" spans="1:43"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7"/>
        <v>OK</v>
      </c>
      <c r="AK72" t="str">
        <f t="shared" si="13"/>
        <v>OK</v>
      </c>
      <c r="AL72" t="str">
        <f t="shared" si="8"/>
        <v>OK</v>
      </c>
      <c r="AM72" t="str">
        <f t="shared" si="9"/>
        <v>OK</v>
      </c>
      <c r="AN72" s="1">
        <f>IF(AF72=0,0,AH72/AF72)</f>
        <v>0.25</v>
      </c>
      <c r="AO72" s="1">
        <f t="shared" si="10"/>
        <v>0.75</v>
      </c>
      <c r="AP72" s="1">
        <f t="shared" si="11"/>
        <v>0.5</v>
      </c>
      <c r="AQ72" s="1">
        <f t="shared" si="12"/>
        <v>0.75</v>
      </c>
    </row>
    <row r="73" spans="1:43"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7"/>
        <v>OK</v>
      </c>
      <c r="AK73" t="str">
        <f t="shared" si="13"/>
        <v>OK</v>
      </c>
      <c r="AL73" t="str">
        <f t="shared" si="8"/>
        <v>OK</v>
      </c>
      <c r="AM73" t="str">
        <f t="shared" si="9"/>
        <v>OK</v>
      </c>
      <c r="AN73" s="1">
        <f>IF(AF73=0,0,AH73/AF73)</f>
        <v>0</v>
      </c>
      <c r="AO73" s="1">
        <f t="shared" si="10"/>
        <v>0.8</v>
      </c>
      <c r="AP73" s="1">
        <f t="shared" si="11"/>
        <v>0.6</v>
      </c>
      <c r="AQ73" s="1">
        <f t="shared" si="12"/>
        <v>0.8</v>
      </c>
    </row>
    <row r="74" spans="1:43"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7"/>
        <v>OK</v>
      </c>
      <c r="AK74" t="str">
        <f t="shared" si="13"/>
        <v>OK</v>
      </c>
      <c r="AL74" t="str">
        <f t="shared" si="8"/>
        <v>OK</v>
      </c>
      <c r="AM74" t="str">
        <f t="shared" si="9"/>
        <v>OK</v>
      </c>
      <c r="AN74" s="1">
        <f>IF(AF74=0,0,AH74/AF74)</f>
        <v>1</v>
      </c>
      <c r="AO74" s="1">
        <f t="shared" si="10"/>
        <v>1</v>
      </c>
      <c r="AP74" s="1">
        <f t="shared" si="11"/>
        <v>4</v>
      </c>
      <c r="AQ74" s="1">
        <f t="shared" si="12"/>
        <v>0</v>
      </c>
    </row>
    <row r="75" spans="1:43"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7"/>
        <v>OK</v>
      </c>
      <c r="AK75" t="str">
        <f t="shared" si="13"/>
        <v>OK</v>
      </c>
      <c r="AL75" t="str">
        <f t="shared" si="8"/>
        <v>OK</v>
      </c>
      <c r="AM75" t="str">
        <f t="shared" si="9"/>
        <v>OK</v>
      </c>
      <c r="AN75" s="1">
        <f>IF(AF75=0,0,AH75/AF75)</f>
        <v>0</v>
      </c>
      <c r="AO75" s="1">
        <f t="shared" si="10"/>
        <v>0.4</v>
      </c>
      <c r="AP75" s="1">
        <f t="shared" si="11"/>
        <v>0.3</v>
      </c>
      <c r="AQ75" s="1">
        <f t="shared" si="12"/>
        <v>0.9</v>
      </c>
    </row>
    <row r="76" spans="1:43"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7"/>
        <v>OK</v>
      </c>
      <c r="AK76" t="str">
        <f t="shared" si="13"/>
        <v>OK</v>
      </c>
      <c r="AL76" t="str">
        <f t="shared" si="8"/>
        <v>OK</v>
      </c>
      <c r="AM76" t="str">
        <f t="shared" si="9"/>
        <v>OK</v>
      </c>
      <c r="AN76" s="1">
        <f>IF(AF76=0,0,AH76/AF76)</f>
        <v>0</v>
      </c>
      <c r="AO76" s="1">
        <f t="shared" si="10"/>
        <v>0</v>
      </c>
      <c r="AP76" s="1">
        <f t="shared" si="11"/>
        <v>3</v>
      </c>
      <c r="AQ76" s="1">
        <f t="shared" si="12"/>
        <v>0</v>
      </c>
    </row>
    <row r="77" spans="1:43"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7"/>
        <v>OK</v>
      </c>
      <c r="AK77" t="str">
        <f t="shared" si="13"/>
        <v>OK</v>
      </c>
      <c r="AL77" t="str">
        <f t="shared" si="8"/>
        <v>OK</v>
      </c>
      <c r="AM77" t="str">
        <f t="shared" si="9"/>
        <v>OK</v>
      </c>
      <c r="AN77" s="1">
        <f>IF(AF77=0,0,AH77/AF77)</f>
        <v>9.0909090909090912E-2</v>
      </c>
      <c r="AO77" s="1">
        <f t="shared" si="10"/>
        <v>0.63636363636363635</v>
      </c>
      <c r="AP77" s="1">
        <f t="shared" si="11"/>
        <v>0.18181818181818182</v>
      </c>
      <c r="AQ77" s="1">
        <f t="shared" si="12"/>
        <v>0.72727272727272729</v>
      </c>
    </row>
    <row r="78" spans="1:43"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7"/>
        <v>OK</v>
      </c>
      <c r="AK78" t="str">
        <f t="shared" si="13"/>
        <v>OK</v>
      </c>
      <c r="AL78" t="str">
        <f t="shared" si="8"/>
        <v>OK</v>
      </c>
      <c r="AM78" t="str">
        <f t="shared" si="9"/>
        <v>OK</v>
      </c>
      <c r="AN78" s="1">
        <f>IF(AF78=0,0,AH78/AF78)</f>
        <v>0.13333333333333333</v>
      </c>
      <c r="AO78" s="1">
        <f t="shared" si="10"/>
        <v>0.8666666666666667</v>
      </c>
      <c r="AP78" s="1">
        <f t="shared" si="11"/>
        <v>0.13333333333333333</v>
      </c>
      <c r="AQ78" s="1">
        <f t="shared" si="12"/>
        <v>0.53333333333333333</v>
      </c>
    </row>
    <row r="79" spans="1:43"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7"/>
        <v>OK</v>
      </c>
      <c r="AK79" t="str">
        <f t="shared" si="13"/>
        <v>OK</v>
      </c>
      <c r="AL79" t="str">
        <f t="shared" si="8"/>
        <v>OK</v>
      </c>
      <c r="AM79" t="str">
        <f t="shared" si="9"/>
        <v>OK</v>
      </c>
      <c r="AN79" s="1">
        <f>IF(AF79=0,0,AH79/AF79)</f>
        <v>0</v>
      </c>
      <c r="AO79" s="1">
        <f t="shared" si="10"/>
        <v>0</v>
      </c>
      <c r="AP79" s="1">
        <f t="shared" si="11"/>
        <v>0</v>
      </c>
      <c r="AQ79" s="1">
        <f t="shared" si="12"/>
        <v>0</v>
      </c>
    </row>
    <row r="80" spans="1:43"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7"/>
        <v>OK</v>
      </c>
      <c r="AK80" t="str">
        <f t="shared" si="13"/>
        <v>OK</v>
      </c>
      <c r="AL80" t="str">
        <f t="shared" si="8"/>
        <v>OK</v>
      </c>
      <c r="AM80" t="str">
        <f t="shared" si="9"/>
        <v>OK</v>
      </c>
      <c r="AN80" s="1">
        <f>IF(AF80=0,0,AH80/AF80)</f>
        <v>0</v>
      </c>
      <c r="AO80" s="1">
        <f t="shared" si="10"/>
        <v>0.4</v>
      </c>
      <c r="AP80" s="1">
        <f t="shared" si="11"/>
        <v>0.6</v>
      </c>
      <c r="AQ80" s="1">
        <f t="shared" si="12"/>
        <v>0.4</v>
      </c>
    </row>
    <row r="81" spans="1:43"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7"/>
        <v>OK</v>
      </c>
      <c r="AK81" t="str">
        <f t="shared" si="13"/>
        <v>OK</v>
      </c>
      <c r="AL81" t="str">
        <f t="shared" si="8"/>
        <v>OK</v>
      </c>
      <c r="AM81" t="str">
        <f t="shared" si="9"/>
        <v>OK</v>
      </c>
      <c r="AN81" s="1">
        <f>IF(AF81=0,0,AH81/AF81)</f>
        <v>0</v>
      </c>
      <c r="AO81" s="1">
        <f t="shared" si="10"/>
        <v>0.5</v>
      </c>
      <c r="AP81" s="1">
        <f t="shared" si="11"/>
        <v>0.5</v>
      </c>
      <c r="AQ81" s="1">
        <f t="shared" si="12"/>
        <v>0.5</v>
      </c>
    </row>
    <row r="82" spans="1:43"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7"/>
        <v>OK</v>
      </c>
      <c r="AK82" t="str">
        <f t="shared" si="13"/>
        <v>OK</v>
      </c>
      <c r="AL82" t="str">
        <f t="shared" si="8"/>
        <v>OK</v>
      </c>
      <c r="AM82" t="str">
        <f t="shared" si="9"/>
        <v>OK</v>
      </c>
      <c r="AN82" s="1">
        <f>IF(AF82=0,0,AH82/AF82)</f>
        <v>0.3</v>
      </c>
      <c r="AO82" s="1">
        <f t="shared" si="10"/>
        <v>0.8</v>
      </c>
      <c r="AP82" s="1">
        <f t="shared" si="11"/>
        <v>0.1</v>
      </c>
      <c r="AQ82" s="1">
        <f t="shared" si="12"/>
        <v>0</v>
      </c>
    </row>
    <row r="83" spans="1:43"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7"/>
        <v>OK</v>
      </c>
      <c r="AK83" t="str">
        <f t="shared" si="13"/>
        <v>OK</v>
      </c>
      <c r="AL83" t="str">
        <f t="shared" si="8"/>
        <v>OK</v>
      </c>
      <c r="AM83" t="str">
        <f t="shared" si="9"/>
        <v>OK</v>
      </c>
      <c r="AN83" s="1">
        <f>IF(AF83=0,0,AH83/AF83)</f>
        <v>0</v>
      </c>
      <c r="AO83" s="1">
        <f t="shared" si="10"/>
        <v>0.66666666666666663</v>
      </c>
      <c r="AP83" s="1">
        <f t="shared" si="11"/>
        <v>0.5</v>
      </c>
      <c r="AQ83" s="1">
        <f t="shared" si="12"/>
        <v>0.66666666666666663</v>
      </c>
    </row>
    <row r="84" spans="1:43"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7"/>
        <v>OK</v>
      </c>
      <c r="AK84" t="str">
        <f t="shared" si="13"/>
        <v>OK</v>
      </c>
      <c r="AL84" t="str">
        <f t="shared" si="8"/>
        <v>OK</v>
      </c>
      <c r="AM84" t="str">
        <f t="shared" si="9"/>
        <v>OK</v>
      </c>
      <c r="AN84" s="1">
        <f>IF(AF84=0,0,AH84/AF84)</f>
        <v>1</v>
      </c>
      <c r="AO84" s="1">
        <f t="shared" si="10"/>
        <v>0</v>
      </c>
      <c r="AP84" s="1">
        <f t="shared" si="11"/>
        <v>4</v>
      </c>
      <c r="AQ84" s="1">
        <f t="shared" si="12"/>
        <v>0</v>
      </c>
    </row>
    <row r="85" spans="1:43"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7"/>
        <v>OK</v>
      </c>
      <c r="AK85" t="str">
        <f t="shared" si="13"/>
        <v>OK</v>
      </c>
      <c r="AL85" t="str">
        <f t="shared" si="8"/>
        <v>OK</v>
      </c>
      <c r="AM85" t="str">
        <f t="shared" si="9"/>
        <v>OK</v>
      </c>
      <c r="AN85" s="1">
        <f>IF(AF85=0,0,AH85/AF85)</f>
        <v>7.6923076923076927E-2</v>
      </c>
      <c r="AO85" s="1">
        <f t="shared" si="10"/>
        <v>0.84615384615384615</v>
      </c>
      <c r="AP85" s="1">
        <f t="shared" si="11"/>
        <v>0.23076923076923078</v>
      </c>
      <c r="AQ85" s="1">
        <f t="shared" si="12"/>
        <v>0.69230769230769229</v>
      </c>
    </row>
    <row r="86" spans="1:43"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7"/>
        <v>OK</v>
      </c>
      <c r="AK86" t="str">
        <f t="shared" si="13"/>
        <v>OK</v>
      </c>
      <c r="AL86" t="str">
        <f t="shared" si="8"/>
        <v>OK</v>
      </c>
      <c r="AM86" t="str">
        <f t="shared" si="9"/>
        <v>OK</v>
      </c>
      <c r="AN86" s="1">
        <f>IF(AF86=0,0,AH86/AF86)</f>
        <v>0.2</v>
      </c>
      <c r="AO86" s="1">
        <f t="shared" si="10"/>
        <v>0.4</v>
      </c>
      <c r="AP86" s="1">
        <f t="shared" si="11"/>
        <v>0.4</v>
      </c>
      <c r="AQ86" s="1">
        <f t="shared" si="12"/>
        <v>0.6</v>
      </c>
    </row>
    <row r="87" spans="1:43"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7"/>
        <v>OK</v>
      </c>
      <c r="AK87" t="str">
        <f t="shared" si="13"/>
        <v>OK</v>
      </c>
      <c r="AL87" t="str">
        <f t="shared" si="8"/>
        <v>OK</v>
      </c>
      <c r="AM87" t="str">
        <f t="shared" si="9"/>
        <v>OK</v>
      </c>
      <c r="AN87" s="1">
        <f>IF(AF87=0,0,AH87/AF87)</f>
        <v>0</v>
      </c>
      <c r="AO87" s="1">
        <f t="shared" si="10"/>
        <v>0.66666666666666663</v>
      </c>
      <c r="AP87" s="1">
        <f t="shared" si="11"/>
        <v>0.5</v>
      </c>
      <c r="AQ87" s="1">
        <f t="shared" si="12"/>
        <v>0.33333333333333331</v>
      </c>
    </row>
    <row r="88" spans="1:43"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7"/>
        <v>OK</v>
      </c>
      <c r="AK88" t="str">
        <f t="shared" si="13"/>
        <v>OK</v>
      </c>
      <c r="AL88" t="str">
        <f t="shared" si="8"/>
        <v>OK</v>
      </c>
      <c r="AM88" t="str">
        <f t="shared" si="9"/>
        <v>OK</v>
      </c>
      <c r="AN88" s="1">
        <f>IF(AF88=0,0,AH88/AF88)</f>
        <v>0</v>
      </c>
      <c r="AO88" s="1">
        <f t="shared" si="10"/>
        <v>0</v>
      </c>
      <c r="AP88" s="1">
        <f t="shared" si="11"/>
        <v>0</v>
      </c>
      <c r="AQ88" s="1">
        <f t="shared" si="12"/>
        <v>0</v>
      </c>
    </row>
    <row r="89" spans="1:43"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7"/>
        <v>OK</v>
      </c>
      <c r="AK89" t="str">
        <f t="shared" si="13"/>
        <v>OK</v>
      </c>
      <c r="AL89" t="str">
        <f t="shared" si="8"/>
        <v>OK</v>
      </c>
      <c r="AM89" t="str">
        <f t="shared" si="9"/>
        <v>OK</v>
      </c>
      <c r="AN89" s="1">
        <f>IF(AF89=0,0,AH89/AF89)</f>
        <v>0</v>
      </c>
      <c r="AO89" s="1">
        <f t="shared" si="10"/>
        <v>0.5</v>
      </c>
      <c r="AP89" s="1">
        <f t="shared" si="11"/>
        <v>1</v>
      </c>
      <c r="AQ89" s="1">
        <f t="shared" si="12"/>
        <v>0.75</v>
      </c>
    </row>
    <row r="90" spans="1:43"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7"/>
        <v>OK</v>
      </c>
      <c r="AK90" t="str">
        <f t="shared" si="13"/>
        <v>OK</v>
      </c>
      <c r="AL90" t="str">
        <f t="shared" si="8"/>
        <v>OK</v>
      </c>
      <c r="AM90" t="str">
        <f t="shared" si="9"/>
        <v>OK</v>
      </c>
      <c r="AN90" s="1">
        <f>IF(AF90=0,0,AH90/AF90)</f>
        <v>0.90909090909090906</v>
      </c>
      <c r="AO90" s="1">
        <f t="shared" si="10"/>
        <v>0.90909090909090906</v>
      </c>
      <c r="AP90" s="1">
        <f t="shared" si="11"/>
        <v>0.27272727272727271</v>
      </c>
      <c r="AQ90" s="1">
        <f t="shared" si="12"/>
        <v>0.72727272727272729</v>
      </c>
    </row>
    <row r="91" spans="1:43"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7"/>
        <v>OK</v>
      </c>
      <c r="AK91" t="str">
        <f t="shared" si="13"/>
        <v>OK</v>
      </c>
      <c r="AL91" t="str">
        <f t="shared" si="8"/>
        <v>OK</v>
      </c>
      <c r="AM91" t="str">
        <f t="shared" si="9"/>
        <v>OK</v>
      </c>
      <c r="AN91" s="1">
        <f>IF(AF91=0,0,AH91/AF91)</f>
        <v>0.44444444444444442</v>
      </c>
      <c r="AO91" s="1">
        <f t="shared" si="10"/>
        <v>0.88888888888888884</v>
      </c>
      <c r="AP91" s="1">
        <f t="shared" si="11"/>
        <v>0.33333333333333331</v>
      </c>
      <c r="AQ91" s="1">
        <f t="shared" si="12"/>
        <v>0.77777777777777779</v>
      </c>
    </row>
    <row r="92" spans="1:43"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7"/>
        <v>OK</v>
      </c>
      <c r="AK92" t="str">
        <f t="shared" si="13"/>
        <v>OK</v>
      </c>
      <c r="AL92" t="str">
        <f t="shared" si="8"/>
        <v>OK</v>
      </c>
      <c r="AM92" t="str">
        <f t="shared" si="9"/>
        <v>OK</v>
      </c>
      <c r="AN92" s="1">
        <f>IF(AF92=0,0,AH92/AF92)</f>
        <v>0.5</v>
      </c>
      <c r="AO92" s="1">
        <f t="shared" si="10"/>
        <v>0.13636363636363635</v>
      </c>
      <c r="AP92" s="1">
        <f t="shared" si="11"/>
        <v>0.13636363636363635</v>
      </c>
      <c r="AQ92" s="1">
        <f t="shared" si="12"/>
        <v>0.5</v>
      </c>
    </row>
    <row r="93" spans="1:43"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7"/>
        <v>OK</v>
      </c>
      <c r="AK93" t="str">
        <f t="shared" si="13"/>
        <v>OK</v>
      </c>
      <c r="AL93" t="str">
        <f t="shared" si="8"/>
        <v>OK</v>
      </c>
      <c r="AM93" t="str">
        <f t="shared" si="9"/>
        <v>OK</v>
      </c>
      <c r="AN93" s="1">
        <f>IF(AF93=0,0,AH93/AF93)</f>
        <v>0.1</v>
      </c>
      <c r="AO93" s="1">
        <f t="shared" si="10"/>
        <v>0.7</v>
      </c>
      <c r="AP93" s="1">
        <f t="shared" si="11"/>
        <v>0.2</v>
      </c>
      <c r="AQ93" s="1">
        <f t="shared" si="12"/>
        <v>0</v>
      </c>
    </row>
    <row r="94" spans="1:43"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7"/>
        <v>OK</v>
      </c>
      <c r="AK94" t="str">
        <f t="shared" si="13"/>
        <v>OK</v>
      </c>
      <c r="AL94" t="str">
        <f t="shared" si="8"/>
        <v>OK</v>
      </c>
      <c r="AM94" t="str">
        <f t="shared" si="9"/>
        <v>OK</v>
      </c>
      <c r="AN94" s="1">
        <f>IF(AF94=0,0,AH94/AF94)</f>
        <v>0.18181818181818182</v>
      </c>
      <c r="AO94" s="1">
        <f t="shared" si="10"/>
        <v>0.72727272727272729</v>
      </c>
      <c r="AP94" s="1">
        <f t="shared" si="11"/>
        <v>0.36363636363636365</v>
      </c>
      <c r="AQ94" s="1">
        <f t="shared" si="12"/>
        <v>0.63636363636363635</v>
      </c>
    </row>
    <row r="95" spans="1:43"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7"/>
        <v>OK</v>
      </c>
      <c r="AK95" t="str">
        <f t="shared" si="13"/>
        <v>OK</v>
      </c>
      <c r="AL95" t="str">
        <f t="shared" si="8"/>
        <v>OK</v>
      </c>
      <c r="AM95" t="str">
        <f t="shared" si="9"/>
        <v>OK</v>
      </c>
      <c r="AN95" s="1">
        <f>IF(AF95=0,0,AH95/AF95)</f>
        <v>0.9</v>
      </c>
      <c r="AO95" s="1">
        <f t="shared" si="10"/>
        <v>0.9</v>
      </c>
      <c r="AP95" s="1">
        <f t="shared" si="11"/>
        <v>0.5</v>
      </c>
      <c r="AQ95" s="1">
        <f t="shared" si="12"/>
        <v>0.5</v>
      </c>
    </row>
    <row r="96" spans="1:43"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7"/>
        <v>OK</v>
      </c>
      <c r="AK96" t="str">
        <f t="shared" si="13"/>
        <v>OK</v>
      </c>
      <c r="AL96" t="str">
        <f t="shared" si="8"/>
        <v>OK</v>
      </c>
      <c r="AM96" t="str">
        <f t="shared" si="9"/>
        <v>OK</v>
      </c>
      <c r="AN96" s="1">
        <f>IF(AF96=0,0,AH96/AF96)</f>
        <v>0.45454545454545453</v>
      </c>
      <c r="AO96" s="1">
        <f t="shared" si="10"/>
        <v>0.72727272727272729</v>
      </c>
      <c r="AP96" s="1">
        <f t="shared" si="11"/>
        <v>0</v>
      </c>
      <c r="AQ96" s="1">
        <f t="shared" si="12"/>
        <v>0.63636363636363635</v>
      </c>
    </row>
    <row r="97" spans="1:43"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7"/>
        <v>OK</v>
      </c>
      <c r="AK97" t="str">
        <f t="shared" si="13"/>
        <v>OK</v>
      </c>
      <c r="AL97" t="str">
        <f t="shared" si="8"/>
        <v>OK</v>
      </c>
      <c r="AM97" t="str">
        <f t="shared" si="9"/>
        <v>OK</v>
      </c>
      <c r="AN97" s="1">
        <f>IF(AF97=0,0,AH97/AF97)</f>
        <v>0</v>
      </c>
      <c r="AO97" s="1">
        <f t="shared" si="10"/>
        <v>0.75</v>
      </c>
      <c r="AP97" s="1">
        <f t="shared" si="11"/>
        <v>1.25</v>
      </c>
      <c r="AQ97" s="1">
        <f t="shared" si="12"/>
        <v>0.75</v>
      </c>
    </row>
    <row r="98" spans="1:43"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7"/>
        <v>OK</v>
      </c>
      <c r="AK98" t="str">
        <f t="shared" si="13"/>
        <v>OK</v>
      </c>
      <c r="AL98" t="str">
        <f t="shared" si="8"/>
        <v>OK</v>
      </c>
      <c r="AM98" t="str">
        <f t="shared" si="9"/>
        <v>OK</v>
      </c>
      <c r="AN98" s="1">
        <f>IF(AF98=0,0,AH98/AF98)</f>
        <v>0</v>
      </c>
      <c r="AO98" s="1">
        <f t="shared" si="10"/>
        <v>0.66666666666666663</v>
      </c>
      <c r="AP98" s="1">
        <f t="shared" si="11"/>
        <v>0.66666666666666663</v>
      </c>
      <c r="AQ98" s="1">
        <f t="shared" si="12"/>
        <v>0.66666666666666663</v>
      </c>
    </row>
    <row r="99" spans="1:43"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7"/>
        <v>OK</v>
      </c>
      <c r="AK99" t="str">
        <f t="shared" si="13"/>
        <v>OK</v>
      </c>
      <c r="AL99" t="str">
        <f t="shared" si="8"/>
        <v>OK</v>
      </c>
      <c r="AM99" t="str">
        <f t="shared" si="9"/>
        <v>OK</v>
      </c>
      <c r="AN99" s="1">
        <f>IF(AF99=0,0,AH99/AF99)</f>
        <v>0</v>
      </c>
      <c r="AO99" s="1">
        <f t="shared" si="10"/>
        <v>0.8</v>
      </c>
      <c r="AP99" s="1">
        <f t="shared" si="11"/>
        <v>0.6</v>
      </c>
      <c r="AQ99" s="1">
        <f t="shared" si="12"/>
        <v>0.8</v>
      </c>
    </row>
    <row r="100" spans="1:43"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7"/>
        <v>OK</v>
      </c>
      <c r="AK100" t="str">
        <f t="shared" si="13"/>
        <v>OK</v>
      </c>
      <c r="AL100" t="str">
        <f t="shared" si="8"/>
        <v>OK</v>
      </c>
      <c r="AM100" t="str">
        <f t="shared" si="9"/>
        <v>OK</v>
      </c>
      <c r="AN100" s="1">
        <f>IF(AF100=0,0,AH100/AF100)</f>
        <v>2.7027027027027029E-2</v>
      </c>
      <c r="AO100" s="1">
        <f t="shared" si="10"/>
        <v>0.27027027027027029</v>
      </c>
      <c r="AP100" s="1">
        <f t="shared" si="11"/>
        <v>2.7027027027027029E-2</v>
      </c>
      <c r="AQ100" s="1">
        <f t="shared" si="12"/>
        <v>0.21621621621621623</v>
      </c>
    </row>
    <row r="101" spans="1:43"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7"/>
        <v>OK</v>
      </c>
      <c r="AK101" t="str">
        <f t="shared" si="13"/>
        <v>OK</v>
      </c>
      <c r="AL101" t="str">
        <f t="shared" si="8"/>
        <v>OK</v>
      </c>
      <c r="AM101" t="str">
        <f t="shared" si="9"/>
        <v>OK</v>
      </c>
      <c r="AN101" s="1">
        <f>IF(AF101=0,0,AH101/AF101)</f>
        <v>0.33333333333333331</v>
      </c>
      <c r="AO101" s="1">
        <f t="shared" si="10"/>
        <v>0.66666666666666663</v>
      </c>
      <c r="AP101" s="1">
        <f t="shared" si="11"/>
        <v>1</v>
      </c>
      <c r="AQ101" s="1">
        <f t="shared" si="12"/>
        <v>0.66666666666666663</v>
      </c>
    </row>
    <row r="102" spans="1:43"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7"/>
        <v>OK</v>
      </c>
      <c r="AK102" t="str">
        <f t="shared" si="13"/>
        <v>OK</v>
      </c>
      <c r="AL102" t="str">
        <f t="shared" si="8"/>
        <v>OK</v>
      </c>
      <c r="AM102" t="str">
        <f t="shared" si="9"/>
        <v>OK</v>
      </c>
      <c r="AN102" s="1">
        <f>IF(AF102=0,0,AH102/AF102)</f>
        <v>0</v>
      </c>
      <c r="AO102" s="1">
        <f t="shared" si="10"/>
        <v>0.66666666666666663</v>
      </c>
      <c r="AP102" s="1">
        <f t="shared" si="11"/>
        <v>1</v>
      </c>
      <c r="AQ102" s="1">
        <f t="shared" si="12"/>
        <v>0.66666666666666663</v>
      </c>
    </row>
    <row r="103" spans="1:43"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7"/>
        <v>OK</v>
      </c>
      <c r="AK103" t="str">
        <f t="shared" si="13"/>
        <v>OK</v>
      </c>
      <c r="AL103" t="str">
        <f t="shared" si="8"/>
        <v>OK</v>
      </c>
      <c r="AM103" t="str">
        <f t="shared" si="9"/>
        <v>OK</v>
      </c>
      <c r="AN103" s="1">
        <f>IF(AF103=0,0,AH103/AF103)</f>
        <v>0</v>
      </c>
      <c r="AO103" s="1">
        <f t="shared" si="10"/>
        <v>0</v>
      </c>
      <c r="AP103" s="1">
        <f t="shared" si="11"/>
        <v>2</v>
      </c>
      <c r="AQ103" s="1">
        <f t="shared" si="12"/>
        <v>0</v>
      </c>
    </row>
    <row r="104" spans="1:43"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7"/>
        <v>OK</v>
      </c>
      <c r="AK104" t="str">
        <f t="shared" si="13"/>
        <v>OK</v>
      </c>
      <c r="AL104" t="str">
        <f t="shared" si="8"/>
        <v>OK</v>
      </c>
      <c r="AM104" t="str">
        <f t="shared" si="9"/>
        <v>OK</v>
      </c>
      <c r="AN104" s="1">
        <f>IF(AF104=0,0,AH104/AF104)</f>
        <v>1</v>
      </c>
      <c r="AO104" s="1">
        <f t="shared" si="10"/>
        <v>0</v>
      </c>
      <c r="AP104" s="1">
        <f t="shared" si="11"/>
        <v>5</v>
      </c>
      <c r="AQ104" s="1">
        <f t="shared" si="12"/>
        <v>0</v>
      </c>
    </row>
    <row r="105" spans="1:43"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7"/>
        <v>OK</v>
      </c>
      <c r="AK105" t="str">
        <f t="shared" si="13"/>
        <v>OK</v>
      </c>
      <c r="AL105" t="str">
        <f t="shared" si="8"/>
        <v>OK</v>
      </c>
      <c r="AM105" t="str">
        <f t="shared" si="9"/>
        <v>OK</v>
      </c>
      <c r="AN105" s="1">
        <f>IF(AF105=0,0,AH105/AF105)</f>
        <v>0.125</v>
      </c>
      <c r="AO105" s="1">
        <f t="shared" si="10"/>
        <v>0.8125</v>
      </c>
      <c r="AP105" s="1">
        <f t="shared" si="11"/>
        <v>0.1875</v>
      </c>
      <c r="AQ105" s="1">
        <f t="shared" si="12"/>
        <v>0.625</v>
      </c>
    </row>
    <row r="106" spans="1:43"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7"/>
        <v>OK</v>
      </c>
      <c r="AK106" t="str">
        <f t="shared" si="13"/>
        <v>OK</v>
      </c>
      <c r="AL106" t="str">
        <f t="shared" si="8"/>
        <v>OK</v>
      </c>
      <c r="AM106" t="str">
        <f t="shared" si="9"/>
        <v>OK</v>
      </c>
      <c r="AN106" s="1">
        <f>IF(AF106=0,0,AH106/AF106)</f>
        <v>0</v>
      </c>
      <c r="AO106" s="1">
        <f t="shared" si="10"/>
        <v>0</v>
      </c>
      <c r="AP106" s="1">
        <f t="shared" si="11"/>
        <v>2</v>
      </c>
      <c r="AQ106" s="1">
        <f t="shared" si="12"/>
        <v>0</v>
      </c>
    </row>
    <row r="107" spans="1:43"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7"/>
        <v>OK</v>
      </c>
      <c r="AK107" t="str">
        <f t="shared" si="13"/>
        <v>OK</v>
      </c>
      <c r="AL107" t="str">
        <f t="shared" si="8"/>
        <v>OK</v>
      </c>
      <c r="AM107" t="str">
        <f t="shared" si="9"/>
        <v>OK</v>
      </c>
      <c r="AN107" s="1">
        <f>IF(AF107=0,0,AH107/AF107)</f>
        <v>0.66666666666666663</v>
      </c>
      <c r="AO107" s="1">
        <f t="shared" si="10"/>
        <v>0.66666666666666663</v>
      </c>
      <c r="AP107" s="1">
        <f t="shared" si="11"/>
        <v>1</v>
      </c>
      <c r="AQ107" s="1">
        <f t="shared" si="12"/>
        <v>0.66666666666666663</v>
      </c>
    </row>
    <row r="108" spans="1:43"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7"/>
        <v>OK</v>
      </c>
      <c r="AK108" t="str">
        <f t="shared" si="13"/>
        <v>OK</v>
      </c>
      <c r="AL108" t="str">
        <f t="shared" si="8"/>
        <v>OK</v>
      </c>
      <c r="AM108" t="str">
        <f t="shared" si="9"/>
        <v>OK</v>
      </c>
      <c r="AN108" s="1">
        <f>IF(AF108=0,0,AH108/AF108)</f>
        <v>0</v>
      </c>
      <c r="AO108" s="1">
        <f t="shared" si="10"/>
        <v>0.375</v>
      </c>
      <c r="AP108" s="1">
        <f t="shared" si="11"/>
        <v>0.125</v>
      </c>
      <c r="AQ108" s="1">
        <f t="shared" si="12"/>
        <v>0.875</v>
      </c>
    </row>
    <row r="109" spans="1:43"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7"/>
        <v>OK</v>
      </c>
      <c r="AK109" t="str">
        <f t="shared" si="13"/>
        <v>OK</v>
      </c>
      <c r="AL109" t="str">
        <f t="shared" si="8"/>
        <v>OK</v>
      </c>
      <c r="AM109" t="str">
        <f t="shared" si="9"/>
        <v>OK</v>
      </c>
      <c r="AN109" s="1">
        <f>IF(AF109=0,0,AH109/AF109)</f>
        <v>0</v>
      </c>
      <c r="AO109" s="1">
        <f t="shared" si="10"/>
        <v>0.66666666666666663</v>
      </c>
      <c r="AP109" s="1">
        <f t="shared" si="11"/>
        <v>0.16666666666666666</v>
      </c>
      <c r="AQ109" s="1">
        <f t="shared" si="12"/>
        <v>0.5</v>
      </c>
    </row>
    <row r="110" spans="1:43"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7"/>
        <v>OK</v>
      </c>
      <c r="AK110" t="str">
        <f t="shared" si="13"/>
        <v>OK</v>
      </c>
      <c r="AL110" t="str">
        <f t="shared" si="8"/>
        <v>OK</v>
      </c>
      <c r="AM110" t="str">
        <f t="shared" si="9"/>
        <v>OK</v>
      </c>
      <c r="AN110" s="1">
        <f>IF(AF110=0,0,AH110/AF110)</f>
        <v>1</v>
      </c>
      <c r="AO110" s="1">
        <f t="shared" si="10"/>
        <v>1</v>
      </c>
      <c r="AP110" s="1">
        <f t="shared" si="11"/>
        <v>1</v>
      </c>
      <c r="AQ110" s="1">
        <f t="shared" si="12"/>
        <v>0.5</v>
      </c>
    </row>
    <row r="111" spans="1:43"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7"/>
        <v>OK</v>
      </c>
      <c r="AK111" t="str">
        <f t="shared" si="13"/>
        <v>OK</v>
      </c>
      <c r="AL111" t="str">
        <f t="shared" si="8"/>
        <v>OK</v>
      </c>
      <c r="AM111" t="str">
        <f t="shared" si="9"/>
        <v>OK</v>
      </c>
      <c r="AN111" s="1">
        <f>IF(AF111=0,0,AH111/AF111)</f>
        <v>0</v>
      </c>
      <c r="AO111" s="1">
        <f t="shared" si="10"/>
        <v>0</v>
      </c>
      <c r="AP111" s="1">
        <f t="shared" si="11"/>
        <v>0</v>
      </c>
      <c r="AQ111" s="1">
        <f t="shared" si="12"/>
        <v>0</v>
      </c>
    </row>
    <row r="112" spans="1:43"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7"/>
        <v>OK</v>
      </c>
      <c r="AK112" t="str">
        <f t="shared" si="13"/>
        <v>OK</v>
      </c>
      <c r="AL112" t="str">
        <f t="shared" si="8"/>
        <v>OK</v>
      </c>
      <c r="AM112" t="str">
        <f t="shared" si="9"/>
        <v>OK</v>
      </c>
      <c r="AN112" s="1">
        <f>IF(AF112=0,0,AH112/AF112)</f>
        <v>0.92307692307692313</v>
      </c>
      <c r="AO112" s="1">
        <f t="shared" si="10"/>
        <v>0.92307692307692313</v>
      </c>
      <c r="AP112" s="1">
        <f t="shared" si="11"/>
        <v>7.6923076923076927E-2</v>
      </c>
      <c r="AQ112" s="1">
        <f t="shared" si="12"/>
        <v>0.61538461538461542</v>
      </c>
    </row>
    <row r="113" spans="1:43"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7"/>
        <v>OK</v>
      </c>
      <c r="AK113" t="str">
        <f t="shared" si="13"/>
        <v>OK</v>
      </c>
      <c r="AL113" t="str">
        <f t="shared" si="8"/>
        <v>OK</v>
      </c>
      <c r="AM113" t="str">
        <f t="shared" si="9"/>
        <v>OK</v>
      </c>
      <c r="AN113" s="1">
        <f>IF(AF113=0,0,AH113/AF113)</f>
        <v>0</v>
      </c>
      <c r="AO113" s="1">
        <f t="shared" si="10"/>
        <v>0.77777777777777779</v>
      </c>
      <c r="AP113" s="1">
        <f t="shared" si="11"/>
        <v>0.33333333333333331</v>
      </c>
      <c r="AQ113" s="1">
        <f t="shared" si="12"/>
        <v>0.66666666666666663</v>
      </c>
    </row>
    <row r="114" spans="1:43"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7"/>
        <v>OK</v>
      </c>
      <c r="AK114" t="str">
        <f t="shared" si="13"/>
        <v>OK</v>
      </c>
      <c r="AL114" t="str">
        <f t="shared" si="8"/>
        <v>OK</v>
      </c>
      <c r="AM114" t="str">
        <f t="shared" si="9"/>
        <v>OK</v>
      </c>
      <c r="AN114" s="1">
        <f>IF(AF114=0,0,AH114/AF114)</f>
        <v>0.8</v>
      </c>
      <c r="AO114" s="1">
        <f t="shared" si="10"/>
        <v>0.6</v>
      </c>
      <c r="AP114" s="1">
        <f t="shared" si="11"/>
        <v>0.6</v>
      </c>
      <c r="AQ114" s="1">
        <f t="shared" si="12"/>
        <v>0.8</v>
      </c>
    </row>
    <row r="115" spans="1:43"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7"/>
        <v>OK</v>
      </c>
      <c r="AK115" t="str">
        <f t="shared" si="13"/>
        <v>OK</v>
      </c>
      <c r="AL115" t="str">
        <f t="shared" si="8"/>
        <v>OK</v>
      </c>
      <c r="AM115" t="str">
        <f t="shared" si="9"/>
        <v>OK</v>
      </c>
      <c r="AN115" s="1">
        <f>IF(AF115=0,0,AH115/AF115)</f>
        <v>0.2</v>
      </c>
      <c r="AO115" s="1">
        <f t="shared" si="10"/>
        <v>0.6</v>
      </c>
      <c r="AP115" s="1">
        <f t="shared" si="11"/>
        <v>0.4</v>
      </c>
      <c r="AQ115" s="1">
        <f t="shared" si="12"/>
        <v>0.4</v>
      </c>
    </row>
    <row r="116" spans="1:43"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7"/>
        <v>OK</v>
      </c>
      <c r="AK116" t="str">
        <f t="shared" si="13"/>
        <v>OK</v>
      </c>
      <c r="AL116" t="str">
        <f t="shared" si="8"/>
        <v>OK</v>
      </c>
      <c r="AM116" t="str">
        <f t="shared" si="9"/>
        <v>OK</v>
      </c>
      <c r="AN116" s="1">
        <f>IF(AF116=0,0,AH116/AF116)</f>
        <v>0</v>
      </c>
      <c r="AO116" s="1">
        <f t="shared" si="10"/>
        <v>0</v>
      </c>
      <c r="AP116" s="1">
        <f t="shared" si="11"/>
        <v>3</v>
      </c>
      <c r="AQ116" s="1">
        <f t="shared" si="12"/>
        <v>0</v>
      </c>
    </row>
    <row r="117" spans="1:43"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7"/>
        <v>OK</v>
      </c>
      <c r="AK117" t="str">
        <f t="shared" si="13"/>
        <v>OK</v>
      </c>
      <c r="AL117" t="str">
        <f t="shared" si="8"/>
        <v>OK</v>
      </c>
      <c r="AM117" t="str">
        <f t="shared" si="9"/>
        <v>OK</v>
      </c>
      <c r="AN117" s="1">
        <f>IF(AF117=0,0,AH117/AF117)</f>
        <v>0.2</v>
      </c>
      <c r="AO117" s="1">
        <f t="shared" si="10"/>
        <v>0.6</v>
      </c>
      <c r="AP117" s="1">
        <f t="shared" si="11"/>
        <v>0.6</v>
      </c>
      <c r="AQ117" s="1">
        <f t="shared" si="12"/>
        <v>0.6</v>
      </c>
    </row>
    <row r="118" spans="1:43"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7"/>
        <v>OK</v>
      </c>
      <c r="AK118" t="str">
        <f t="shared" si="13"/>
        <v>OK</v>
      </c>
      <c r="AL118" t="str">
        <f t="shared" si="8"/>
        <v>OK</v>
      </c>
      <c r="AM118" t="str">
        <f t="shared" si="9"/>
        <v>OK</v>
      </c>
      <c r="AN118" s="1">
        <f>IF(AF118=0,0,AH118/AF118)</f>
        <v>0.45454545454545453</v>
      </c>
      <c r="AO118" s="1">
        <f t="shared" si="10"/>
        <v>0.90909090909090906</v>
      </c>
      <c r="AP118" s="1">
        <f t="shared" si="11"/>
        <v>0.54545454545454541</v>
      </c>
      <c r="AQ118" s="1">
        <f t="shared" si="12"/>
        <v>0.72727272727272729</v>
      </c>
    </row>
    <row r="119" spans="1:43"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7"/>
        <v>OK</v>
      </c>
      <c r="AK119" t="str">
        <f t="shared" si="13"/>
        <v>OK</v>
      </c>
      <c r="AL119" t="str">
        <f t="shared" si="8"/>
        <v>OK</v>
      </c>
      <c r="AM119" t="str">
        <f t="shared" si="9"/>
        <v>OK</v>
      </c>
      <c r="AN119" s="1">
        <f>IF(AF119=0,0,AH119/AF119)</f>
        <v>0.22222222222222221</v>
      </c>
      <c r="AO119" s="1">
        <f t="shared" si="10"/>
        <v>0.77777777777777779</v>
      </c>
      <c r="AP119" s="1">
        <f t="shared" si="11"/>
        <v>0.66666666666666663</v>
      </c>
      <c r="AQ119" s="1">
        <f t="shared" si="12"/>
        <v>0.88888888888888884</v>
      </c>
    </row>
    <row r="120" spans="1:43"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7"/>
        <v>OK</v>
      </c>
      <c r="AK120" t="str">
        <f t="shared" si="13"/>
        <v>OK</v>
      </c>
      <c r="AL120" t="str">
        <f t="shared" si="8"/>
        <v>OK</v>
      </c>
      <c r="AM120" t="str">
        <f t="shared" si="9"/>
        <v>OK</v>
      </c>
      <c r="AN120" s="1">
        <f>IF(AF120=0,0,AH120/AF120)</f>
        <v>0</v>
      </c>
      <c r="AO120" s="1">
        <f t="shared" si="10"/>
        <v>0</v>
      </c>
      <c r="AP120" s="1">
        <f t="shared" si="11"/>
        <v>2</v>
      </c>
      <c r="AQ120" s="1">
        <f t="shared" si="12"/>
        <v>0</v>
      </c>
    </row>
    <row r="121" spans="1:43"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7"/>
        <v>OK</v>
      </c>
      <c r="AK121" t="str">
        <f t="shared" si="13"/>
        <v>OK</v>
      </c>
      <c r="AL121" t="str">
        <f t="shared" si="8"/>
        <v>OK</v>
      </c>
      <c r="AM121" t="str">
        <f t="shared" si="9"/>
        <v>OK</v>
      </c>
      <c r="AN121" s="1">
        <f>IF(AF121=0,0,AH121/AF121)</f>
        <v>0.16</v>
      </c>
      <c r="AO121" s="1">
        <f t="shared" si="10"/>
        <v>0.48</v>
      </c>
      <c r="AP121" s="1">
        <f t="shared" si="11"/>
        <v>0.12</v>
      </c>
      <c r="AQ121" s="1">
        <f t="shared" si="12"/>
        <v>0.48</v>
      </c>
    </row>
    <row r="122" spans="1:43"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7"/>
        <v>OK</v>
      </c>
      <c r="AK122" t="str">
        <f t="shared" si="13"/>
        <v>OK</v>
      </c>
      <c r="AL122" t="str">
        <f t="shared" si="8"/>
        <v>OK</v>
      </c>
      <c r="AM122" t="str">
        <f t="shared" si="9"/>
        <v>OK</v>
      </c>
      <c r="AN122" s="1">
        <f>IF(AF122=0,0,AH122/AF122)</f>
        <v>0</v>
      </c>
      <c r="AO122" s="1">
        <f t="shared" si="10"/>
        <v>0.7</v>
      </c>
      <c r="AP122" s="1">
        <f t="shared" si="11"/>
        <v>0.2</v>
      </c>
      <c r="AQ122" s="1">
        <f t="shared" si="12"/>
        <v>0.9</v>
      </c>
    </row>
    <row r="123" spans="1:43"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7"/>
        <v>OK</v>
      </c>
      <c r="AK123" t="str">
        <f t="shared" si="13"/>
        <v>OK</v>
      </c>
      <c r="AL123" t="str">
        <f t="shared" si="8"/>
        <v>OK</v>
      </c>
      <c r="AM123" t="str">
        <f t="shared" si="9"/>
        <v>OK</v>
      </c>
      <c r="AN123" s="1">
        <f>IF(AF123=0,0,AH123/AF123)</f>
        <v>0</v>
      </c>
      <c r="AO123" s="1">
        <f t="shared" si="10"/>
        <v>1</v>
      </c>
      <c r="AP123" s="1">
        <f t="shared" si="11"/>
        <v>0.2857142857142857</v>
      </c>
      <c r="AQ123" s="1">
        <f t="shared" si="12"/>
        <v>1</v>
      </c>
    </row>
    <row r="124" spans="1:43"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7"/>
        <v>OK</v>
      </c>
      <c r="AK124" t="str">
        <f t="shared" si="13"/>
        <v>OK</v>
      </c>
      <c r="AL124" t="str">
        <f t="shared" si="8"/>
        <v>OK</v>
      </c>
      <c r="AM124" t="str">
        <f t="shared" si="9"/>
        <v>OK</v>
      </c>
      <c r="AN124" s="1">
        <f>IF(AF124=0,0,AH124/AF124)</f>
        <v>0.8</v>
      </c>
      <c r="AO124" s="1">
        <f t="shared" si="10"/>
        <v>0.8</v>
      </c>
      <c r="AP124" s="1">
        <f t="shared" si="11"/>
        <v>0.4</v>
      </c>
      <c r="AQ124" s="1">
        <f t="shared" si="12"/>
        <v>0.6</v>
      </c>
    </row>
    <row r="125" spans="1:43"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7"/>
        <v>OK</v>
      </c>
      <c r="AK125" t="str">
        <f t="shared" si="13"/>
        <v>OK</v>
      </c>
      <c r="AL125" t="str">
        <f t="shared" si="8"/>
        <v>OK</v>
      </c>
      <c r="AM125" t="str">
        <f t="shared" si="9"/>
        <v>OK</v>
      </c>
      <c r="AN125" s="1">
        <f>IF(AF125=0,0,AH125/AF125)</f>
        <v>0.75</v>
      </c>
      <c r="AO125" s="1">
        <f t="shared" si="10"/>
        <v>0.9</v>
      </c>
      <c r="AP125" s="1">
        <f t="shared" si="11"/>
        <v>0.25</v>
      </c>
      <c r="AQ125" s="1">
        <f t="shared" si="12"/>
        <v>0.75</v>
      </c>
    </row>
    <row r="126" spans="1:43"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7"/>
        <v>OK</v>
      </c>
      <c r="AK126" t="str">
        <f t="shared" si="13"/>
        <v>OK</v>
      </c>
      <c r="AL126" t="str">
        <f t="shared" si="8"/>
        <v>OK</v>
      </c>
      <c r="AM126" t="str">
        <f t="shared" si="9"/>
        <v>OK</v>
      </c>
      <c r="AN126" s="1">
        <f>IF(AF126=0,0,AH126/AF126)</f>
        <v>1</v>
      </c>
      <c r="AO126" s="1">
        <f t="shared" si="10"/>
        <v>1</v>
      </c>
      <c r="AP126" s="1">
        <f t="shared" si="11"/>
        <v>0.42857142857142855</v>
      </c>
      <c r="AQ126" s="1">
        <f t="shared" si="12"/>
        <v>1</v>
      </c>
    </row>
    <row r="127" spans="1:43"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7"/>
        <v>OK</v>
      </c>
      <c r="AK127" t="str">
        <f t="shared" si="13"/>
        <v>OK</v>
      </c>
      <c r="AL127" t="str">
        <f t="shared" si="8"/>
        <v>OK</v>
      </c>
      <c r="AM127" t="str">
        <f t="shared" si="9"/>
        <v>OK</v>
      </c>
      <c r="AN127" s="1">
        <f>IF(AF127=0,0,AH127/AF127)</f>
        <v>0.8</v>
      </c>
      <c r="AO127" s="1">
        <f t="shared" si="10"/>
        <v>0.8</v>
      </c>
      <c r="AP127" s="1">
        <f t="shared" si="11"/>
        <v>0.6</v>
      </c>
      <c r="AQ127" s="1">
        <f t="shared" si="12"/>
        <v>0.6</v>
      </c>
    </row>
    <row r="128" spans="1:43"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7"/>
        <v>OK</v>
      </c>
      <c r="AK128" t="str">
        <f t="shared" si="13"/>
        <v>OK</v>
      </c>
      <c r="AL128" t="str">
        <f t="shared" si="8"/>
        <v>OK</v>
      </c>
      <c r="AM128" t="str">
        <f t="shared" si="9"/>
        <v>OK</v>
      </c>
      <c r="AN128" s="1">
        <f>IF(AF128=0,0,AH128/AF128)</f>
        <v>0.375</v>
      </c>
      <c r="AO128" s="1">
        <f t="shared" si="10"/>
        <v>0.25</v>
      </c>
      <c r="AP128" s="1">
        <f t="shared" si="11"/>
        <v>7.4999999999999997E-2</v>
      </c>
      <c r="AQ128" s="1">
        <f t="shared" si="12"/>
        <v>0.15</v>
      </c>
    </row>
    <row r="129" spans="1:43"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7"/>
        <v>OK</v>
      </c>
      <c r="AK129" t="str">
        <f t="shared" si="13"/>
        <v>OK</v>
      </c>
      <c r="AL129" t="str">
        <f t="shared" si="8"/>
        <v>OK</v>
      </c>
      <c r="AM129" t="str">
        <f t="shared" si="9"/>
        <v>OK</v>
      </c>
      <c r="AN129" s="1">
        <f>IF(AF129=0,0,AH129/AF129)</f>
        <v>0</v>
      </c>
      <c r="AO129" s="1">
        <f t="shared" si="10"/>
        <v>0</v>
      </c>
      <c r="AP129" s="1">
        <f t="shared" si="11"/>
        <v>0</v>
      </c>
      <c r="AQ129" s="1">
        <f t="shared" si="12"/>
        <v>0</v>
      </c>
    </row>
    <row r="130" spans="1:43"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si="7"/>
        <v>OK</v>
      </c>
      <c r="AK130" t="str">
        <f t="shared" si="13"/>
        <v>OK</v>
      </c>
      <c r="AL130" t="str">
        <f t="shared" si="8"/>
        <v>OK</v>
      </c>
      <c r="AM130" t="str">
        <f t="shared" si="9"/>
        <v>OK</v>
      </c>
      <c r="AN130" s="1">
        <f>IF(AF130=0,0,AH130/AF130)</f>
        <v>1</v>
      </c>
      <c r="AO130" s="1">
        <f t="shared" si="10"/>
        <v>0.5</v>
      </c>
      <c r="AP130" s="1">
        <f t="shared" si="11"/>
        <v>1</v>
      </c>
      <c r="AQ130" s="1">
        <f t="shared" si="12"/>
        <v>0.5</v>
      </c>
    </row>
    <row r="131" spans="1:43"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ref="AJ131:AJ194" si="14">IF(AF131&lt;=AC131, "OK", "ERROR")</f>
        <v>OK</v>
      </c>
      <c r="AK131" t="str">
        <f t="shared" si="13"/>
        <v>OK</v>
      </c>
      <c r="AL131" t="str">
        <f t="shared" ref="AL131:AL194" si="15">IF(AG131&lt;=AF131,"OK","ERROR")</f>
        <v>OK</v>
      </c>
      <c r="AM131" t="str">
        <f t="shared" ref="AM131:AM194" si="16">IF(AI131&lt;=AF131,"OK","ERROR")</f>
        <v>OK</v>
      </c>
      <c r="AN131" s="1">
        <f>IF(AF131=0,0,AH131/AF131)</f>
        <v>0.33333333333333331</v>
      </c>
      <c r="AO131" s="1">
        <f t="shared" ref="AO131:AO194" si="17">IF(AF131=0,0,AG131/AF131)</f>
        <v>0.73333333333333328</v>
      </c>
      <c r="AP131" s="1">
        <f t="shared" ref="AP131:AP194" si="18">IF(AF131=0,0,AD131/AF131)</f>
        <v>0.13333333333333333</v>
      </c>
      <c r="AQ131" s="1">
        <f t="shared" ref="AQ131:AQ194" si="19">IF(AF131=0,0,AI131/AF131)</f>
        <v>0.73333333333333328</v>
      </c>
    </row>
    <row r="132" spans="1:43"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14"/>
        <v>OK</v>
      </c>
      <c r="AK132" t="str">
        <f t="shared" ref="AK132:AK195" si="20">IF(AH132&lt;=AF132,"OK", "ERROR")</f>
        <v>OK</v>
      </c>
      <c r="AL132" t="str">
        <f t="shared" si="15"/>
        <v>OK</v>
      </c>
      <c r="AM132" t="str">
        <f t="shared" si="16"/>
        <v>OK</v>
      </c>
      <c r="AN132" s="1">
        <f>IF(AF132=0,0,AH132/AF132)</f>
        <v>0.33333333333333331</v>
      </c>
      <c r="AO132" s="1">
        <f t="shared" si="17"/>
        <v>0.66666666666666663</v>
      </c>
      <c r="AP132" s="1">
        <f t="shared" si="18"/>
        <v>0.66666666666666663</v>
      </c>
      <c r="AQ132" s="1">
        <f t="shared" si="19"/>
        <v>0.66666666666666663</v>
      </c>
    </row>
    <row r="133" spans="1:43"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14"/>
        <v>OK</v>
      </c>
      <c r="AK133" t="str">
        <f t="shared" si="20"/>
        <v>OK</v>
      </c>
      <c r="AL133" t="str">
        <f t="shared" si="15"/>
        <v>OK</v>
      </c>
      <c r="AM133" t="str">
        <f t="shared" si="16"/>
        <v>OK</v>
      </c>
      <c r="AN133" s="1">
        <f>IF(AF133=0,0,AH133/AF133)</f>
        <v>1</v>
      </c>
      <c r="AO133" s="1">
        <f t="shared" si="17"/>
        <v>1</v>
      </c>
      <c r="AP133" s="1">
        <f t="shared" si="18"/>
        <v>1.5</v>
      </c>
      <c r="AQ133" s="1">
        <f t="shared" si="19"/>
        <v>0.5</v>
      </c>
    </row>
    <row r="134" spans="1:43"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14"/>
        <v>OK</v>
      </c>
      <c r="AK134" t="str">
        <f t="shared" si="20"/>
        <v>OK</v>
      </c>
      <c r="AL134" t="str">
        <f t="shared" si="15"/>
        <v>OK</v>
      </c>
      <c r="AM134" t="str">
        <f t="shared" si="16"/>
        <v>OK</v>
      </c>
      <c r="AN134" s="1">
        <f>IF(AF134=0,0,AH134/AF134)</f>
        <v>1</v>
      </c>
      <c r="AO134" s="1">
        <f t="shared" si="17"/>
        <v>1</v>
      </c>
      <c r="AP134" s="1">
        <f t="shared" si="18"/>
        <v>1</v>
      </c>
      <c r="AQ134" s="1">
        <f t="shared" si="19"/>
        <v>1</v>
      </c>
    </row>
    <row r="135" spans="1:43"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14"/>
        <v>OK</v>
      </c>
      <c r="AK135" t="str">
        <f t="shared" si="20"/>
        <v>OK</v>
      </c>
      <c r="AL135" t="str">
        <f t="shared" si="15"/>
        <v>OK</v>
      </c>
      <c r="AM135" t="str">
        <f t="shared" si="16"/>
        <v>OK</v>
      </c>
      <c r="AN135" s="1">
        <f>IF(AF135=0,0,AH135/AF135)</f>
        <v>0</v>
      </c>
      <c r="AO135" s="1">
        <f t="shared" si="17"/>
        <v>0.77777777777777779</v>
      </c>
      <c r="AP135" s="1">
        <f t="shared" si="18"/>
        <v>0.22222222222222221</v>
      </c>
      <c r="AQ135" s="1">
        <f t="shared" si="19"/>
        <v>0.77777777777777779</v>
      </c>
    </row>
    <row r="136" spans="1:43"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14"/>
        <v>OK</v>
      </c>
      <c r="AK136" t="str">
        <f t="shared" si="20"/>
        <v>OK</v>
      </c>
      <c r="AL136" t="str">
        <f t="shared" si="15"/>
        <v>OK</v>
      </c>
      <c r="AM136" t="str">
        <f t="shared" si="16"/>
        <v>OK</v>
      </c>
      <c r="AN136" s="1">
        <f>IF(AF136=0,0,AH136/AF136)</f>
        <v>0.625</v>
      </c>
      <c r="AO136" s="1">
        <f t="shared" si="17"/>
        <v>0.875</v>
      </c>
      <c r="AP136" s="1">
        <f t="shared" si="18"/>
        <v>0.375</v>
      </c>
      <c r="AQ136" s="1">
        <f t="shared" si="19"/>
        <v>0.875</v>
      </c>
    </row>
    <row r="137" spans="1:43"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14"/>
        <v>OK</v>
      </c>
      <c r="AK137" t="str">
        <f t="shared" si="20"/>
        <v>OK</v>
      </c>
      <c r="AL137" t="str">
        <f t="shared" si="15"/>
        <v>OK</v>
      </c>
      <c r="AM137" t="str">
        <f t="shared" si="16"/>
        <v>OK</v>
      </c>
      <c r="AN137" s="1">
        <f>IF(AF137=0,0,AH137/AF137)</f>
        <v>0</v>
      </c>
      <c r="AO137" s="1">
        <f t="shared" si="17"/>
        <v>0.66666666666666663</v>
      </c>
      <c r="AP137" s="1">
        <f t="shared" si="18"/>
        <v>0</v>
      </c>
      <c r="AQ137" s="1">
        <f t="shared" si="19"/>
        <v>0.33333333333333331</v>
      </c>
    </row>
    <row r="138" spans="1:43"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14"/>
        <v>OK</v>
      </c>
      <c r="AK138" t="str">
        <f t="shared" si="20"/>
        <v>OK</v>
      </c>
      <c r="AL138" t="str">
        <f t="shared" si="15"/>
        <v>OK</v>
      </c>
      <c r="AM138" t="str">
        <f t="shared" si="16"/>
        <v>OK</v>
      </c>
      <c r="AN138" s="1">
        <f>IF(AF138=0,0,AH138/AF138)</f>
        <v>0</v>
      </c>
      <c r="AO138" s="1">
        <f t="shared" si="17"/>
        <v>0.5</v>
      </c>
      <c r="AP138" s="1">
        <f t="shared" si="18"/>
        <v>0.5</v>
      </c>
      <c r="AQ138" s="1">
        <f t="shared" si="19"/>
        <v>0.75</v>
      </c>
    </row>
    <row r="139" spans="1:43"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14"/>
        <v>OK</v>
      </c>
      <c r="AK139" t="str">
        <f t="shared" si="20"/>
        <v>OK</v>
      </c>
      <c r="AL139" t="str">
        <f t="shared" si="15"/>
        <v>OK</v>
      </c>
      <c r="AM139" t="str">
        <f t="shared" si="16"/>
        <v>OK</v>
      </c>
      <c r="AN139" s="1">
        <f>IF(AF139=0,0,AH139/AF139)</f>
        <v>0.33333333333333331</v>
      </c>
      <c r="AO139" s="1">
        <f t="shared" si="17"/>
        <v>0.73333333333333328</v>
      </c>
      <c r="AP139" s="1">
        <f t="shared" si="18"/>
        <v>6.6666666666666666E-2</v>
      </c>
      <c r="AQ139" s="1">
        <f t="shared" si="19"/>
        <v>0.6</v>
      </c>
    </row>
    <row r="140" spans="1:43"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14"/>
        <v>OK</v>
      </c>
      <c r="AK140" t="str">
        <f t="shared" si="20"/>
        <v>OK</v>
      </c>
      <c r="AL140" t="str">
        <f t="shared" si="15"/>
        <v>OK</v>
      </c>
      <c r="AM140" t="str">
        <f t="shared" si="16"/>
        <v>OK</v>
      </c>
      <c r="AN140" s="1">
        <f>IF(AF140=0,0,AH140/AF140)</f>
        <v>1</v>
      </c>
      <c r="AO140" s="1">
        <f t="shared" si="17"/>
        <v>1</v>
      </c>
      <c r="AP140" s="1">
        <f t="shared" si="18"/>
        <v>1.5</v>
      </c>
      <c r="AQ140" s="1">
        <f t="shared" si="19"/>
        <v>1</v>
      </c>
    </row>
    <row r="141" spans="1:43"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14"/>
        <v>OK</v>
      </c>
      <c r="AK141" t="str">
        <f t="shared" si="20"/>
        <v>OK</v>
      </c>
      <c r="AL141" t="str">
        <f t="shared" si="15"/>
        <v>OK</v>
      </c>
      <c r="AM141" t="str">
        <f t="shared" si="16"/>
        <v>OK</v>
      </c>
      <c r="AN141" s="1">
        <f>IF(AF141=0,0,AH141/AF141)</f>
        <v>0.36363636363636365</v>
      </c>
      <c r="AO141" s="1">
        <f t="shared" si="17"/>
        <v>0.81818181818181823</v>
      </c>
      <c r="AP141" s="1">
        <f t="shared" si="18"/>
        <v>0.18181818181818182</v>
      </c>
      <c r="AQ141" s="1">
        <f t="shared" si="19"/>
        <v>0.63636363636363635</v>
      </c>
    </row>
    <row r="142" spans="1:43"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14"/>
        <v>OK</v>
      </c>
      <c r="AK142" t="str">
        <f t="shared" si="20"/>
        <v>OK</v>
      </c>
      <c r="AL142" t="str">
        <f t="shared" si="15"/>
        <v>OK</v>
      </c>
      <c r="AM142" t="str">
        <f t="shared" si="16"/>
        <v>OK</v>
      </c>
      <c r="AN142" s="1">
        <f>IF(AF142=0,0,AH142/AF142)</f>
        <v>0</v>
      </c>
      <c r="AO142" s="1">
        <f t="shared" si="17"/>
        <v>0.8</v>
      </c>
      <c r="AP142" s="1">
        <f t="shared" si="18"/>
        <v>0.4</v>
      </c>
      <c r="AQ142" s="1">
        <f t="shared" si="19"/>
        <v>0.8</v>
      </c>
    </row>
    <row r="143" spans="1:43"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14"/>
        <v>OK</v>
      </c>
      <c r="AK143" t="str">
        <f t="shared" si="20"/>
        <v>OK</v>
      </c>
      <c r="AL143" t="str">
        <f t="shared" si="15"/>
        <v>OK</v>
      </c>
      <c r="AM143" t="str">
        <f t="shared" si="16"/>
        <v>OK</v>
      </c>
      <c r="AN143" s="1">
        <f>IF(AF143=0,0,AH143/AF143)</f>
        <v>0</v>
      </c>
      <c r="AO143" s="1">
        <f t="shared" si="17"/>
        <v>0.83333333333333337</v>
      </c>
      <c r="AP143" s="1">
        <f t="shared" si="18"/>
        <v>0.33333333333333331</v>
      </c>
      <c r="AQ143" s="1">
        <f t="shared" si="19"/>
        <v>0.5</v>
      </c>
    </row>
    <row r="144" spans="1:43"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14"/>
        <v>OK</v>
      </c>
      <c r="AK144" t="str">
        <f t="shared" si="20"/>
        <v>OK</v>
      </c>
      <c r="AL144" t="str">
        <f t="shared" si="15"/>
        <v>OK</v>
      </c>
      <c r="AM144" t="str">
        <f t="shared" si="16"/>
        <v>OK</v>
      </c>
      <c r="AN144" s="1">
        <f>IF(AF144=0,0,AH144/AF144)</f>
        <v>0.66666666666666663</v>
      </c>
      <c r="AO144" s="1">
        <f t="shared" si="17"/>
        <v>0.66666666666666663</v>
      </c>
      <c r="AP144" s="1">
        <f t="shared" si="18"/>
        <v>0.66666666666666663</v>
      </c>
      <c r="AQ144" s="1">
        <f t="shared" si="19"/>
        <v>0.66666666666666663</v>
      </c>
    </row>
    <row r="145" spans="1:43"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14"/>
        <v>OK</v>
      </c>
      <c r="AK145" t="str">
        <f t="shared" si="20"/>
        <v>OK</v>
      </c>
      <c r="AL145" t="str">
        <f t="shared" si="15"/>
        <v>OK</v>
      </c>
      <c r="AM145" t="str">
        <f t="shared" si="16"/>
        <v>OK</v>
      </c>
      <c r="AN145" s="1">
        <f>IF(AF145=0,0,AH145/AF145)</f>
        <v>0</v>
      </c>
      <c r="AO145" s="1">
        <f t="shared" si="17"/>
        <v>0.8</v>
      </c>
      <c r="AP145" s="1">
        <f t="shared" si="18"/>
        <v>0.8</v>
      </c>
      <c r="AQ145" s="1">
        <f t="shared" si="19"/>
        <v>0.8</v>
      </c>
    </row>
    <row r="146" spans="1:43"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14"/>
        <v>OK</v>
      </c>
      <c r="AK146" t="str">
        <f t="shared" si="20"/>
        <v>OK</v>
      </c>
      <c r="AL146" t="str">
        <f t="shared" si="15"/>
        <v>OK</v>
      </c>
      <c r="AM146" t="str">
        <f t="shared" si="16"/>
        <v>OK</v>
      </c>
      <c r="AN146" s="1">
        <f>IF(AF146=0,0,AH146/AF146)</f>
        <v>0</v>
      </c>
      <c r="AO146" s="1">
        <f t="shared" si="17"/>
        <v>0.875</v>
      </c>
      <c r="AP146" s="1">
        <f t="shared" si="18"/>
        <v>0.25</v>
      </c>
      <c r="AQ146" s="1">
        <f t="shared" si="19"/>
        <v>0.875</v>
      </c>
    </row>
    <row r="147" spans="1:43"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14"/>
        <v>OK</v>
      </c>
      <c r="AK147" t="str">
        <f t="shared" si="20"/>
        <v>OK</v>
      </c>
      <c r="AL147" t="str">
        <f t="shared" si="15"/>
        <v>OK</v>
      </c>
      <c r="AM147" t="str">
        <f t="shared" si="16"/>
        <v>OK</v>
      </c>
      <c r="AN147" s="1">
        <f>IF(AF147=0,0,AH147/AF147)</f>
        <v>0.66666666666666663</v>
      </c>
      <c r="AO147" s="1">
        <f t="shared" si="17"/>
        <v>0.66666666666666663</v>
      </c>
      <c r="AP147" s="1">
        <f t="shared" si="18"/>
        <v>1</v>
      </c>
      <c r="AQ147" s="1">
        <f t="shared" si="19"/>
        <v>0.66666666666666663</v>
      </c>
    </row>
    <row r="148" spans="1:43"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14"/>
        <v>OK</v>
      </c>
      <c r="AK148" t="str">
        <f t="shared" si="20"/>
        <v>OK</v>
      </c>
      <c r="AL148" t="str">
        <f t="shared" si="15"/>
        <v>OK</v>
      </c>
      <c r="AM148" t="str">
        <f t="shared" si="16"/>
        <v>OK</v>
      </c>
      <c r="AN148" s="1">
        <f>IF(AF148=0,0,AH148/AF148)</f>
        <v>0.2</v>
      </c>
      <c r="AO148" s="1">
        <f t="shared" si="17"/>
        <v>0.6</v>
      </c>
      <c r="AP148" s="1">
        <f t="shared" si="18"/>
        <v>0.6</v>
      </c>
      <c r="AQ148" s="1">
        <f t="shared" si="19"/>
        <v>0.4</v>
      </c>
    </row>
    <row r="149" spans="1:43"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14"/>
        <v>OK</v>
      </c>
      <c r="AK149" t="str">
        <f t="shared" si="20"/>
        <v>OK</v>
      </c>
      <c r="AL149" t="str">
        <f t="shared" si="15"/>
        <v>OK</v>
      </c>
      <c r="AM149" t="str">
        <f t="shared" si="16"/>
        <v>OK</v>
      </c>
      <c r="AN149" s="1">
        <f>IF(AF149=0,0,AH149/AF149)</f>
        <v>1</v>
      </c>
      <c r="AO149" s="1">
        <f t="shared" si="17"/>
        <v>0.8571428571428571</v>
      </c>
      <c r="AP149" s="1">
        <f t="shared" si="18"/>
        <v>0.2857142857142857</v>
      </c>
      <c r="AQ149" s="1">
        <f t="shared" si="19"/>
        <v>1</v>
      </c>
    </row>
    <row r="150" spans="1:43"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14"/>
        <v>OK</v>
      </c>
      <c r="AK150" t="str">
        <f t="shared" si="20"/>
        <v>OK</v>
      </c>
      <c r="AL150" t="str">
        <f t="shared" si="15"/>
        <v>OK</v>
      </c>
      <c r="AM150" t="str">
        <f t="shared" si="16"/>
        <v>OK</v>
      </c>
      <c r="AN150" s="1">
        <f>IF(AF150=0,0,AH150/AF150)</f>
        <v>0.2</v>
      </c>
      <c r="AO150" s="1">
        <f t="shared" si="17"/>
        <v>0</v>
      </c>
      <c r="AP150" s="1">
        <f t="shared" si="18"/>
        <v>0.4</v>
      </c>
      <c r="AQ150" s="1">
        <f t="shared" si="19"/>
        <v>0.8</v>
      </c>
    </row>
    <row r="151" spans="1:43"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14"/>
        <v>OK</v>
      </c>
      <c r="AK151" t="str">
        <f t="shared" si="20"/>
        <v>OK</v>
      </c>
      <c r="AL151" t="str">
        <f t="shared" si="15"/>
        <v>OK</v>
      </c>
      <c r="AM151" t="str">
        <f t="shared" si="16"/>
        <v>OK</v>
      </c>
      <c r="AN151" s="1">
        <f>IF(AF151=0,0,AH151/AF151)</f>
        <v>0</v>
      </c>
      <c r="AO151" s="1">
        <f t="shared" si="17"/>
        <v>0</v>
      </c>
      <c r="AP151" s="1">
        <f t="shared" si="18"/>
        <v>3</v>
      </c>
      <c r="AQ151" s="1">
        <f t="shared" si="19"/>
        <v>0</v>
      </c>
    </row>
    <row r="152" spans="1:43"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14"/>
        <v>OK</v>
      </c>
      <c r="AK152" t="str">
        <f t="shared" si="20"/>
        <v>OK</v>
      </c>
      <c r="AL152" t="str">
        <f t="shared" si="15"/>
        <v>OK</v>
      </c>
      <c r="AM152" t="str">
        <f t="shared" si="16"/>
        <v>OK</v>
      </c>
      <c r="AN152" s="1">
        <f>IF(AF152=0,0,AH152/AF152)</f>
        <v>0.1</v>
      </c>
      <c r="AO152" s="1">
        <f t="shared" si="17"/>
        <v>0.35</v>
      </c>
      <c r="AP152" s="1">
        <f t="shared" si="18"/>
        <v>0.1</v>
      </c>
      <c r="AQ152" s="1">
        <f t="shared" si="19"/>
        <v>0.65</v>
      </c>
    </row>
    <row r="153" spans="1:43"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14"/>
        <v>OK</v>
      </c>
      <c r="AK153" t="str">
        <f t="shared" si="20"/>
        <v>OK</v>
      </c>
      <c r="AL153" t="str">
        <f t="shared" si="15"/>
        <v>OK</v>
      </c>
      <c r="AM153" t="str">
        <f t="shared" si="16"/>
        <v>OK</v>
      </c>
      <c r="AN153" s="1">
        <f>IF(AF153=0,0,AH153/AF153)</f>
        <v>0</v>
      </c>
      <c r="AO153" s="1">
        <f t="shared" si="17"/>
        <v>0.8</v>
      </c>
      <c r="AP153" s="1">
        <f t="shared" si="18"/>
        <v>0.3</v>
      </c>
      <c r="AQ153" s="1">
        <f t="shared" si="19"/>
        <v>0.6</v>
      </c>
    </row>
    <row r="154" spans="1:43"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14"/>
        <v>OK</v>
      </c>
      <c r="AK154" t="str">
        <f t="shared" si="20"/>
        <v>OK</v>
      </c>
      <c r="AL154" t="str">
        <f t="shared" si="15"/>
        <v>OK</v>
      </c>
      <c r="AM154" t="str">
        <f t="shared" si="16"/>
        <v>OK</v>
      </c>
      <c r="AN154" s="1">
        <f>IF(AF154=0,0,AH154/AF154)</f>
        <v>0.5714285714285714</v>
      </c>
      <c r="AO154" s="1">
        <f t="shared" si="17"/>
        <v>1</v>
      </c>
      <c r="AP154" s="1">
        <f t="shared" si="18"/>
        <v>0.42857142857142855</v>
      </c>
      <c r="AQ154" s="1">
        <f t="shared" si="19"/>
        <v>0.7142857142857143</v>
      </c>
    </row>
    <row r="155" spans="1:43"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14"/>
        <v>OK</v>
      </c>
      <c r="AK155" t="str">
        <f t="shared" si="20"/>
        <v>OK</v>
      </c>
      <c r="AL155" t="str">
        <f t="shared" si="15"/>
        <v>OK</v>
      </c>
      <c r="AM155" t="str">
        <f t="shared" si="16"/>
        <v>OK</v>
      </c>
      <c r="AN155" s="1">
        <f>IF(AF155=0,0,AH155/AF155)</f>
        <v>0</v>
      </c>
      <c r="AO155" s="1">
        <f t="shared" si="17"/>
        <v>0.52941176470588236</v>
      </c>
      <c r="AP155" s="1">
        <f t="shared" si="18"/>
        <v>0.11764705882352941</v>
      </c>
      <c r="AQ155" s="1">
        <f t="shared" si="19"/>
        <v>0.88235294117647056</v>
      </c>
    </row>
    <row r="156" spans="1:43"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14"/>
        <v>OK</v>
      </c>
      <c r="AK156" t="str">
        <f t="shared" si="20"/>
        <v>OK</v>
      </c>
      <c r="AL156" t="str">
        <f t="shared" si="15"/>
        <v>OK</v>
      </c>
      <c r="AM156" t="str">
        <f t="shared" si="16"/>
        <v>OK</v>
      </c>
      <c r="AN156" s="1">
        <f>IF(AF156=0,0,AH156/AF156)</f>
        <v>0.33333333333333331</v>
      </c>
      <c r="AO156" s="1">
        <f t="shared" si="17"/>
        <v>0.88888888888888884</v>
      </c>
      <c r="AP156" s="1">
        <f t="shared" si="18"/>
        <v>0.22222222222222221</v>
      </c>
      <c r="AQ156" s="1">
        <f t="shared" si="19"/>
        <v>0.77777777777777779</v>
      </c>
    </row>
    <row r="157" spans="1:43"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14"/>
        <v>OK</v>
      </c>
      <c r="AK157" t="str">
        <f t="shared" si="20"/>
        <v>OK</v>
      </c>
      <c r="AL157" t="str">
        <f t="shared" si="15"/>
        <v>OK</v>
      </c>
      <c r="AM157" t="str">
        <f t="shared" si="16"/>
        <v>OK</v>
      </c>
      <c r="AN157" s="1">
        <f>IF(AF157=0,0,AH157/AF157)</f>
        <v>0</v>
      </c>
      <c r="AO157" s="1">
        <f t="shared" si="17"/>
        <v>0.7</v>
      </c>
      <c r="AP157" s="1">
        <f t="shared" si="18"/>
        <v>0.1</v>
      </c>
      <c r="AQ157" s="1">
        <f t="shared" si="19"/>
        <v>0.9</v>
      </c>
    </row>
    <row r="158" spans="1:43"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14"/>
        <v>OK</v>
      </c>
      <c r="AK158" t="str">
        <f t="shared" si="20"/>
        <v>OK</v>
      </c>
      <c r="AL158" t="str">
        <f t="shared" si="15"/>
        <v>OK</v>
      </c>
      <c r="AM158" t="str">
        <f t="shared" si="16"/>
        <v>OK</v>
      </c>
      <c r="AN158" s="1">
        <f>IF(AF158=0,0,AH158/AF158)</f>
        <v>0</v>
      </c>
      <c r="AO158" s="1">
        <f t="shared" si="17"/>
        <v>0</v>
      </c>
      <c r="AP158" s="1">
        <f t="shared" si="18"/>
        <v>2</v>
      </c>
      <c r="AQ158" s="1">
        <f t="shared" si="19"/>
        <v>0</v>
      </c>
    </row>
    <row r="159" spans="1:43"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14"/>
        <v>OK</v>
      </c>
      <c r="AK159" t="str">
        <f t="shared" si="20"/>
        <v>OK</v>
      </c>
      <c r="AL159" t="str">
        <f t="shared" si="15"/>
        <v>OK</v>
      </c>
      <c r="AM159" t="str">
        <f t="shared" si="16"/>
        <v>OK</v>
      </c>
      <c r="AN159" s="1">
        <f>IF(AF159=0,0,AH159/AF159)</f>
        <v>0</v>
      </c>
      <c r="AO159" s="1">
        <f t="shared" si="17"/>
        <v>0</v>
      </c>
      <c r="AP159" s="1">
        <f t="shared" si="18"/>
        <v>3</v>
      </c>
      <c r="AQ159" s="1">
        <f t="shared" si="19"/>
        <v>0</v>
      </c>
    </row>
    <row r="160" spans="1:43"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14"/>
        <v>OK</v>
      </c>
      <c r="AK160" t="str">
        <f t="shared" si="20"/>
        <v>OK</v>
      </c>
      <c r="AL160" t="str">
        <f t="shared" si="15"/>
        <v>OK</v>
      </c>
      <c r="AM160" t="str">
        <f t="shared" si="16"/>
        <v>OK</v>
      </c>
      <c r="AN160" s="1">
        <f>IF(AF160=0,0,AH160/AF160)</f>
        <v>0.16666666666666666</v>
      </c>
      <c r="AO160" s="1">
        <f t="shared" si="17"/>
        <v>0.91666666666666663</v>
      </c>
      <c r="AP160" s="1">
        <f t="shared" si="18"/>
        <v>0.16666666666666666</v>
      </c>
      <c r="AQ160" s="1">
        <f t="shared" si="19"/>
        <v>0.91666666666666663</v>
      </c>
    </row>
    <row r="161" spans="1:43"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14"/>
        <v>OK</v>
      </c>
      <c r="AK161" t="str">
        <f t="shared" si="20"/>
        <v>OK</v>
      </c>
      <c r="AL161" t="str">
        <f t="shared" si="15"/>
        <v>OK</v>
      </c>
      <c r="AM161" t="str">
        <f t="shared" si="16"/>
        <v>OK</v>
      </c>
      <c r="AN161" s="1">
        <f>IF(AF161=0,0,AH161/AF161)</f>
        <v>0.25</v>
      </c>
      <c r="AO161" s="1">
        <f t="shared" si="17"/>
        <v>0.75</v>
      </c>
      <c r="AP161" s="1">
        <f t="shared" si="18"/>
        <v>0.75</v>
      </c>
      <c r="AQ161" s="1">
        <f t="shared" si="19"/>
        <v>0.5</v>
      </c>
    </row>
    <row r="162" spans="1:43"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14"/>
        <v>OK</v>
      </c>
      <c r="AK162" t="str">
        <f t="shared" si="20"/>
        <v>OK</v>
      </c>
      <c r="AL162" t="str">
        <f t="shared" si="15"/>
        <v>OK</v>
      </c>
      <c r="AM162" t="str">
        <f t="shared" si="16"/>
        <v>OK</v>
      </c>
      <c r="AN162" s="1">
        <f>IF(AF162=0,0,AH162/AF162)</f>
        <v>1</v>
      </c>
      <c r="AO162" s="1">
        <f t="shared" si="17"/>
        <v>1</v>
      </c>
      <c r="AP162" s="1">
        <f t="shared" si="18"/>
        <v>3</v>
      </c>
      <c r="AQ162" s="1">
        <f t="shared" si="19"/>
        <v>1</v>
      </c>
    </row>
    <row r="163" spans="1:43"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14"/>
        <v>OK</v>
      </c>
      <c r="AK163" t="str">
        <f t="shared" si="20"/>
        <v>OK</v>
      </c>
      <c r="AL163" t="str">
        <f t="shared" si="15"/>
        <v>OK</v>
      </c>
      <c r="AM163" t="str">
        <f t="shared" si="16"/>
        <v>OK</v>
      </c>
      <c r="AN163" s="1">
        <f>IF(AF163=0,0,AH163/AF163)</f>
        <v>1</v>
      </c>
      <c r="AO163" s="1">
        <f t="shared" si="17"/>
        <v>1</v>
      </c>
      <c r="AP163" s="1">
        <f t="shared" si="18"/>
        <v>0.5</v>
      </c>
      <c r="AQ163" s="1">
        <f t="shared" si="19"/>
        <v>1</v>
      </c>
    </row>
    <row r="164" spans="1:43"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14"/>
        <v>OK</v>
      </c>
      <c r="AK164" t="str">
        <f t="shared" si="20"/>
        <v>OK</v>
      </c>
      <c r="AL164" t="str">
        <f t="shared" si="15"/>
        <v>OK</v>
      </c>
      <c r="AM164" t="str">
        <f t="shared" si="16"/>
        <v>OK</v>
      </c>
      <c r="AN164" s="1">
        <f>IF(AF164=0,0,AH164/AF164)</f>
        <v>0</v>
      </c>
      <c r="AO164" s="1">
        <f t="shared" si="17"/>
        <v>0.4</v>
      </c>
      <c r="AP164" s="1">
        <f t="shared" si="18"/>
        <v>0.4</v>
      </c>
      <c r="AQ164" s="1">
        <f t="shared" si="19"/>
        <v>0.4</v>
      </c>
    </row>
    <row r="165" spans="1:43"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14"/>
        <v>OK</v>
      </c>
      <c r="AK165" t="str">
        <f t="shared" si="20"/>
        <v>OK</v>
      </c>
      <c r="AL165" t="str">
        <f t="shared" si="15"/>
        <v>OK</v>
      </c>
      <c r="AM165" t="str">
        <f t="shared" si="16"/>
        <v>OK</v>
      </c>
      <c r="AN165" s="1">
        <f>IF(AF165=0,0,AH165/AF165)</f>
        <v>0.2</v>
      </c>
      <c r="AO165" s="1">
        <f t="shared" si="17"/>
        <v>0.6</v>
      </c>
      <c r="AP165" s="1">
        <f t="shared" si="18"/>
        <v>0.4</v>
      </c>
      <c r="AQ165" s="1">
        <f t="shared" si="19"/>
        <v>0.8</v>
      </c>
    </row>
    <row r="166" spans="1:43"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14"/>
        <v>OK</v>
      </c>
      <c r="AK166" t="str">
        <f t="shared" si="20"/>
        <v>OK</v>
      </c>
      <c r="AL166" t="str">
        <f t="shared" si="15"/>
        <v>OK</v>
      </c>
      <c r="AM166" t="str">
        <f t="shared" si="16"/>
        <v>OK</v>
      </c>
      <c r="AN166" s="1">
        <f>IF(AF166=0,0,AH166/AF166)</f>
        <v>0</v>
      </c>
      <c r="AO166" s="1">
        <f t="shared" si="17"/>
        <v>1</v>
      </c>
      <c r="AP166" s="1">
        <f t="shared" si="18"/>
        <v>2</v>
      </c>
      <c r="AQ166" s="1">
        <f t="shared" si="19"/>
        <v>1</v>
      </c>
    </row>
    <row r="167" spans="1:43"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14"/>
        <v>OK</v>
      </c>
      <c r="AK167" t="str">
        <f t="shared" si="20"/>
        <v>OK</v>
      </c>
      <c r="AL167" t="str">
        <f t="shared" si="15"/>
        <v>OK</v>
      </c>
      <c r="AM167" t="str">
        <f t="shared" si="16"/>
        <v>OK</v>
      </c>
      <c r="AN167" s="1">
        <f>IF(AF167=0,0,AH167/AF167)</f>
        <v>0.8</v>
      </c>
      <c r="AO167" s="1">
        <f t="shared" si="17"/>
        <v>0.8</v>
      </c>
      <c r="AP167" s="1">
        <f t="shared" si="18"/>
        <v>1</v>
      </c>
      <c r="AQ167" s="1">
        <f t="shared" si="19"/>
        <v>0.8</v>
      </c>
    </row>
    <row r="168" spans="1:43"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14"/>
        <v>OK</v>
      </c>
      <c r="AK168" t="str">
        <f t="shared" si="20"/>
        <v>OK</v>
      </c>
      <c r="AL168" t="str">
        <f t="shared" si="15"/>
        <v>OK</v>
      </c>
      <c r="AM168" t="str">
        <f t="shared" si="16"/>
        <v>OK</v>
      </c>
      <c r="AN168" s="1">
        <f>IF(AF168=0,0,AH168/AF168)</f>
        <v>0.1111111111111111</v>
      </c>
      <c r="AO168" s="1">
        <f t="shared" si="17"/>
        <v>0.88888888888888884</v>
      </c>
      <c r="AP168" s="1">
        <f t="shared" si="18"/>
        <v>0.22222222222222221</v>
      </c>
      <c r="AQ168" s="1">
        <f t="shared" si="19"/>
        <v>0.88888888888888884</v>
      </c>
    </row>
    <row r="169" spans="1:43"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14"/>
        <v>OK</v>
      </c>
      <c r="AK169" t="str">
        <f t="shared" si="20"/>
        <v>OK</v>
      </c>
      <c r="AL169" t="str">
        <f t="shared" si="15"/>
        <v>OK</v>
      </c>
      <c r="AM169" t="str">
        <f t="shared" si="16"/>
        <v>OK</v>
      </c>
      <c r="AN169" s="1">
        <f>IF(AF169=0,0,AH169/AF169)</f>
        <v>0.7</v>
      </c>
      <c r="AO169" s="1">
        <f t="shared" si="17"/>
        <v>0.9</v>
      </c>
      <c r="AP169" s="1">
        <f t="shared" si="18"/>
        <v>0.2</v>
      </c>
      <c r="AQ169" s="1">
        <f t="shared" si="19"/>
        <v>0.4</v>
      </c>
    </row>
    <row r="170" spans="1:43"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14"/>
        <v>OK</v>
      </c>
      <c r="AK170" t="str">
        <f t="shared" si="20"/>
        <v>OK</v>
      </c>
      <c r="AL170" t="str">
        <f t="shared" si="15"/>
        <v>OK</v>
      </c>
      <c r="AM170" t="str">
        <f t="shared" si="16"/>
        <v>OK</v>
      </c>
      <c r="AN170" s="1">
        <f>IF(AF170=0,0,AH170/AF170)</f>
        <v>0</v>
      </c>
      <c r="AO170" s="1">
        <f t="shared" si="17"/>
        <v>0.375</v>
      </c>
      <c r="AP170" s="1">
        <f t="shared" si="18"/>
        <v>0.25</v>
      </c>
      <c r="AQ170" s="1">
        <f t="shared" si="19"/>
        <v>0.875</v>
      </c>
    </row>
    <row r="171" spans="1:43"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14"/>
        <v>OK</v>
      </c>
      <c r="AK171" t="str">
        <f t="shared" si="20"/>
        <v>OK</v>
      </c>
      <c r="AL171" t="str">
        <f t="shared" si="15"/>
        <v>OK</v>
      </c>
      <c r="AM171" t="str">
        <f t="shared" si="16"/>
        <v>OK</v>
      </c>
      <c r="AN171" s="1">
        <f>IF(AF171=0,0,AH171/AF171)</f>
        <v>0.2</v>
      </c>
      <c r="AO171" s="1">
        <f t="shared" si="17"/>
        <v>0.8</v>
      </c>
      <c r="AP171" s="1">
        <f t="shared" si="18"/>
        <v>0.4</v>
      </c>
      <c r="AQ171" s="1">
        <f t="shared" si="19"/>
        <v>0.8</v>
      </c>
    </row>
    <row r="172" spans="1:43"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14"/>
        <v>OK</v>
      </c>
      <c r="AK172" t="str">
        <f t="shared" si="20"/>
        <v>OK</v>
      </c>
      <c r="AL172" t="str">
        <f t="shared" si="15"/>
        <v>OK</v>
      </c>
      <c r="AM172" t="str">
        <f t="shared" si="16"/>
        <v>OK</v>
      </c>
      <c r="AN172" s="1">
        <f>IF(AF172=0,0,AH172/AF172)</f>
        <v>0.2</v>
      </c>
      <c r="AO172" s="1">
        <f t="shared" si="17"/>
        <v>0.4</v>
      </c>
      <c r="AP172" s="1">
        <f t="shared" si="18"/>
        <v>0.6</v>
      </c>
      <c r="AQ172" s="1">
        <f t="shared" si="19"/>
        <v>0.2</v>
      </c>
    </row>
    <row r="173" spans="1:43"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14"/>
        <v>OK</v>
      </c>
      <c r="AK173" t="str">
        <f t="shared" si="20"/>
        <v>OK</v>
      </c>
      <c r="AL173" t="str">
        <f t="shared" si="15"/>
        <v>OK</v>
      </c>
      <c r="AM173" t="str">
        <f t="shared" si="16"/>
        <v>OK</v>
      </c>
      <c r="AN173" s="1">
        <f>IF(AF173=0,0,AH173/AF173)</f>
        <v>0</v>
      </c>
      <c r="AO173" s="1">
        <f t="shared" si="17"/>
        <v>0</v>
      </c>
      <c r="AP173" s="1">
        <f t="shared" si="18"/>
        <v>0</v>
      </c>
      <c r="AQ173" s="1">
        <f t="shared" si="19"/>
        <v>0</v>
      </c>
    </row>
    <row r="174" spans="1:43"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14"/>
        <v>OK</v>
      </c>
      <c r="AK174" t="str">
        <f t="shared" si="20"/>
        <v>OK</v>
      </c>
      <c r="AL174" t="str">
        <f t="shared" si="15"/>
        <v>OK</v>
      </c>
      <c r="AM174" t="str">
        <f t="shared" si="16"/>
        <v>OK</v>
      </c>
      <c r="AN174" s="1">
        <f>IF(AF174=0,0,AH174/AF174)</f>
        <v>0.875</v>
      </c>
      <c r="AO174" s="1">
        <f t="shared" si="17"/>
        <v>0.875</v>
      </c>
      <c r="AP174" s="1">
        <f t="shared" si="18"/>
        <v>0.375</v>
      </c>
      <c r="AQ174" s="1">
        <f t="shared" si="19"/>
        <v>0.25</v>
      </c>
    </row>
    <row r="175" spans="1:43"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14"/>
        <v>OK</v>
      </c>
      <c r="AK175" t="str">
        <f t="shared" si="20"/>
        <v>OK</v>
      </c>
      <c r="AL175" t="str">
        <f t="shared" si="15"/>
        <v>OK</v>
      </c>
      <c r="AM175" t="str">
        <f t="shared" si="16"/>
        <v>OK</v>
      </c>
      <c r="AN175" s="1">
        <f>IF(AF175=0,0,AH175/AF175)</f>
        <v>0.5</v>
      </c>
      <c r="AO175" s="1">
        <f t="shared" si="17"/>
        <v>0.75</v>
      </c>
      <c r="AP175" s="1">
        <f t="shared" si="18"/>
        <v>0.33333333333333331</v>
      </c>
      <c r="AQ175" s="1">
        <f t="shared" si="19"/>
        <v>0.83333333333333337</v>
      </c>
    </row>
    <row r="176" spans="1:43"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14"/>
        <v>OK</v>
      </c>
      <c r="AK176" t="str">
        <f t="shared" si="20"/>
        <v>OK</v>
      </c>
      <c r="AL176" t="str">
        <f t="shared" si="15"/>
        <v>OK</v>
      </c>
      <c r="AM176" t="str">
        <f t="shared" si="16"/>
        <v>OK</v>
      </c>
      <c r="AN176" s="1">
        <f>IF(AF176=0,0,AH176/AF176)</f>
        <v>0</v>
      </c>
      <c r="AO176" s="1">
        <f t="shared" si="17"/>
        <v>0.8</v>
      </c>
      <c r="AP176" s="1">
        <f t="shared" si="18"/>
        <v>0.6</v>
      </c>
      <c r="AQ176" s="1">
        <f t="shared" si="19"/>
        <v>0.6</v>
      </c>
    </row>
    <row r="177" spans="1:43"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14"/>
        <v>OK</v>
      </c>
      <c r="AK177" t="str">
        <f t="shared" si="20"/>
        <v>OK</v>
      </c>
      <c r="AL177" t="str">
        <f t="shared" si="15"/>
        <v>OK</v>
      </c>
      <c r="AM177" t="str">
        <f t="shared" si="16"/>
        <v>OK</v>
      </c>
      <c r="AN177" s="1">
        <f>IF(AF177=0,0,AH177/AF177)</f>
        <v>1</v>
      </c>
      <c r="AO177" s="1">
        <f t="shared" si="17"/>
        <v>1</v>
      </c>
      <c r="AP177" s="1">
        <f t="shared" si="18"/>
        <v>1.5</v>
      </c>
      <c r="AQ177" s="1">
        <f t="shared" si="19"/>
        <v>1</v>
      </c>
    </row>
    <row r="178" spans="1:43"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14"/>
        <v>OK</v>
      </c>
      <c r="AK178" t="str">
        <f t="shared" si="20"/>
        <v>OK</v>
      </c>
      <c r="AL178" t="str">
        <f t="shared" si="15"/>
        <v>OK</v>
      </c>
      <c r="AM178" t="str">
        <f t="shared" si="16"/>
        <v>OK</v>
      </c>
      <c r="AN178" s="1">
        <f>IF(AF178=0,0,AH178/AF178)</f>
        <v>0</v>
      </c>
      <c r="AO178" s="1">
        <f t="shared" si="17"/>
        <v>0.33333333333333331</v>
      </c>
      <c r="AP178" s="1">
        <f t="shared" si="18"/>
        <v>0.66666666666666663</v>
      </c>
      <c r="AQ178" s="1">
        <f t="shared" si="19"/>
        <v>0.66666666666666663</v>
      </c>
    </row>
    <row r="179" spans="1:43"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14"/>
        <v>OK</v>
      </c>
      <c r="AK179" t="str">
        <f t="shared" si="20"/>
        <v>OK</v>
      </c>
      <c r="AL179" t="str">
        <f t="shared" si="15"/>
        <v>OK</v>
      </c>
      <c r="AM179" t="str">
        <f t="shared" si="16"/>
        <v>OK</v>
      </c>
      <c r="AN179" s="1">
        <f>IF(AF179=0,0,AH179/AF179)</f>
        <v>1</v>
      </c>
      <c r="AO179" s="1">
        <f t="shared" si="17"/>
        <v>0</v>
      </c>
      <c r="AP179" s="1">
        <f t="shared" si="18"/>
        <v>3</v>
      </c>
      <c r="AQ179" s="1">
        <f t="shared" si="19"/>
        <v>0</v>
      </c>
    </row>
    <row r="180" spans="1:43"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14"/>
        <v>OK</v>
      </c>
      <c r="AK180" t="str">
        <f t="shared" si="20"/>
        <v>OK</v>
      </c>
      <c r="AL180" t="str">
        <f t="shared" si="15"/>
        <v>OK</v>
      </c>
      <c r="AM180" t="str">
        <f t="shared" si="16"/>
        <v>OK</v>
      </c>
      <c r="AN180" s="1">
        <f>IF(AF180=0,0,AH180/AF180)</f>
        <v>0.625</v>
      </c>
      <c r="AO180" s="1">
        <f t="shared" si="17"/>
        <v>0.54166666666666663</v>
      </c>
      <c r="AP180" s="1">
        <f t="shared" si="18"/>
        <v>8.3333333333333329E-2</v>
      </c>
      <c r="AQ180" s="1">
        <f t="shared" si="19"/>
        <v>0.29166666666666669</v>
      </c>
    </row>
    <row r="181" spans="1:43"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14"/>
        <v>OK</v>
      </c>
      <c r="AK181" t="str">
        <f t="shared" si="20"/>
        <v>OK</v>
      </c>
      <c r="AL181" t="str">
        <f t="shared" si="15"/>
        <v>OK</v>
      </c>
      <c r="AM181" t="str">
        <f t="shared" si="16"/>
        <v>OK</v>
      </c>
      <c r="AN181" s="1">
        <f>IF(AF181=0,0,AH181/AF181)</f>
        <v>1</v>
      </c>
      <c r="AO181" s="1">
        <f t="shared" si="17"/>
        <v>1</v>
      </c>
      <c r="AP181" s="1">
        <f t="shared" si="18"/>
        <v>1.5</v>
      </c>
      <c r="AQ181" s="1">
        <f t="shared" si="19"/>
        <v>0.5</v>
      </c>
    </row>
    <row r="182" spans="1:43"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14"/>
        <v>OK</v>
      </c>
      <c r="AK182" t="str">
        <f t="shared" si="20"/>
        <v>OK</v>
      </c>
      <c r="AL182" t="str">
        <f t="shared" si="15"/>
        <v>OK</v>
      </c>
      <c r="AM182" t="str">
        <f t="shared" si="16"/>
        <v>OK</v>
      </c>
      <c r="AN182" s="1">
        <f>IF(AF182=0,0,AH182/AF182)</f>
        <v>0</v>
      </c>
      <c r="AO182" s="1">
        <f t="shared" si="17"/>
        <v>0.5</v>
      </c>
      <c r="AP182" s="1">
        <f t="shared" si="18"/>
        <v>0</v>
      </c>
      <c r="AQ182" s="1">
        <f t="shared" si="19"/>
        <v>0.5</v>
      </c>
    </row>
    <row r="183" spans="1:43"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14"/>
        <v>OK</v>
      </c>
      <c r="AK183" t="str">
        <f t="shared" si="20"/>
        <v>OK</v>
      </c>
      <c r="AL183" t="str">
        <f t="shared" si="15"/>
        <v>OK</v>
      </c>
      <c r="AM183" t="str">
        <f t="shared" si="16"/>
        <v>OK</v>
      </c>
      <c r="AN183" s="1">
        <f>IF(AF183=0,0,AH183/AF183)</f>
        <v>0.33333333333333331</v>
      </c>
      <c r="AO183" s="1">
        <f t="shared" si="17"/>
        <v>0.66666666666666663</v>
      </c>
      <c r="AP183" s="1">
        <f t="shared" si="18"/>
        <v>1</v>
      </c>
      <c r="AQ183" s="1">
        <f t="shared" si="19"/>
        <v>0.66666666666666663</v>
      </c>
    </row>
    <row r="184" spans="1:43"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14"/>
        <v>OK</v>
      </c>
      <c r="AK184" t="str">
        <f t="shared" si="20"/>
        <v>OK</v>
      </c>
      <c r="AL184" t="str">
        <f t="shared" si="15"/>
        <v>OK</v>
      </c>
      <c r="AM184" t="str">
        <f t="shared" si="16"/>
        <v>OK</v>
      </c>
      <c r="AN184" s="1">
        <f>IF(AF184=0,0,AH184/AF184)</f>
        <v>0</v>
      </c>
      <c r="AO184" s="1">
        <f t="shared" si="17"/>
        <v>0.75</v>
      </c>
      <c r="AP184" s="1">
        <f t="shared" si="18"/>
        <v>1.25</v>
      </c>
      <c r="AQ184" s="1">
        <f t="shared" si="19"/>
        <v>0.5</v>
      </c>
    </row>
    <row r="185" spans="1:43"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14"/>
        <v>OK</v>
      </c>
      <c r="AK185" t="str">
        <f t="shared" si="20"/>
        <v>OK</v>
      </c>
      <c r="AL185" t="str">
        <f t="shared" si="15"/>
        <v>OK</v>
      </c>
      <c r="AM185" t="str">
        <f t="shared" si="16"/>
        <v>OK</v>
      </c>
      <c r="AN185" s="1">
        <f>IF(AF185=0,0,AH185/AF185)</f>
        <v>0</v>
      </c>
      <c r="AO185" s="1">
        <f t="shared" si="17"/>
        <v>0.66666666666666663</v>
      </c>
      <c r="AP185" s="1">
        <f t="shared" si="18"/>
        <v>0.66666666666666663</v>
      </c>
      <c r="AQ185" s="1">
        <f t="shared" si="19"/>
        <v>0.66666666666666663</v>
      </c>
    </row>
    <row r="186" spans="1:43"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14"/>
        <v>OK</v>
      </c>
      <c r="AK186" t="str">
        <f t="shared" si="20"/>
        <v>OK</v>
      </c>
      <c r="AL186" t="str">
        <f t="shared" si="15"/>
        <v>OK</v>
      </c>
      <c r="AM186" t="str">
        <f t="shared" si="16"/>
        <v>OK</v>
      </c>
      <c r="AN186" s="1">
        <f>IF(AF186=0,0,AH186/AF186)</f>
        <v>0.25</v>
      </c>
      <c r="AO186" s="1">
        <f t="shared" si="17"/>
        <v>0.5</v>
      </c>
      <c r="AP186" s="1">
        <f t="shared" si="18"/>
        <v>0.75</v>
      </c>
      <c r="AQ186" s="1">
        <f t="shared" si="19"/>
        <v>0.75</v>
      </c>
    </row>
    <row r="187" spans="1:43"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14"/>
        <v>OK</v>
      </c>
      <c r="AK187" t="str">
        <f t="shared" si="20"/>
        <v>OK</v>
      </c>
      <c r="AL187" t="str">
        <f t="shared" si="15"/>
        <v>OK</v>
      </c>
      <c r="AM187" t="str">
        <f t="shared" si="16"/>
        <v>OK</v>
      </c>
      <c r="AN187" s="1">
        <f>IF(AF187=0,0,AH187/AF187)</f>
        <v>0.125</v>
      </c>
      <c r="AO187" s="1">
        <f t="shared" si="17"/>
        <v>0.875</v>
      </c>
      <c r="AP187" s="1">
        <f t="shared" si="18"/>
        <v>0.625</v>
      </c>
      <c r="AQ187" s="1">
        <f t="shared" si="19"/>
        <v>0.75</v>
      </c>
    </row>
    <row r="188" spans="1:43"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14"/>
        <v>OK</v>
      </c>
      <c r="AK188" t="str">
        <f t="shared" si="20"/>
        <v>OK</v>
      </c>
      <c r="AL188" t="str">
        <f t="shared" si="15"/>
        <v>OK</v>
      </c>
      <c r="AM188" t="str">
        <f t="shared" si="16"/>
        <v>OK</v>
      </c>
      <c r="AN188" s="1">
        <f>IF(AF188=0,0,AH188/AF188)</f>
        <v>0.45</v>
      </c>
      <c r="AO188" s="1">
        <f t="shared" si="17"/>
        <v>0.4</v>
      </c>
      <c r="AP188" s="1">
        <f t="shared" si="18"/>
        <v>0.1</v>
      </c>
      <c r="AQ188" s="1">
        <f t="shared" si="19"/>
        <v>0.45</v>
      </c>
    </row>
    <row r="189" spans="1:43"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14"/>
        <v>OK</v>
      </c>
      <c r="AK189" t="str">
        <f t="shared" si="20"/>
        <v>OK</v>
      </c>
      <c r="AL189" t="str">
        <f t="shared" si="15"/>
        <v>OK</v>
      </c>
      <c r="AM189" t="str">
        <f t="shared" si="16"/>
        <v>OK</v>
      </c>
      <c r="AN189" s="1">
        <f>IF(AF189=0,0,AH189/AF189)</f>
        <v>8.3333333333333329E-2</v>
      </c>
      <c r="AO189" s="1">
        <f t="shared" si="17"/>
        <v>0.625</v>
      </c>
      <c r="AP189" s="1">
        <f t="shared" si="18"/>
        <v>0.125</v>
      </c>
      <c r="AQ189" s="1">
        <f t="shared" si="19"/>
        <v>0.625</v>
      </c>
    </row>
    <row r="190" spans="1:43"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14"/>
        <v>OK</v>
      </c>
      <c r="AK190" t="str">
        <f t="shared" si="20"/>
        <v>OK</v>
      </c>
      <c r="AL190" t="str">
        <f t="shared" si="15"/>
        <v>OK</v>
      </c>
      <c r="AM190" t="str">
        <f t="shared" si="16"/>
        <v>OK</v>
      </c>
      <c r="AN190" s="1">
        <f>IF(AF190=0,0,AH190/AF190)</f>
        <v>0.1</v>
      </c>
      <c r="AO190" s="1">
        <f t="shared" si="17"/>
        <v>0.9</v>
      </c>
      <c r="AP190" s="1">
        <f t="shared" si="18"/>
        <v>0.2</v>
      </c>
      <c r="AQ190" s="1">
        <f t="shared" si="19"/>
        <v>0.9</v>
      </c>
    </row>
    <row r="191" spans="1:43"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14"/>
        <v>OK</v>
      </c>
      <c r="AK191" t="str">
        <f t="shared" si="20"/>
        <v>OK</v>
      </c>
      <c r="AL191" t="str">
        <f t="shared" si="15"/>
        <v>OK</v>
      </c>
      <c r="AM191" t="str">
        <f t="shared" si="16"/>
        <v>OK</v>
      </c>
      <c r="AN191" s="1">
        <f>IF(AF191=0,0,AH191/AF191)</f>
        <v>0.14285714285714285</v>
      </c>
      <c r="AO191" s="1">
        <f t="shared" si="17"/>
        <v>1</v>
      </c>
      <c r="AP191" s="1">
        <f t="shared" si="18"/>
        <v>0.8571428571428571</v>
      </c>
      <c r="AQ191" s="1">
        <f t="shared" si="19"/>
        <v>0</v>
      </c>
    </row>
    <row r="192" spans="1:43"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14"/>
        <v>OK</v>
      </c>
      <c r="AK192" t="str">
        <f t="shared" si="20"/>
        <v>OK</v>
      </c>
      <c r="AL192" t="str">
        <f t="shared" si="15"/>
        <v>OK</v>
      </c>
      <c r="AM192" t="str">
        <f t="shared" si="16"/>
        <v>OK</v>
      </c>
      <c r="AN192" s="1">
        <f>IF(AF192=0,0,AH192/AF192)</f>
        <v>0.33333333333333331</v>
      </c>
      <c r="AO192" s="1">
        <f t="shared" si="17"/>
        <v>0.54545454545454541</v>
      </c>
      <c r="AP192" s="1">
        <f t="shared" si="18"/>
        <v>0.15151515151515152</v>
      </c>
      <c r="AQ192" s="1">
        <f t="shared" si="19"/>
        <v>0.27272727272727271</v>
      </c>
    </row>
    <row r="193" spans="1:43"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14"/>
        <v>OK</v>
      </c>
      <c r="AK193" t="str">
        <f t="shared" si="20"/>
        <v>OK</v>
      </c>
      <c r="AL193" t="str">
        <f t="shared" si="15"/>
        <v>OK</v>
      </c>
      <c r="AM193" t="str">
        <f t="shared" si="16"/>
        <v>OK</v>
      </c>
      <c r="AN193" s="1">
        <f>IF(AF193=0,0,AH193/AF193)</f>
        <v>0</v>
      </c>
      <c r="AO193" s="1">
        <f t="shared" si="17"/>
        <v>1</v>
      </c>
      <c r="AP193" s="1">
        <f t="shared" si="18"/>
        <v>0.2857142857142857</v>
      </c>
      <c r="AQ193" s="1">
        <f t="shared" si="19"/>
        <v>0.42857142857142855</v>
      </c>
    </row>
    <row r="194" spans="1:43"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si="14"/>
        <v>OK</v>
      </c>
      <c r="AK194" t="str">
        <f t="shared" si="20"/>
        <v>OK</v>
      </c>
      <c r="AL194" t="str">
        <f t="shared" si="15"/>
        <v>OK</v>
      </c>
      <c r="AM194" t="str">
        <f t="shared" si="16"/>
        <v>OK</v>
      </c>
      <c r="AN194" s="1">
        <f>IF(AF194=0,0,AH194/AF194)</f>
        <v>0</v>
      </c>
      <c r="AO194" s="1">
        <f t="shared" si="17"/>
        <v>0</v>
      </c>
      <c r="AP194" s="1">
        <f t="shared" si="18"/>
        <v>1</v>
      </c>
      <c r="AQ194" s="1">
        <f t="shared" si="19"/>
        <v>1</v>
      </c>
    </row>
    <row r="195" spans="1:43"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ref="AJ195:AJ258" si="21">IF(AF195&lt;=AC195, "OK", "ERROR")</f>
        <v>OK</v>
      </c>
      <c r="AK195" t="str">
        <f t="shared" si="20"/>
        <v>OK</v>
      </c>
      <c r="AL195" t="str">
        <f t="shared" ref="AL195:AL258" si="22">IF(AG195&lt;=AF195,"OK","ERROR")</f>
        <v>OK</v>
      </c>
      <c r="AM195" t="str">
        <f t="shared" ref="AM195:AM258" si="23">IF(AI195&lt;=AF195,"OK","ERROR")</f>
        <v>OK</v>
      </c>
      <c r="AN195" s="1">
        <f>IF(AF195=0,0,AH195/AF195)</f>
        <v>0.4</v>
      </c>
      <c r="AO195" s="1">
        <f t="shared" ref="AO195:AO258" si="24">IF(AF195=0,0,AG195/AF195)</f>
        <v>0.8</v>
      </c>
      <c r="AP195" s="1">
        <f t="shared" ref="AP195:AP258" si="25">IF(AF195=0,0,AD195/AF195)</f>
        <v>0.6</v>
      </c>
      <c r="AQ195" s="1">
        <f t="shared" ref="AQ195:AQ258" si="26">IF(AF195=0,0,AI195/AF195)</f>
        <v>0.4</v>
      </c>
    </row>
    <row r="196" spans="1:43"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21"/>
        <v>OK</v>
      </c>
      <c r="AK196" t="str">
        <f t="shared" ref="AK196:AK259" si="27">IF(AH196&lt;=AF196,"OK", "ERROR")</f>
        <v>OK</v>
      </c>
      <c r="AL196" t="str">
        <f t="shared" si="22"/>
        <v>OK</v>
      </c>
      <c r="AM196" t="str">
        <f t="shared" si="23"/>
        <v>OK</v>
      </c>
      <c r="AN196" s="1">
        <f>IF(AF196=0,0,AH196/AF196)</f>
        <v>0.55000000000000004</v>
      </c>
      <c r="AO196" s="1">
        <f t="shared" si="24"/>
        <v>0.4</v>
      </c>
      <c r="AP196" s="1">
        <f t="shared" si="25"/>
        <v>0.05</v>
      </c>
      <c r="AQ196" s="1">
        <f t="shared" si="26"/>
        <v>0.4</v>
      </c>
    </row>
    <row r="197" spans="1:43"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21"/>
        <v>OK</v>
      </c>
      <c r="AK197" t="str">
        <f t="shared" si="27"/>
        <v>OK</v>
      </c>
      <c r="AL197" t="str">
        <f t="shared" si="22"/>
        <v>OK</v>
      </c>
      <c r="AM197" t="str">
        <f t="shared" si="23"/>
        <v>OK</v>
      </c>
      <c r="AN197" s="1">
        <f>IF(AF197=0,0,AH197/AF197)</f>
        <v>0.125</v>
      </c>
      <c r="AO197" s="1">
        <f t="shared" si="24"/>
        <v>0.875</v>
      </c>
      <c r="AP197" s="1">
        <f t="shared" si="25"/>
        <v>0.375</v>
      </c>
      <c r="AQ197" s="1">
        <f t="shared" si="26"/>
        <v>0.875</v>
      </c>
    </row>
    <row r="198" spans="1:43"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21"/>
        <v>OK</v>
      </c>
      <c r="AK198" t="str">
        <f t="shared" si="27"/>
        <v>OK</v>
      </c>
      <c r="AL198" t="str">
        <f t="shared" si="22"/>
        <v>OK</v>
      </c>
      <c r="AM198" t="str">
        <f t="shared" si="23"/>
        <v>OK</v>
      </c>
      <c r="AN198" s="1">
        <f>IF(AF198=0,0,AH198/AF198)</f>
        <v>0.16666666666666666</v>
      </c>
      <c r="AO198" s="1">
        <f t="shared" si="24"/>
        <v>0.33333333333333331</v>
      </c>
      <c r="AP198" s="1">
        <f t="shared" si="25"/>
        <v>0.83333333333333337</v>
      </c>
      <c r="AQ198" s="1">
        <f t="shared" si="26"/>
        <v>0.33333333333333331</v>
      </c>
    </row>
    <row r="199" spans="1:43"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21"/>
        <v>OK</v>
      </c>
      <c r="AK199" t="str">
        <f t="shared" si="27"/>
        <v>OK</v>
      </c>
      <c r="AL199" t="str">
        <f t="shared" si="22"/>
        <v>OK</v>
      </c>
      <c r="AM199" t="str">
        <f t="shared" si="23"/>
        <v>OK</v>
      </c>
      <c r="AN199" s="1">
        <f>IF(AF199=0,0,AH199/AF199)</f>
        <v>0</v>
      </c>
      <c r="AO199" s="1">
        <f t="shared" si="24"/>
        <v>0.6</v>
      </c>
      <c r="AP199" s="1">
        <f t="shared" si="25"/>
        <v>1</v>
      </c>
      <c r="AQ199" s="1">
        <f t="shared" si="26"/>
        <v>0.4</v>
      </c>
    </row>
    <row r="200" spans="1:43"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21"/>
        <v>OK</v>
      </c>
      <c r="AK200" t="str">
        <f t="shared" si="27"/>
        <v>OK</v>
      </c>
      <c r="AL200" t="str">
        <f t="shared" si="22"/>
        <v>OK</v>
      </c>
      <c r="AM200" t="str">
        <f t="shared" si="23"/>
        <v>OK</v>
      </c>
      <c r="AN200" s="1">
        <f>IF(AF200=0,0,AH200/AF200)</f>
        <v>0</v>
      </c>
      <c r="AO200" s="1">
        <f t="shared" si="24"/>
        <v>0</v>
      </c>
      <c r="AP200" s="1">
        <f t="shared" si="25"/>
        <v>3</v>
      </c>
      <c r="AQ200" s="1">
        <f t="shared" si="26"/>
        <v>0</v>
      </c>
    </row>
    <row r="201" spans="1:43"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21"/>
        <v>OK</v>
      </c>
      <c r="AK201" t="str">
        <f t="shared" si="27"/>
        <v>OK</v>
      </c>
      <c r="AL201" t="str">
        <f t="shared" si="22"/>
        <v>OK</v>
      </c>
      <c r="AM201" t="str">
        <f t="shared" si="23"/>
        <v>OK</v>
      </c>
      <c r="AN201" s="1">
        <f>IF(AF201=0,0,AH201/AF201)</f>
        <v>0.14285714285714285</v>
      </c>
      <c r="AO201" s="1">
        <f t="shared" si="24"/>
        <v>1</v>
      </c>
      <c r="AP201" s="1">
        <f t="shared" si="25"/>
        <v>0.42857142857142855</v>
      </c>
      <c r="AQ201" s="1">
        <f t="shared" si="26"/>
        <v>1</v>
      </c>
    </row>
    <row r="202" spans="1:43"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21"/>
        <v>OK</v>
      </c>
      <c r="AK202" t="str">
        <f t="shared" si="27"/>
        <v>OK</v>
      </c>
      <c r="AL202" t="str">
        <f t="shared" si="22"/>
        <v>OK</v>
      </c>
      <c r="AM202" t="str">
        <f t="shared" si="23"/>
        <v>OK</v>
      </c>
      <c r="AN202" s="1">
        <f>IF(AF202=0,0,AH202/AF202)</f>
        <v>1</v>
      </c>
      <c r="AO202" s="1">
        <f t="shared" si="24"/>
        <v>1</v>
      </c>
      <c r="AP202" s="1">
        <f t="shared" si="25"/>
        <v>0.5</v>
      </c>
      <c r="AQ202" s="1">
        <f t="shared" si="26"/>
        <v>0</v>
      </c>
    </row>
    <row r="203" spans="1:43"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21"/>
        <v>OK</v>
      </c>
      <c r="AK203" t="str">
        <f t="shared" si="27"/>
        <v>OK</v>
      </c>
      <c r="AL203" t="str">
        <f t="shared" si="22"/>
        <v>OK</v>
      </c>
      <c r="AM203" t="str">
        <f t="shared" si="23"/>
        <v>OK</v>
      </c>
      <c r="AN203" s="1">
        <f>IF(AF203=0,0,AH203/AF203)</f>
        <v>0.14285714285714285</v>
      </c>
      <c r="AO203" s="1">
        <f t="shared" si="24"/>
        <v>1</v>
      </c>
      <c r="AP203" s="1">
        <f t="shared" si="25"/>
        <v>0</v>
      </c>
      <c r="AQ203" s="1">
        <f t="shared" si="26"/>
        <v>1</v>
      </c>
    </row>
    <row r="204" spans="1:43"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21"/>
        <v>OK</v>
      </c>
      <c r="AK204" t="str">
        <f t="shared" si="27"/>
        <v>OK</v>
      </c>
      <c r="AL204" t="str">
        <f t="shared" si="22"/>
        <v>OK</v>
      </c>
      <c r="AM204" t="str">
        <f t="shared" si="23"/>
        <v>OK</v>
      </c>
      <c r="AN204" s="1">
        <f>IF(AF204=0,0,AH204/AF204)</f>
        <v>0.4</v>
      </c>
      <c r="AO204" s="1">
        <f t="shared" si="24"/>
        <v>0.6</v>
      </c>
      <c r="AP204" s="1">
        <f t="shared" si="25"/>
        <v>0.8</v>
      </c>
      <c r="AQ204" s="1">
        <f t="shared" si="26"/>
        <v>0</v>
      </c>
    </row>
    <row r="205" spans="1:43"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21"/>
        <v>OK</v>
      </c>
      <c r="AK205" t="str">
        <f t="shared" si="27"/>
        <v>OK</v>
      </c>
      <c r="AL205" t="str">
        <f t="shared" si="22"/>
        <v>OK</v>
      </c>
      <c r="AM205" t="str">
        <f t="shared" si="23"/>
        <v>OK</v>
      </c>
      <c r="AN205" s="1">
        <f>IF(AF205=0,0,AH205/AF205)</f>
        <v>0.42857142857142855</v>
      </c>
      <c r="AO205" s="1">
        <f t="shared" si="24"/>
        <v>0.2857142857142857</v>
      </c>
      <c r="AP205" s="1">
        <f t="shared" si="25"/>
        <v>0.2857142857142857</v>
      </c>
      <c r="AQ205" s="1">
        <f t="shared" si="26"/>
        <v>1</v>
      </c>
    </row>
    <row r="206" spans="1:43"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21"/>
        <v>OK</v>
      </c>
      <c r="AK206" t="str">
        <f t="shared" si="27"/>
        <v>OK</v>
      </c>
      <c r="AL206" t="str">
        <f t="shared" si="22"/>
        <v>OK</v>
      </c>
      <c r="AM206" t="str">
        <f t="shared" si="23"/>
        <v>OK</v>
      </c>
      <c r="AN206" s="1">
        <f>IF(AF206=0,0,AH206/AF206)</f>
        <v>0</v>
      </c>
      <c r="AO206" s="1">
        <f t="shared" si="24"/>
        <v>0</v>
      </c>
      <c r="AP206" s="1">
        <f t="shared" si="25"/>
        <v>2</v>
      </c>
      <c r="AQ206" s="1">
        <f t="shared" si="26"/>
        <v>0</v>
      </c>
    </row>
    <row r="207" spans="1:43"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21"/>
        <v>OK</v>
      </c>
      <c r="AK207" t="str">
        <f t="shared" si="27"/>
        <v>OK</v>
      </c>
      <c r="AL207" t="str">
        <f t="shared" si="22"/>
        <v>OK</v>
      </c>
      <c r="AM207" t="str">
        <f t="shared" si="23"/>
        <v>OK</v>
      </c>
      <c r="AN207" s="1">
        <f>IF(AF207=0,0,AH207/AF207)</f>
        <v>0.1</v>
      </c>
      <c r="AO207" s="1">
        <f t="shared" si="24"/>
        <v>0.4</v>
      </c>
      <c r="AP207" s="1">
        <f t="shared" si="25"/>
        <v>0.3</v>
      </c>
      <c r="AQ207" s="1">
        <f t="shared" si="26"/>
        <v>0.9</v>
      </c>
    </row>
    <row r="208" spans="1:43"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21"/>
        <v>OK</v>
      </c>
      <c r="AK208" t="str">
        <f t="shared" si="27"/>
        <v>OK</v>
      </c>
      <c r="AL208" t="str">
        <f t="shared" si="22"/>
        <v>OK</v>
      </c>
      <c r="AM208" t="str">
        <f t="shared" si="23"/>
        <v>OK</v>
      </c>
      <c r="AN208" s="1">
        <f>IF(AF208=0,0,AH208/AF208)</f>
        <v>0.5</v>
      </c>
      <c r="AO208" s="1">
        <f t="shared" si="24"/>
        <v>0.5</v>
      </c>
      <c r="AP208" s="1">
        <f t="shared" si="25"/>
        <v>0.5</v>
      </c>
      <c r="AQ208" s="1">
        <f t="shared" si="26"/>
        <v>0.5</v>
      </c>
    </row>
    <row r="209" spans="1:43"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21"/>
        <v>OK</v>
      </c>
      <c r="AK209" t="str">
        <f t="shared" si="27"/>
        <v>OK</v>
      </c>
      <c r="AL209" t="str">
        <f t="shared" si="22"/>
        <v>OK</v>
      </c>
      <c r="AM209" t="str">
        <f t="shared" si="23"/>
        <v>OK</v>
      </c>
      <c r="AN209" s="1">
        <f>IF(AF209=0,0,AH209/AF209)</f>
        <v>0.125</v>
      </c>
      <c r="AO209" s="1">
        <f t="shared" si="24"/>
        <v>0.125</v>
      </c>
      <c r="AP209" s="1">
        <f t="shared" si="25"/>
        <v>0.25</v>
      </c>
      <c r="AQ209" s="1">
        <f t="shared" si="26"/>
        <v>0.875</v>
      </c>
    </row>
    <row r="210" spans="1:43"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21"/>
        <v>OK</v>
      </c>
      <c r="AK210" t="str">
        <f t="shared" si="27"/>
        <v>OK</v>
      </c>
      <c r="AL210" t="str">
        <f t="shared" si="22"/>
        <v>OK</v>
      </c>
      <c r="AM210" t="str">
        <f t="shared" si="23"/>
        <v>OK</v>
      </c>
      <c r="AN210" s="1">
        <f>IF(AF210=0,0,AH210/AF210)</f>
        <v>0</v>
      </c>
      <c r="AO210" s="1">
        <f t="shared" si="24"/>
        <v>0.66666666666666663</v>
      </c>
      <c r="AP210" s="1">
        <f t="shared" si="25"/>
        <v>1.6666666666666667</v>
      </c>
      <c r="AQ210" s="1">
        <f t="shared" si="26"/>
        <v>0.66666666666666663</v>
      </c>
    </row>
    <row r="211" spans="1:43"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21"/>
        <v>OK</v>
      </c>
      <c r="AK211" t="str">
        <f t="shared" si="27"/>
        <v>OK</v>
      </c>
      <c r="AL211" t="str">
        <f t="shared" si="22"/>
        <v>OK</v>
      </c>
      <c r="AM211" t="str">
        <f t="shared" si="23"/>
        <v>OK</v>
      </c>
      <c r="AN211" s="1">
        <f>IF(AF211=0,0,AH211/AF211)</f>
        <v>0</v>
      </c>
      <c r="AO211" s="1">
        <f t="shared" si="24"/>
        <v>0.5</v>
      </c>
      <c r="AP211" s="1">
        <f t="shared" si="25"/>
        <v>0.75</v>
      </c>
      <c r="AQ211" s="1">
        <f t="shared" si="26"/>
        <v>0.75</v>
      </c>
    </row>
    <row r="212" spans="1:43"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21"/>
        <v>OK</v>
      </c>
      <c r="AK212" t="str">
        <f t="shared" si="27"/>
        <v>OK</v>
      </c>
      <c r="AL212" t="str">
        <f t="shared" si="22"/>
        <v>OK</v>
      </c>
      <c r="AM212" t="str">
        <f t="shared" si="23"/>
        <v>OK</v>
      </c>
      <c r="AN212" s="1">
        <f>IF(AF212=0,0,AH212/AF212)</f>
        <v>0.6428571428571429</v>
      </c>
      <c r="AO212" s="1">
        <f t="shared" si="24"/>
        <v>0.5714285714285714</v>
      </c>
      <c r="AP212" s="1">
        <f t="shared" si="25"/>
        <v>0.14285714285714285</v>
      </c>
      <c r="AQ212" s="1">
        <f t="shared" si="26"/>
        <v>0.5714285714285714</v>
      </c>
    </row>
    <row r="213" spans="1:43"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21"/>
        <v>OK</v>
      </c>
      <c r="AK213" t="str">
        <f t="shared" si="27"/>
        <v>OK</v>
      </c>
      <c r="AL213" t="str">
        <f t="shared" si="22"/>
        <v>OK</v>
      </c>
      <c r="AM213" t="str">
        <f t="shared" si="23"/>
        <v>OK</v>
      </c>
      <c r="AN213" s="1">
        <f>IF(AF213=0,0,AH213/AF213)</f>
        <v>0.45454545454545453</v>
      </c>
      <c r="AO213" s="1">
        <f t="shared" si="24"/>
        <v>0.72727272727272729</v>
      </c>
      <c r="AP213" s="1">
        <f t="shared" si="25"/>
        <v>0.18181818181818182</v>
      </c>
      <c r="AQ213" s="1">
        <f t="shared" si="26"/>
        <v>0.72727272727272729</v>
      </c>
    </row>
    <row r="214" spans="1:43"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21"/>
        <v>OK</v>
      </c>
      <c r="AK214" t="str">
        <f t="shared" si="27"/>
        <v>OK</v>
      </c>
      <c r="AL214" t="str">
        <f t="shared" si="22"/>
        <v>OK</v>
      </c>
      <c r="AM214" t="str">
        <f t="shared" si="23"/>
        <v>OK</v>
      </c>
      <c r="AN214" s="1">
        <f>IF(AF214=0,0,AH214/AF214)</f>
        <v>0</v>
      </c>
      <c r="AO214" s="1">
        <f t="shared" si="24"/>
        <v>1</v>
      </c>
      <c r="AP214" s="1">
        <f t="shared" si="25"/>
        <v>0.2857142857142857</v>
      </c>
      <c r="AQ214" s="1">
        <f t="shared" si="26"/>
        <v>1</v>
      </c>
    </row>
    <row r="215" spans="1:43"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21"/>
        <v>OK</v>
      </c>
      <c r="AK215" t="str">
        <f t="shared" si="27"/>
        <v>OK</v>
      </c>
      <c r="AL215" t="str">
        <f t="shared" si="22"/>
        <v>OK</v>
      </c>
      <c r="AM215" t="str">
        <f t="shared" si="23"/>
        <v>OK</v>
      </c>
      <c r="AN215" s="1">
        <f>IF(AF215=0,0,AH215/AF215)</f>
        <v>0.4</v>
      </c>
      <c r="AO215" s="1">
        <f t="shared" si="24"/>
        <v>0.9</v>
      </c>
      <c r="AP215" s="1">
        <f t="shared" si="25"/>
        <v>0.5</v>
      </c>
      <c r="AQ215" s="1">
        <f t="shared" si="26"/>
        <v>0.7</v>
      </c>
    </row>
    <row r="216" spans="1:43"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21"/>
        <v>OK</v>
      </c>
      <c r="AK216" t="str">
        <f t="shared" si="27"/>
        <v>OK</v>
      </c>
      <c r="AL216" t="str">
        <f t="shared" si="22"/>
        <v>OK</v>
      </c>
      <c r="AM216" t="str">
        <f t="shared" si="23"/>
        <v>OK</v>
      </c>
      <c r="AN216" s="1">
        <f>IF(AF216=0,0,AH216/AF216)</f>
        <v>0</v>
      </c>
      <c r="AO216" s="1">
        <f t="shared" si="24"/>
        <v>0.4</v>
      </c>
      <c r="AP216" s="1">
        <f t="shared" si="25"/>
        <v>1</v>
      </c>
      <c r="AQ216" s="1">
        <f t="shared" si="26"/>
        <v>0.8</v>
      </c>
    </row>
    <row r="217" spans="1:43"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21"/>
        <v>OK</v>
      </c>
      <c r="AK217" t="str">
        <f t="shared" si="27"/>
        <v>OK</v>
      </c>
      <c r="AL217" t="str">
        <f t="shared" si="22"/>
        <v>OK</v>
      </c>
      <c r="AM217" t="str">
        <f t="shared" si="23"/>
        <v>OK</v>
      </c>
      <c r="AN217" s="1">
        <f>IF(AF217=0,0,AH217/AF217)</f>
        <v>0</v>
      </c>
      <c r="AO217" s="1">
        <f t="shared" si="24"/>
        <v>0</v>
      </c>
      <c r="AP217" s="1">
        <f t="shared" si="25"/>
        <v>3</v>
      </c>
      <c r="AQ217" s="1">
        <f t="shared" si="26"/>
        <v>0</v>
      </c>
    </row>
    <row r="218" spans="1:43"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21"/>
        <v>OK</v>
      </c>
      <c r="AK218" t="str">
        <f t="shared" si="27"/>
        <v>OK</v>
      </c>
      <c r="AL218" t="str">
        <f t="shared" si="22"/>
        <v>OK</v>
      </c>
      <c r="AM218" t="str">
        <f t="shared" si="23"/>
        <v>OK</v>
      </c>
      <c r="AN218" s="1">
        <f>IF(AF218=0,0,AH218/AF218)</f>
        <v>0</v>
      </c>
      <c r="AO218" s="1">
        <f t="shared" si="24"/>
        <v>0.5</v>
      </c>
      <c r="AP218" s="1">
        <f t="shared" si="25"/>
        <v>0.83333333333333337</v>
      </c>
      <c r="AQ218" s="1">
        <f t="shared" si="26"/>
        <v>0.16666666666666666</v>
      </c>
    </row>
    <row r="219" spans="1:43"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21"/>
        <v>OK</v>
      </c>
      <c r="AK219" t="str">
        <f t="shared" si="27"/>
        <v>OK</v>
      </c>
      <c r="AL219" t="str">
        <f t="shared" si="22"/>
        <v>OK</v>
      </c>
      <c r="AM219" t="str">
        <f t="shared" si="23"/>
        <v>OK</v>
      </c>
      <c r="AN219" s="1">
        <f>IF(AF219=0,0,AH219/AF219)</f>
        <v>0.16666666666666666</v>
      </c>
      <c r="AO219" s="1">
        <f t="shared" si="24"/>
        <v>0.33333333333333331</v>
      </c>
      <c r="AP219" s="1">
        <f t="shared" si="25"/>
        <v>0.16666666666666666</v>
      </c>
      <c r="AQ219" s="1">
        <f t="shared" si="26"/>
        <v>0.83333333333333337</v>
      </c>
    </row>
    <row r="220" spans="1:43"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21"/>
        <v>OK</v>
      </c>
      <c r="AK220" t="str">
        <f t="shared" si="27"/>
        <v>OK</v>
      </c>
      <c r="AL220" t="str">
        <f t="shared" si="22"/>
        <v>OK</v>
      </c>
      <c r="AM220" t="str">
        <f t="shared" si="23"/>
        <v>OK</v>
      </c>
      <c r="AN220" s="1">
        <f>IF(AF220=0,0,AH220/AF220)</f>
        <v>0.63157894736842102</v>
      </c>
      <c r="AO220" s="1">
        <f t="shared" si="24"/>
        <v>0.36842105263157893</v>
      </c>
      <c r="AP220" s="1">
        <f t="shared" si="25"/>
        <v>0.10526315789473684</v>
      </c>
      <c r="AQ220" s="1">
        <f t="shared" si="26"/>
        <v>0.42105263157894735</v>
      </c>
    </row>
    <row r="221" spans="1:43"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21"/>
        <v>OK</v>
      </c>
      <c r="AK221" t="str">
        <f t="shared" si="27"/>
        <v>OK</v>
      </c>
      <c r="AL221" t="str">
        <f t="shared" si="22"/>
        <v>OK</v>
      </c>
      <c r="AM221" t="str">
        <f t="shared" si="23"/>
        <v>OK</v>
      </c>
      <c r="AN221" s="1">
        <f>IF(AF221=0,0,AH221/AF221)</f>
        <v>0</v>
      </c>
      <c r="AO221" s="1">
        <f t="shared" si="24"/>
        <v>0.33333333333333331</v>
      </c>
      <c r="AP221" s="1">
        <f t="shared" si="25"/>
        <v>0.66666666666666663</v>
      </c>
      <c r="AQ221" s="1">
        <f t="shared" si="26"/>
        <v>0.83333333333333337</v>
      </c>
    </row>
    <row r="222" spans="1:43"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21"/>
        <v>OK</v>
      </c>
      <c r="AK222" t="str">
        <f t="shared" si="27"/>
        <v>OK</v>
      </c>
      <c r="AL222" t="str">
        <f t="shared" si="22"/>
        <v>OK</v>
      </c>
      <c r="AM222" t="str">
        <f t="shared" si="23"/>
        <v>OK</v>
      </c>
      <c r="AN222" s="1">
        <f>IF(AF222=0,0,AH222/AF222)</f>
        <v>0.23076923076923078</v>
      </c>
      <c r="AO222" s="1">
        <f t="shared" si="24"/>
        <v>0.84615384615384615</v>
      </c>
      <c r="AP222" s="1">
        <f t="shared" si="25"/>
        <v>0.23076923076923078</v>
      </c>
      <c r="AQ222" s="1">
        <f t="shared" si="26"/>
        <v>0.53846153846153844</v>
      </c>
    </row>
    <row r="223" spans="1:43"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21"/>
        <v>OK</v>
      </c>
      <c r="AK223" t="str">
        <f t="shared" si="27"/>
        <v>OK</v>
      </c>
      <c r="AL223" t="str">
        <f t="shared" si="22"/>
        <v>OK</v>
      </c>
      <c r="AM223" t="str">
        <f t="shared" si="23"/>
        <v>OK</v>
      </c>
      <c r="AN223" s="1">
        <f>IF(AF223=0,0,AH223/AF223)</f>
        <v>0.33333333333333331</v>
      </c>
      <c r="AO223" s="1">
        <f t="shared" si="24"/>
        <v>0.66666666666666663</v>
      </c>
      <c r="AP223" s="1">
        <f t="shared" si="25"/>
        <v>1</v>
      </c>
      <c r="AQ223" s="1">
        <f t="shared" si="26"/>
        <v>0.33333333333333331</v>
      </c>
    </row>
    <row r="224" spans="1:43"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21"/>
        <v>OK</v>
      </c>
      <c r="AK224" t="str">
        <f t="shared" si="27"/>
        <v>OK</v>
      </c>
      <c r="AL224" t="str">
        <f t="shared" si="22"/>
        <v>OK</v>
      </c>
      <c r="AM224" t="str">
        <f t="shared" si="23"/>
        <v>OK</v>
      </c>
      <c r="AN224" s="1">
        <f>IF(AF224=0,0,AH224/AF224)</f>
        <v>0</v>
      </c>
      <c r="AO224" s="1">
        <f t="shared" si="24"/>
        <v>0.8</v>
      </c>
      <c r="AP224" s="1">
        <f t="shared" si="25"/>
        <v>0.1</v>
      </c>
      <c r="AQ224" s="1">
        <f t="shared" si="26"/>
        <v>0.7</v>
      </c>
    </row>
    <row r="225" spans="1:43"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21"/>
        <v>OK</v>
      </c>
      <c r="AK225" t="str">
        <f t="shared" si="27"/>
        <v>OK</v>
      </c>
      <c r="AL225" t="str">
        <f t="shared" si="22"/>
        <v>OK</v>
      </c>
      <c r="AM225" t="str">
        <f t="shared" si="23"/>
        <v>OK</v>
      </c>
      <c r="AN225" s="1">
        <f>IF(AF225=0,0,AH225/AF225)</f>
        <v>0.3125</v>
      </c>
      <c r="AO225" s="1">
        <f t="shared" si="24"/>
        <v>0.625</v>
      </c>
      <c r="AP225" s="1">
        <f t="shared" si="25"/>
        <v>0.375</v>
      </c>
      <c r="AQ225" s="1">
        <f t="shared" si="26"/>
        <v>0.8125</v>
      </c>
    </row>
    <row r="226" spans="1:43"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21"/>
        <v>OK</v>
      </c>
      <c r="AK226" t="str">
        <f t="shared" si="27"/>
        <v>OK</v>
      </c>
      <c r="AL226" t="str">
        <f t="shared" si="22"/>
        <v>OK</v>
      </c>
      <c r="AM226" t="str">
        <f t="shared" si="23"/>
        <v>OK</v>
      </c>
      <c r="AN226" s="1">
        <f>IF(AF226=0,0,AH226/AF226)</f>
        <v>0.2</v>
      </c>
      <c r="AO226" s="1">
        <f t="shared" si="24"/>
        <v>0.8</v>
      </c>
      <c r="AP226" s="1">
        <f t="shared" si="25"/>
        <v>0.4</v>
      </c>
      <c r="AQ226" s="1">
        <f t="shared" si="26"/>
        <v>0.8</v>
      </c>
    </row>
    <row r="227" spans="1:43"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21"/>
        <v>OK</v>
      </c>
      <c r="AK227" t="str">
        <f t="shared" si="27"/>
        <v>OK</v>
      </c>
      <c r="AL227" t="str">
        <f t="shared" si="22"/>
        <v>OK</v>
      </c>
      <c r="AM227" t="str">
        <f t="shared" si="23"/>
        <v>OK</v>
      </c>
      <c r="AN227" s="1">
        <f>IF(AF227=0,0,AH227/AF227)</f>
        <v>0</v>
      </c>
      <c r="AO227" s="1">
        <f t="shared" si="24"/>
        <v>0</v>
      </c>
      <c r="AP227" s="1">
        <f t="shared" si="25"/>
        <v>6</v>
      </c>
      <c r="AQ227" s="1">
        <f t="shared" si="26"/>
        <v>0</v>
      </c>
    </row>
    <row r="228" spans="1:43"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21"/>
        <v>OK</v>
      </c>
      <c r="AK228" t="str">
        <f t="shared" si="27"/>
        <v>OK</v>
      </c>
      <c r="AL228" t="str">
        <f t="shared" si="22"/>
        <v>OK</v>
      </c>
      <c r="AM228" t="str">
        <f t="shared" si="23"/>
        <v>OK</v>
      </c>
      <c r="AN228" s="1">
        <f>IF(AF228=0,0,AH228/AF228)</f>
        <v>0.55555555555555558</v>
      </c>
      <c r="AO228" s="1">
        <f t="shared" si="24"/>
        <v>0.88888888888888884</v>
      </c>
      <c r="AP228" s="1">
        <f t="shared" si="25"/>
        <v>0.22222222222222221</v>
      </c>
      <c r="AQ228" s="1">
        <f t="shared" si="26"/>
        <v>0.88888888888888884</v>
      </c>
    </row>
    <row r="229" spans="1:43"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21"/>
        <v>OK</v>
      </c>
      <c r="AK229" t="str">
        <f t="shared" si="27"/>
        <v>OK</v>
      </c>
      <c r="AL229" t="str">
        <f t="shared" si="22"/>
        <v>OK</v>
      </c>
      <c r="AM229" t="str">
        <f t="shared" si="23"/>
        <v>OK</v>
      </c>
      <c r="AN229" s="1">
        <f>IF(AF229=0,0,AH229/AF229)</f>
        <v>0.36363636363636365</v>
      </c>
      <c r="AO229" s="1">
        <f t="shared" si="24"/>
        <v>0.90909090909090906</v>
      </c>
      <c r="AP229" s="1">
        <f t="shared" si="25"/>
        <v>0.45454545454545453</v>
      </c>
      <c r="AQ229" s="1">
        <f t="shared" si="26"/>
        <v>9.0909090909090912E-2</v>
      </c>
    </row>
    <row r="230" spans="1:43"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21"/>
        <v>OK</v>
      </c>
      <c r="AK230" t="str">
        <f t="shared" si="27"/>
        <v>OK</v>
      </c>
      <c r="AL230" t="str">
        <f t="shared" si="22"/>
        <v>OK</v>
      </c>
      <c r="AM230" t="str">
        <f t="shared" si="23"/>
        <v>OK</v>
      </c>
      <c r="AN230" s="1">
        <f>IF(AF230=0,0,AH230/AF230)</f>
        <v>0</v>
      </c>
      <c r="AO230" s="1">
        <f t="shared" si="24"/>
        <v>0.7</v>
      </c>
      <c r="AP230" s="1">
        <f t="shared" si="25"/>
        <v>0.3</v>
      </c>
      <c r="AQ230" s="1">
        <f t="shared" si="26"/>
        <v>0.8</v>
      </c>
    </row>
    <row r="231" spans="1:43"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21"/>
        <v>OK</v>
      </c>
      <c r="AK231" t="str">
        <f t="shared" si="27"/>
        <v>OK</v>
      </c>
      <c r="AL231" t="str">
        <f t="shared" si="22"/>
        <v>OK</v>
      </c>
      <c r="AM231" t="str">
        <f t="shared" si="23"/>
        <v>OK</v>
      </c>
      <c r="AN231" s="1">
        <f>IF(AF231=0,0,AH231/AF231)</f>
        <v>0</v>
      </c>
      <c r="AO231" s="1">
        <f t="shared" si="24"/>
        <v>0.75</v>
      </c>
      <c r="AP231" s="1">
        <f t="shared" si="25"/>
        <v>0.75</v>
      </c>
      <c r="AQ231" s="1">
        <f t="shared" si="26"/>
        <v>0.25</v>
      </c>
    </row>
    <row r="232" spans="1:43"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21"/>
        <v>OK</v>
      </c>
      <c r="AK232" t="str">
        <f t="shared" si="27"/>
        <v>OK</v>
      </c>
      <c r="AL232" t="str">
        <f t="shared" si="22"/>
        <v>OK</v>
      </c>
      <c r="AM232" t="str">
        <f t="shared" si="23"/>
        <v>OK</v>
      </c>
      <c r="AN232" s="1">
        <f>IF(AF232=0,0,AH232/AF232)</f>
        <v>1</v>
      </c>
      <c r="AO232" s="1">
        <f t="shared" si="24"/>
        <v>1</v>
      </c>
      <c r="AP232" s="1">
        <f t="shared" si="25"/>
        <v>1.5</v>
      </c>
      <c r="AQ232" s="1">
        <f t="shared" si="26"/>
        <v>1</v>
      </c>
    </row>
    <row r="233" spans="1:43"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21"/>
        <v>OK</v>
      </c>
      <c r="AK233" t="str">
        <f t="shared" si="27"/>
        <v>OK</v>
      </c>
      <c r="AL233" t="str">
        <f t="shared" si="22"/>
        <v>OK</v>
      </c>
      <c r="AM233" t="str">
        <f t="shared" si="23"/>
        <v>OK</v>
      </c>
      <c r="AN233" s="1">
        <f>IF(AF233=0,0,AH233/AF233)</f>
        <v>0.5</v>
      </c>
      <c r="AO233" s="1">
        <f t="shared" si="24"/>
        <v>0.77272727272727271</v>
      </c>
      <c r="AP233" s="1">
        <f t="shared" si="25"/>
        <v>0.13636363636363635</v>
      </c>
      <c r="AQ233" s="1">
        <f t="shared" si="26"/>
        <v>0.68181818181818177</v>
      </c>
    </row>
    <row r="234" spans="1:43"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21"/>
        <v>OK</v>
      </c>
      <c r="AK234" t="str">
        <f t="shared" si="27"/>
        <v>OK</v>
      </c>
      <c r="AL234" t="str">
        <f t="shared" si="22"/>
        <v>OK</v>
      </c>
      <c r="AM234" t="str">
        <f t="shared" si="23"/>
        <v>OK</v>
      </c>
      <c r="AN234" s="1">
        <f>IF(AF234=0,0,AH234/AF234)</f>
        <v>1</v>
      </c>
      <c r="AO234" s="1">
        <f t="shared" si="24"/>
        <v>1</v>
      </c>
      <c r="AP234" s="1">
        <f t="shared" si="25"/>
        <v>1</v>
      </c>
      <c r="AQ234" s="1">
        <f t="shared" si="26"/>
        <v>1</v>
      </c>
    </row>
    <row r="235" spans="1:43"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21"/>
        <v>OK</v>
      </c>
      <c r="AK235" t="str">
        <f t="shared" si="27"/>
        <v>OK</v>
      </c>
      <c r="AL235" t="str">
        <f t="shared" si="22"/>
        <v>OK</v>
      </c>
      <c r="AM235" t="str">
        <f t="shared" si="23"/>
        <v>OK</v>
      </c>
      <c r="AN235" s="1">
        <f>IF(AF235=0,0,AH235/AF235)</f>
        <v>0</v>
      </c>
      <c r="AO235" s="1">
        <f t="shared" si="24"/>
        <v>0</v>
      </c>
      <c r="AP235" s="1">
        <f t="shared" si="25"/>
        <v>0.42857142857142855</v>
      </c>
      <c r="AQ235" s="1">
        <f t="shared" si="26"/>
        <v>0.8571428571428571</v>
      </c>
    </row>
    <row r="236" spans="1:43"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21"/>
        <v>OK</v>
      </c>
      <c r="AK236" t="str">
        <f t="shared" si="27"/>
        <v>OK</v>
      </c>
      <c r="AL236" t="str">
        <f t="shared" si="22"/>
        <v>OK</v>
      </c>
      <c r="AM236" t="str">
        <f t="shared" si="23"/>
        <v>OK</v>
      </c>
      <c r="AN236" s="1">
        <f>IF(AF236=0,0,AH236/AF236)</f>
        <v>0</v>
      </c>
      <c r="AO236" s="1">
        <f t="shared" si="24"/>
        <v>0.8</v>
      </c>
      <c r="AP236" s="1">
        <f t="shared" si="25"/>
        <v>0.4</v>
      </c>
      <c r="AQ236" s="1">
        <f t="shared" si="26"/>
        <v>0.8</v>
      </c>
    </row>
    <row r="237" spans="1:43"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21"/>
        <v>OK</v>
      </c>
      <c r="AK237" t="str">
        <f t="shared" si="27"/>
        <v>OK</v>
      </c>
      <c r="AL237" t="str">
        <f t="shared" si="22"/>
        <v>OK</v>
      </c>
      <c r="AM237" t="str">
        <f t="shared" si="23"/>
        <v>OK</v>
      </c>
      <c r="AN237" s="1">
        <f>IF(AF237=0,0,AH237/AF237)</f>
        <v>5.8823529411764705E-2</v>
      </c>
      <c r="AO237" s="1">
        <f t="shared" si="24"/>
        <v>0.76470588235294112</v>
      </c>
      <c r="AP237" s="1">
        <f t="shared" si="25"/>
        <v>0.17647058823529413</v>
      </c>
      <c r="AQ237" s="1">
        <f t="shared" si="26"/>
        <v>0.52941176470588236</v>
      </c>
    </row>
    <row r="238" spans="1:43"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21"/>
        <v>OK</v>
      </c>
      <c r="AK238" t="str">
        <f t="shared" si="27"/>
        <v>OK</v>
      </c>
      <c r="AL238" t="str">
        <f t="shared" si="22"/>
        <v>OK</v>
      </c>
      <c r="AM238" t="str">
        <f t="shared" si="23"/>
        <v>OK</v>
      </c>
      <c r="AN238" s="1">
        <f>IF(AF238=0,0,AH238/AF238)</f>
        <v>0.1111111111111111</v>
      </c>
      <c r="AO238" s="1">
        <f t="shared" si="24"/>
        <v>0.77777777777777779</v>
      </c>
      <c r="AP238" s="1">
        <f t="shared" si="25"/>
        <v>0.33333333333333331</v>
      </c>
      <c r="AQ238" s="1">
        <f t="shared" si="26"/>
        <v>0.77777777777777779</v>
      </c>
    </row>
    <row r="239" spans="1:43"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21"/>
        <v>OK</v>
      </c>
      <c r="AK239" t="str">
        <f t="shared" si="27"/>
        <v>OK</v>
      </c>
      <c r="AL239" t="str">
        <f t="shared" si="22"/>
        <v>OK</v>
      </c>
      <c r="AM239" t="str">
        <f t="shared" si="23"/>
        <v>OK</v>
      </c>
      <c r="AN239" s="1">
        <f>IF(AF239=0,0,AH239/AF239)</f>
        <v>0.45454545454545453</v>
      </c>
      <c r="AO239" s="1">
        <f t="shared" si="24"/>
        <v>0.21212121212121213</v>
      </c>
      <c r="AP239" s="1">
        <f t="shared" si="25"/>
        <v>6.0606060606060608E-2</v>
      </c>
      <c r="AQ239" s="1">
        <f t="shared" si="26"/>
        <v>0.36363636363636365</v>
      </c>
    </row>
    <row r="240" spans="1:43"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21"/>
        <v>OK</v>
      </c>
      <c r="AK240" t="str">
        <f t="shared" si="27"/>
        <v>OK</v>
      </c>
      <c r="AL240" t="str">
        <f t="shared" si="22"/>
        <v>OK</v>
      </c>
      <c r="AM240" t="str">
        <f t="shared" si="23"/>
        <v>OK</v>
      </c>
      <c r="AN240" s="1">
        <f>IF(AF240=0,0,AH240/AF240)</f>
        <v>0.25</v>
      </c>
      <c r="AO240" s="1">
        <f t="shared" si="24"/>
        <v>0.75</v>
      </c>
      <c r="AP240" s="1">
        <f t="shared" si="25"/>
        <v>1.25</v>
      </c>
      <c r="AQ240" s="1">
        <f t="shared" si="26"/>
        <v>0.5</v>
      </c>
    </row>
    <row r="241" spans="1:43"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21"/>
        <v>OK</v>
      </c>
      <c r="AK241" t="str">
        <f t="shared" si="27"/>
        <v>OK</v>
      </c>
      <c r="AL241" t="str">
        <f t="shared" si="22"/>
        <v>OK</v>
      </c>
      <c r="AM241" t="str">
        <f t="shared" si="23"/>
        <v>OK</v>
      </c>
      <c r="AN241" s="1">
        <f>IF(AF241=0,0,AH241/AF241)</f>
        <v>0.33333333333333331</v>
      </c>
      <c r="AO241" s="1">
        <f t="shared" si="24"/>
        <v>0.66666666666666663</v>
      </c>
      <c r="AP241" s="1">
        <f t="shared" si="25"/>
        <v>0.66666666666666663</v>
      </c>
      <c r="AQ241" s="1">
        <f t="shared" si="26"/>
        <v>0.66666666666666663</v>
      </c>
    </row>
    <row r="242" spans="1:43"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21"/>
        <v>OK</v>
      </c>
      <c r="AK242" t="str">
        <f t="shared" si="27"/>
        <v>OK</v>
      </c>
      <c r="AL242" t="str">
        <f t="shared" si="22"/>
        <v>OK</v>
      </c>
      <c r="AM242" t="str">
        <f t="shared" si="23"/>
        <v>OK</v>
      </c>
      <c r="AN242" s="1">
        <f>IF(AF242=0,0,AH242/AF242)</f>
        <v>0.33333333333333331</v>
      </c>
      <c r="AO242" s="1">
        <f t="shared" si="24"/>
        <v>0.66666666666666663</v>
      </c>
      <c r="AP242" s="1">
        <f t="shared" si="25"/>
        <v>0.33333333333333331</v>
      </c>
      <c r="AQ242" s="1">
        <f t="shared" si="26"/>
        <v>0.66666666666666663</v>
      </c>
    </row>
    <row r="243" spans="1:43"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21"/>
        <v>OK</v>
      </c>
      <c r="AK243" t="str">
        <f t="shared" si="27"/>
        <v>OK</v>
      </c>
      <c r="AL243" t="str">
        <f t="shared" si="22"/>
        <v>OK</v>
      </c>
      <c r="AM243" t="str">
        <f t="shared" si="23"/>
        <v>OK</v>
      </c>
      <c r="AN243" s="1">
        <f>IF(AF243=0,0,AH243/AF243)</f>
        <v>0.66666666666666663</v>
      </c>
      <c r="AO243" s="1">
        <f t="shared" si="24"/>
        <v>0.66666666666666663</v>
      </c>
      <c r="AP243" s="1">
        <f t="shared" si="25"/>
        <v>0.66666666666666663</v>
      </c>
      <c r="AQ243" s="1">
        <f t="shared" si="26"/>
        <v>0.66666666666666663</v>
      </c>
    </row>
    <row r="244" spans="1:43"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21"/>
        <v>OK</v>
      </c>
      <c r="AK244" t="str">
        <f t="shared" si="27"/>
        <v>OK</v>
      </c>
      <c r="AL244" t="str">
        <f t="shared" si="22"/>
        <v>OK</v>
      </c>
      <c r="AM244" t="str">
        <f t="shared" si="23"/>
        <v>OK</v>
      </c>
      <c r="AN244" s="1">
        <f>IF(AF244=0,0,AH244/AF244)</f>
        <v>0</v>
      </c>
      <c r="AO244" s="1">
        <f t="shared" si="24"/>
        <v>0</v>
      </c>
      <c r="AP244" s="1">
        <f t="shared" si="25"/>
        <v>2</v>
      </c>
      <c r="AQ244" s="1">
        <f t="shared" si="26"/>
        <v>0</v>
      </c>
    </row>
    <row r="245" spans="1:43"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21"/>
        <v>OK</v>
      </c>
      <c r="AK245" t="str">
        <f t="shared" si="27"/>
        <v>OK</v>
      </c>
      <c r="AL245" t="str">
        <f t="shared" si="22"/>
        <v>OK</v>
      </c>
      <c r="AM245" t="str">
        <f t="shared" si="23"/>
        <v>OK</v>
      </c>
      <c r="AN245" s="1">
        <f>IF(AF245=0,0,AH245/AF245)</f>
        <v>0.44444444444444442</v>
      </c>
      <c r="AO245" s="1">
        <f t="shared" si="24"/>
        <v>0.88888888888888884</v>
      </c>
      <c r="AP245" s="1">
        <f t="shared" si="25"/>
        <v>0.33333333333333331</v>
      </c>
      <c r="AQ245" s="1">
        <f t="shared" si="26"/>
        <v>0.77777777777777779</v>
      </c>
    </row>
    <row r="246" spans="1:43"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21"/>
        <v>OK</v>
      </c>
      <c r="AK246" t="str">
        <f t="shared" si="27"/>
        <v>OK</v>
      </c>
      <c r="AL246" t="str">
        <f t="shared" si="22"/>
        <v>OK</v>
      </c>
      <c r="AM246" t="str">
        <f t="shared" si="23"/>
        <v>OK</v>
      </c>
      <c r="AN246" s="1">
        <f>IF(AF246=0,0,AH246/AF246)</f>
        <v>4.1666666666666664E-2</v>
      </c>
      <c r="AO246" s="1">
        <f t="shared" si="24"/>
        <v>0</v>
      </c>
      <c r="AP246" s="1">
        <f t="shared" si="25"/>
        <v>8.3333333333333329E-2</v>
      </c>
      <c r="AQ246" s="1">
        <f t="shared" si="26"/>
        <v>0.29166666666666669</v>
      </c>
    </row>
    <row r="247" spans="1:43"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21"/>
        <v>OK</v>
      </c>
      <c r="AK247" t="str">
        <f t="shared" si="27"/>
        <v>OK</v>
      </c>
      <c r="AL247" t="str">
        <f t="shared" si="22"/>
        <v>OK</v>
      </c>
      <c r="AM247" t="str">
        <f t="shared" si="23"/>
        <v>OK</v>
      </c>
      <c r="AN247" s="1">
        <f>IF(AF247=0,0,AH247/AF247)</f>
        <v>1</v>
      </c>
      <c r="AO247" s="1">
        <f t="shared" si="24"/>
        <v>1</v>
      </c>
      <c r="AP247" s="1">
        <f t="shared" si="25"/>
        <v>1.5</v>
      </c>
      <c r="AQ247" s="1">
        <f t="shared" si="26"/>
        <v>1</v>
      </c>
    </row>
    <row r="248" spans="1:43"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21"/>
        <v>OK</v>
      </c>
      <c r="AK248" t="str">
        <f t="shared" si="27"/>
        <v>OK</v>
      </c>
      <c r="AL248" t="str">
        <f t="shared" si="22"/>
        <v>OK</v>
      </c>
      <c r="AM248" t="str">
        <f t="shared" si="23"/>
        <v>OK</v>
      </c>
      <c r="AN248" s="1">
        <f>IF(AF248=0,0,AH248/AF248)</f>
        <v>0</v>
      </c>
      <c r="AO248" s="1">
        <f t="shared" si="24"/>
        <v>1</v>
      </c>
      <c r="AP248" s="1">
        <f t="shared" si="25"/>
        <v>1</v>
      </c>
      <c r="AQ248" s="1">
        <f t="shared" si="26"/>
        <v>1</v>
      </c>
    </row>
    <row r="249" spans="1:43"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21"/>
        <v>OK</v>
      </c>
      <c r="AK249" t="str">
        <f t="shared" si="27"/>
        <v>OK</v>
      </c>
      <c r="AL249" t="str">
        <f t="shared" si="22"/>
        <v>OK</v>
      </c>
      <c r="AM249" t="str">
        <f t="shared" si="23"/>
        <v>OK</v>
      </c>
      <c r="AN249" s="1">
        <f>IF(AF249=0,0,AH249/AF249)</f>
        <v>0.45454545454545453</v>
      </c>
      <c r="AO249" s="1">
        <f t="shared" si="24"/>
        <v>0.81818181818181823</v>
      </c>
      <c r="AP249" s="1">
        <f t="shared" si="25"/>
        <v>0.27272727272727271</v>
      </c>
      <c r="AQ249" s="1">
        <f t="shared" si="26"/>
        <v>0.81818181818181823</v>
      </c>
    </row>
    <row r="250" spans="1:43"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21"/>
        <v>OK</v>
      </c>
      <c r="AK250" t="str">
        <f t="shared" si="27"/>
        <v>OK</v>
      </c>
      <c r="AL250" t="str">
        <f t="shared" si="22"/>
        <v>OK</v>
      </c>
      <c r="AM250" t="str">
        <f t="shared" si="23"/>
        <v>OK</v>
      </c>
      <c r="AN250" s="1">
        <f>IF(AF250=0,0,AH250/AF250)</f>
        <v>0</v>
      </c>
      <c r="AO250" s="1">
        <f t="shared" si="24"/>
        <v>0.33333333333333331</v>
      </c>
      <c r="AP250" s="1">
        <f t="shared" si="25"/>
        <v>0.66666666666666663</v>
      </c>
      <c r="AQ250" s="1">
        <f t="shared" si="26"/>
        <v>0.66666666666666663</v>
      </c>
    </row>
    <row r="251" spans="1:43"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21"/>
        <v>OK</v>
      </c>
      <c r="AK251" t="str">
        <f t="shared" si="27"/>
        <v>OK</v>
      </c>
      <c r="AL251" t="str">
        <f t="shared" si="22"/>
        <v>OK</v>
      </c>
      <c r="AM251" t="str">
        <f t="shared" si="23"/>
        <v>OK</v>
      </c>
      <c r="AN251" s="1">
        <f>IF(AF251=0,0,AH251/AF251)</f>
        <v>0</v>
      </c>
      <c r="AO251" s="1">
        <f t="shared" si="24"/>
        <v>0.66666666666666663</v>
      </c>
      <c r="AP251" s="1">
        <f t="shared" si="25"/>
        <v>0.33333333333333331</v>
      </c>
      <c r="AQ251" s="1">
        <f t="shared" si="26"/>
        <v>0.66666666666666663</v>
      </c>
    </row>
    <row r="252" spans="1:43"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21"/>
        <v>OK</v>
      </c>
      <c r="AK252" t="str">
        <f t="shared" si="27"/>
        <v>OK</v>
      </c>
      <c r="AL252" t="str">
        <f t="shared" si="22"/>
        <v>OK</v>
      </c>
      <c r="AM252" t="str">
        <f t="shared" si="23"/>
        <v>OK</v>
      </c>
      <c r="AN252" s="1">
        <f>IF(AF252=0,0,AH252/AF252)</f>
        <v>0</v>
      </c>
      <c r="AO252" s="1">
        <f t="shared" si="24"/>
        <v>0</v>
      </c>
      <c r="AP252" s="1">
        <f t="shared" si="25"/>
        <v>5</v>
      </c>
      <c r="AQ252" s="1">
        <f t="shared" si="26"/>
        <v>0</v>
      </c>
    </row>
    <row r="253" spans="1:43"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21"/>
        <v>OK</v>
      </c>
      <c r="AK253" t="str">
        <f t="shared" si="27"/>
        <v>OK</v>
      </c>
      <c r="AL253" t="str">
        <f t="shared" si="22"/>
        <v>OK</v>
      </c>
      <c r="AM253" t="str">
        <f t="shared" si="23"/>
        <v>OK</v>
      </c>
      <c r="AN253" s="1">
        <f>IF(AF253=0,0,AH253/AF253)</f>
        <v>0.57894736842105265</v>
      </c>
      <c r="AO253" s="1">
        <f t="shared" si="24"/>
        <v>0.31578947368421051</v>
      </c>
      <c r="AP253" s="1">
        <f t="shared" si="25"/>
        <v>5.2631578947368418E-2</v>
      </c>
      <c r="AQ253" s="1">
        <f t="shared" si="26"/>
        <v>0.42105263157894735</v>
      </c>
    </row>
    <row r="254" spans="1:43"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21"/>
        <v>OK</v>
      </c>
      <c r="AK254" t="str">
        <f t="shared" si="27"/>
        <v>OK</v>
      </c>
      <c r="AL254" t="str">
        <f t="shared" si="22"/>
        <v>OK</v>
      </c>
      <c r="AM254" t="str">
        <f t="shared" si="23"/>
        <v>OK</v>
      </c>
      <c r="AN254" s="1">
        <f>IF(AF254=0,0,AH254/AF254)</f>
        <v>0.16666666666666666</v>
      </c>
      <c r="AO254" s="1">
        <f t="shared" si="24"/>
        <v>0.83333333333333337</v>
      </c>
      <c r="AP254" s="1">
        <f t="shared" si="25"/>
        <v>0.16666666666666666</v>
      </c>
      <c r="AQ254" s="1">
        <f t="shared" si="26"/>
        <v>0.83333333333333337</v>
      </c>
    </row>
    <row r="255" spans="1:43"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21"/>
        <v>OK</v>
      </c>
      <c r="AK255" t="str">
        <f t="shared" si="27"/>
        <v>OK</v>
      </c>
      <c r="AL255" t="str">
        <f t="shared" si="22"/>
        <v>OK</v>
      </c>
      <c r="AM255" t="str">
        <f t="shared" si="23"/>
        <v>OK</v>
      </c>
      <c r="AN255" s="1">
        <f>IF(AF255=0,0,AH255/AF255)</f>
        <v>0</v>
      </c>
      <c r="AO255" s="1">
        <f t="shared" si="24"/>
        <v>0.66666666666666663</v>
      </c>
      <c r="AP255" s="1">
        <f t="shared" si="25"/>
        <v>0.33333333333333331</v>
      </c>
      <c r="AQ255" s="1">
        <f t="shared" si="26"/>
        <v>0.66666666666666663</v>
      </c>
    </row>
    <row r="256" spans="1:43"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21"/>
        <v>OK</v>
      </c>
      <c r="AK256" t="str">
        <f t="shared" si="27"/>
        <v>OK</v>
      </c>
      <c r="AL256" t="str">
        <f t="shared" si="22"/>
        <v>OK</v>
      </c>
      <c r="AM256" t="str">
        <f t="shared" si="23"/>
        <v>OK</v>
      </c>
      <c r="AN256" s="1">
        <f>IF(AF256=0,0,AH256/AF256)</f>
        <v>0</v>
      </c>
      <c r="AO256" s="1">
        <f t="shared" si="24"/>
        <v>0.66666666666666663</v>
      </c>
      <c r="AP256" s="1">
        <f t="shared" si="25"/>
        <v>0.66666666666666663</v>
      </c>
      <c r="AQ256" s="1">
        <f t="shared" si="26"/>
        <v>0.66666666666666663</v>
      </c>
    </row>
    <row r="257" spans="1:43"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21"/>
        <v>OK</v>
      </c>
      <c r="AK257" t="str">
        <f t="shared" si="27"/>
        <v>OK</v>
      </c>
      <c r="AL257" t="str">
        <f t="shared" si="22"/>
        <v>OK</v>
      </c>
      <c r="AM257" t="str">
        <f t="shared" si="23"/>
        <v>OK</v>
      </c>
      <c r="AN257" s="1">
        <f>IF(AF257=0,0,AH257/AF257)</f>
        <v>0.25</v>
      </c>
      <c r="AO257" s="1">
        <f t="shared" si="24"/>
        <v>0.5</v>
      </c>
      <c r="AP257" s="1">
        <f t="shared" si="25"/>
        <v>0.75</v>
      </c>
      <c r="AQ257" s="1">
        <f t="shared" si="26"/>
        <v>0.5</v>
      </c>
    </row>
    <row r="258" spans="1:43"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si="21"/>
        <v>OK</v>
      </c>
      <c r="AK258" t="str">
        <f t="shared" si="27"/>
        <v>OK</v>
      </c>
      <c r="AL258" t="str">
        <f t="shared" si="22"/>
        <v>OK</v>
      </c>
      <c r="AM258" t="str">
        <f t="shared" si="23"/>
        <v>OK</v>
      </c>
      <c r="AN258" s="1">
        <f>IF(AF258=0,0,AH258/AF258)</f>
        <v>0.77777777777777779</v>
      </c>
      <c r="AO258" s="1">
        <f t="shared" si="24"/>
        <v>0.66666666666666663</v>
      </c>
      <c r="AP258" s="1">
        <f t="shared" si="25"/>
        <v>0.44444444444444442</v>
      </c>
      <c r="AQ258" s="1">
        <f t="shared" si="26"/>
        <v>0.88888888888888884</v>
      </c>
    </row>
    <row r="259" spans="1:43"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ref="AJ259:AJ322" si="28">IF(AF259&lt;=AC259, "OK", "ERROR")</f>
        <v>OK</v>
      </c>
      <c r="AK259" t="str">
        <f t="shared" si="27"/>
        <v>OK</v>
      </c>
      <c r="AL259" t="str">
        <f t="shared" ref="AL259:AL322" si="29">IF(AG259&lt;=AF259,"OK","ERROR")</f>
        <v>OK</v>
      </c>
      <c r="AM259" t="str">
        <f t="shared" ref="AM259:AM322" si="30">IF(AI259&lt;=AF259,"OK","ERROR")</f>
        <v>OK</v>
      </c>
      <c r="AN259" s="1">
        <f>IF(AF259=0,0,AH259/AF259)</f>
        <v>0.14285714285714285</v>
      </c>
      <c r="AO259" s="1">
        <f t="shared" ref="AO259:AO322" si="31">IF(AF259=0,0,AG259/AF259)</f>
        <v>0.33333333333333331</v>
      </c>
      <c r="AP259" s="1">
        <f t="shared" ref="AP259:AP322" si="32">IF(AF259=0,0,AD259/AF259)</f>
        <v>0.23809523809523808</v>
      </c>
      <c r="AQ259" s="1">
        <f t="shared" ref="AQ259:AQ322" si="33">IF(AF259=0,0,AI259/AF259)</f>
        <v>0.42857142857142855</v>
      </c>
    </row>
    <row r="260" spans="1:43"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28"/>
        <v>OK</v>
      </c>
      <c r="AK260" t="str">
        <f t="shared" ref="AK260:AK323" si="34">IF(AH260&lt;=AF260,"OK", "ERROR")</f>
        <v>OK</v>
      </c>
      <c r="AL260" t="str">
        <f t="shared" si="29"/>
        <v>OK</v>
      </c>
      <c r="AM260" t="str">
        <f t="shared" si="30"/>
        <v>OK</v>
      </c>
      <c r="AN260" s="1">
        <f>IF(AF260=0,0,AH260/AF260)</f>
        <v>0</v>
      </c>
      <c r="AO260" s="1">
        <f t="shared" si="31"/>
        <v>0</v>
      </c>
      <c r="AP260" s="1">
        <f t="shared" si="32"/>
        <v>0</v>
      </c>
      <c r="AQ260" s="1">
        <f t="shared" si="33"/>
        <v>0</v>
      </c>
    </row>
    <row r="261" spans="1:43"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28"/>
        <v>OK</v>
      </c>
      <c r="AK261" t="str">
        <f t="shared" si="34"/>
        <v>OK</v>
      </c>
      <c r="AL261" t="str">
        <f t="shared" si="29"/>
        <v>OK</v>
      </c>
      <c r="AM261" t="str">
        <f t="shared" si="30"/>
        <v>OK</v>
      </c>
      <c r="AN261" s="1">
        <f>IF(AF261=0,0,AH261/AF261)</f>
        <v>0.2</v>
      </c>
      <c r="AO261" s="1">
        <f t="shared" si="31"/>
        <v>0.8</v>
      </c>
      <c r="AP261" s="1">
        <f t="shared" si="32"/>
        <v>0.4</v>
      </c>
      <c r="AQ261" s="1">
        <f t="shared" si="33"/>
        <v>0.8</v>
      </c>
    </row>
    <row r="262" spans="1:43"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28"/>
        <v>OK</v>
      </c>
      <c r="AK262" t="str">
        <f t="shared" si="34"/>
        <v>OK</v>
      </c>
      <c r="AL262" t="str">
        <f t="shared" si="29"/>
        <v>OK</v>
      </c>
      <c r="AM262" t="str">
        <f t="shared" si="30"/>
        <v>OK</v>
      </c>
      <c r="AN262" s="1">
        <f>IF(AF262=0,0,AH262/AF262)</f>
        <v>0</v>
      </c>
      <c r="AO262" s="1">
        <f t="shared" si="31"/>
        <v>0.2</v>
      </c>
      <c r="AP262" s="1">
        <f t="shared" si="32"/>
        <v>0.6</v>
      </c>
      <c r="AQ262" s="1">
        <f t="shared" si="33"/>
        <v>0.6</v>
      </c>
    </row>
    <row r="263" spans="1:43"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28"/>
        <v>OK</v>
      </c>
      <c r="AK263" t="str">
        <f t="shared" si="34"/>
        <v>OK</v>
      </c>
      <c r="AL263" t="str">
        <f t="shared" si="29"/>
        <v>OK</v>
      </c>
      <c r="AM263" t="str">
        <f t="shared" si="30"/>
        <v>OK</v>
      </c>
      <c r="AN263" s="1">
        <f>IF(AF263=0,0,AH263/AF263)</f>
        <v>0.875</v>
      </c>
      <c r="AO263" s="1">
        <f t="shared" si="31"/>
        <v>0.875</v>
      </c>
      <c r="AP263" s="1">
        <f t="shared" si="32"/>
        <v>0</v>
      </c>
      <c r="AQ263" s="1">
        <f t="shared" si="33"/>
        <v>0.625</v>
      </c>
    </row>
    <row r="264" spans="1:43"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28"/>
        <v>OK</v>
      </c>
      <c r="AK264" t="str">
        <f t="shared" si="34"/>
        <v>OK</v>
      </c>
      <c r="AL264" t="str">
        <f t="shared" si="29"/>
        <v>OK</v>
      </c>
      <c r="AM264" t="str">
        <f t="shared" si="30"/>
        <v>OK</v>
      </c>
      <c r="AN264" s="1">
        <f>IF(AF264=0,0,AH264/AF264)</f>
        <v>0</v>
      </c>
      <c r="AO264" s="1">
        <f t="shared" si="31"/>
        <v>0.33333333333333331</v>
      </c>
      <c r="AP264" s="1">
        <f t="shared" si="32"/>
        <v>0.83333333333333337</v>
      </c>
      <c r="AQ264" s="1">
        <f t="shared" si="33"/>
        <v>0.66666666666666663</v>
      </c>
    </row>
    <row r="265" spans="1:43"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28"/>
        <v>OK</v>
      </c>
      <c r="AK265" t="str">
        <f t="shared" si="34"/>
        <v>OK</v>
      </c>
      <c r="AL265" t="str">
        <f t="shared" si="29"/>
        <v>OK</v>
      </c>
      <c r="AM265" t="str">
        <f t="shared" si="30"/>
        <v>OK</v>
      </c>
      <c r="AN265" s="1">
        <f>IF(AF265=0,0,AH265/AF265)</f>
        <v>1</v>
      </c>
      <c r="AO265" s="1">
        <f t="shared" si="31"/>
        <v>1</v>
      </c>
      <c r="AP265" s="1">
        <f t="shared" si="32"/>
        <v>0.2857142857142857</v>
      </c>
      <c r="AQ265" s="1">
        <f t="shared" si="33"/>
        <v>1</v>
      </c>
    </row>
    <row r="266" spans="1:43"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28"/>
        <v>OK</v>
      </c>
      <c r="AK266" t="str">
        <f t="shared" si="34"/>
        <v>OK</v>
      </c>
      <c r="AL266" t="str">
        <f t="shared" si="29"/>
        <v>OK</v>
      </c>
      <c r="AM266" t="str">
        <f t="shared" si="30"/>
        <v>OK</v>
      </c>
      <c r="AN266" s="1">
        <f>IF(AF266=0,0,AH266/AF266)</f>
        <v>0</v>
      </c>
      <c r="AO266" s="1">
        <f t="shared" si="31"/>
        <v>0</v>
      </c>
      <c r="AP266" s="1">
        <f t="shared" si="32"/>
        <v>0</v>
      </c>
      <c r="AQ266" s="1">
        <f t="shared" si="33"/>
        <v>0</v>
      </c>
    </row>
    <row r="267" spans="1:43"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28"/>
        <v>OK</v>
      </c>
      <c r="AK267" t="str">
        <f t="shared" si="34"/>
        <v>OK</v>
      </c>
      <c r="AL267" t="str">
        <f t="shared" si="29"/>
        <v>OK</v>
      </c>
      <c r="AM267" t="str">
        <f t="shared" si="30"/>
        <v>OK</v>
      </c>
      <c r="AN267" s="1">
        <f>IF(AF267=0,0,AH267/AF267)</f>
        <v>0</v>
      </c>
      <c r="AO267" s="1">
        <f t="shared" si="31"/>
        <v>0</v>
      </c>
      <c r="AP267" s="1">
        <f t="shared" si="32"/>
        <v>0</v>
      </c>
      <c r="AQ267" s="1">
        <f t="shared" si="33"/>
        <v>0</v>
      </c>
    </row>
    <row r="268" spans="1:43"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28"/>
        <v>OK</v>
      </c>
      <c r="AK268" t="str">
        <f t="shared" si="34"/>
        <v>OK</v>
      </c>
      <c r="AL268" t="str">
        <f t="shared" si="29"/>
        <v>OK</v>
      </c>
      <c r="AM268" t="str">
        <f t="shared" si="30"/>
        <v>OK</v>
      </c>
      <c r="AN268" s="1">
        <f>IF(AF268=0,0,AH268/AF268)</f>
        <v>0.77777777777777779</v>
      </c>
      <c r="AO268" s="1">
        <f t="shared" si="31"/>
        <v>0</v>
      </c>
      <c r="AP268" s="1">
        <f t="shared" si="32"/>
        <v>0.22222222222222221</v>
      </c>
      <c r="AQ268" s="1">
        <f t="shared" si="33"/>
        <v>0.88888888888888884</v>
      </c>
    </row>
    <row r="269" spans="1:43"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28"/>
        <v>OK</v>
      </c>
      <c r="AK269" t="str">
        <f t="shared" si="34"/>
        <v>OK</v>
      </c>
      <c r="AL269" t="str">
        <f t="shared" si="29"/>
        <v>OK</v>
      </c>
      <c r="AM269" t="str">
        <f t="shared" si="30"/>
        <v>OK</v>
      </c>
      <c r="AN269" s="1">
        <f>IF(AF269=0,0,AH269/AF269)</f>
        <v>0.16666666666666666</v>
      </c>
      <c r="AO269" s="1">
        <f t="shared" si="31"/>
        <v>0.5</v>
      </c>
      <c r="AP269" s="1">
        <f t="shared" si="32"/>
        <v>0.33333333333333331</v>
      </c>
      <c r="AQ269" s="1">
        <f t="shared" si="33"/>
        <v>0.83333333333333337</v>
      </c>
    </row>
    <row r="270" spans="1:43"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28"/>
        <v>OK</v>
      </c>
      <c r="AK270" t="str">
        <f t="shared" si="34"/>
        <v>OK</v>
      </c>
      <c r="AL270" t="str">
        <f t="shared" si="29"/>
        <v>OK</v>
      </c>
      <c r="AM270" t="str">
        <f t="shared" si="30"/>
        <v>OK</v>
      </c>
      <c r="AN270" s="1">
        <f>IF(AF270=0,0,AH270/AF270)</f>
        <v>0.2</v>
      </c>
      <c r="AO270" s="1">
        <f t="shared" si="31"/>
        <v>0.35</v>
      </c>
      <c r="AP270" s="1">
        <f t="shared" si="32"/>
        <v>0.1</v>
      </c>
      <c r="AQ270" s="1">
        <f t="shared" si="33"/>
        <v>0.5</v>
      </c>
    </row>
    <row r="271" spans="1:43"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28"/>
        <v>OK</v>
      </c>
      <c r="AK271" t="str">
        <f t="shared" si="34"/>
        <v>OK</v>
      </c>
      <c r="AL271" t="str">
        <f t="shared" si="29"/>
        <v>OK</v>
      </c>
      <c r="AM271" t="str">
        <f t="shared" si="30"/>
        <v>OK</v>
      </c>
      <c r="AN271" s="1">
        <f>IF(AF271=0,0,AH271/AF271)</f>
        <v>0.66666666666666663</v>
      </c>
      <c r="AO271" s="1">
        <f t="shared" si="31"/>
        <v>0.8666666666666667</v>
      </c>
      <c r="AP271" s="1">
        <f t="shared" si="32"/>
        <v>0.26666666666666666</v>
      </c>
      <c r="AQ271" s="1">
        <f t="shared" si="33"/>
        <v>0.73333333333333328</v>
      </c>
    </row>
    <row r="272" spans="1:43"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28"/>
        <v>OK</v>
      </c>
      <c r="AK272" t="str">
        <f t="shared" si="34"/>
        <v>OK</v>
      </c>
      <c r="AL272" t="str">
        <f t="shared" si="29"/>
        <v>OK</v>
      </c>
      <c r="AM272" t="str">
        <f t="shared" si="30"/>
        <v>OK</v>
      </c>
      <c r="AN272" s="1">
        <f>IF(AF272=0,0,AH272/AF272)</f>
        <v>0.1111111111111111</v>
      </c>
      <c r="AO272" s="1">
        <f t="shared" si="31"/>
        <v>0.27777777777777779</v>
      </c>
      <c r="AP272" s="1">
        <f t="shared" si="32"/>
        <v>5.5555555555555552E-2</v>
      </c>
      <c r="AQ272" s="1">
        <f t="shared" si="33"/>
        <v>0.3611111111111111</v>
      </c>
    </row>
    <row r="273" spans="1:43"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28"/>
        <v>OK</v>
      </c>
      <c r="AK273" t="str">
        <f t="shared" si="34"/>
        <v>OK</v>
      </c>
      <c r="AL273" t="str">
        <f t="shared" si="29"/>
        <v>OK</v>
      </c>
      <c r="AM273" t="str">
        <f t="shared" si="30"/>
        <v>OK</v>
      </c>
      <c r="AN273" s="1">
        <f>IF(AF273=0,0,AH273/AF273)</f>
        <v>0.9</v>
      </c>
      <c r="AO273" s="1">
        <f t="shared" si="31"/>
        <v>0.7</v>
      </c>
      <c r="AP273" s="1">
        <f t="shared" si="32"/>
        <v>0.2</v>
      </c>
      <c r="AQ273" s="1">
        <f t="shared" si="33"/>
        <v>0.9</v>
      </c>
    </row>
    <row r="274" spans="1:43"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28"/>
        <v>OK</v>
      </c>
      <c r="AK274" t="str">
        <f t="shared" si="34"/>
        <v>OK</v>
      </c>
      <c r="AL274" t="str">
        <f t="shared" si="29"/>
        <v>OK</v>
      </c>
      <c r="AM274" t="str">
        <f t="shared" si="30"/>
        <v>OK</v>
      </c>
      <c r="AN274" s="1">
        <f>IF(AF274=0,0,AH274/AF274)</f>
        <v>0</v>
      </c>
      <c r="AO274" s="1">
        <f t="shared" si="31"/>
        <v>0.4</v>
      </c>
      <c r="AP274" s="1">
        <f t="shared" si="32"/>
        <v>0.6</v>
      </c>
      <c r="AQ274" s="1">
        <f t="shared" si="33"/>
        <v>0.8</v>
      </c>
    </row>
    <row r="275" spans="1:43"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28"/>
        <v>OK</v>
      </c>
      <c r="AK275" t="str">
        <f t="shared" si="34"/>
        <v>OK</v>
      </c>
      <c r="AL275" t="str">
        <f t="shared" si="29"/>
        <v>OK</v>
      </c>
      <c r="AM275" t="str">
        <f t="shared" si="30"/>
        <v>OK</v>
      </c>
      <c r="AN275" s="1">
        <f>IF(AF275=0,0,AH275/AF275)</f>
        <v>0</v>
      </c>
      <c r="AO275" s="1">
        <f t="shared" si="31"/>
        <v>0.8</v>
      </c>
      <c r="AP275" s="1">
        <f t="shared" si="32"/>
        <v>1</v>
      </c>
      <c r="AQ275" s="1">
        <f t="shared" si="33"/>
        <v>0.2</v>
      </c>
    </row>
    <row r="276" spans="1:43"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28"/>
        <v>OK</v>
      </c>
      <c r="AK276" t="str">
        <f t="shared" si="34"/>
        <v>OK</v>
      </c>
      <c r="AL276" t="str">
        <f t="shared" si="29"/>
        <v>OK</v>
      </c>
      <c r="AM276" t="str">
        <f t="shared" si="30"/>
        <v>OK</v>
      </c>
      <c r="AN276" s="1">
        <f>IF(AF276=0,0,AH276/AF276)</f>
        <v>0.33333333333333331</v>
      </c>
      <c r="AO276" s="1">
        <f t="shared" si="31"/>
        <v>0.66666666666666663</v>
      </c>
      <c r="AP276" s="1">
        <f t="shared" si="32"/>
        <v>1.3333333333333333</v>
      </c>
      <c r="AQ276" s="1">
        <f t="shared" si="33"/>
        <v>0</v>
      </c>
    </row>
    <row r="277" spans="1:43"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28"/>
        <v>OK</v>
      </c>
      <c r="AK277" t="str">
        <f t="shared" si="34"/>
        <v>OK</v>
      </c>
      <c r="AL277" t="str">
        <f t="shared" si="29"/>
        <v>OK</v>
      </c>
      <c r="AM277" t="str">
        <f t="shared" si="30"/>
        <v>OK</v>
      </c>
      <c r="AN277" s="1">
        <f>IF(AF277=0,0,AH277/AF277)</f>
        <v>0</v>
      </c>
      <c r="AO277" s="1">
        <f t="shared" si="31"/>
        <v>0.4</v>
      </c>
      <c r="AP277" s="1">
        <f t="shared" si="32"/>
        <v>0.4</v>
      </c>
      <c r="AQ277" s="1">
        <f t="shared" si="33"/>
        <v>0.4</v>
      </c>
    </row>
    <row r="278" spans="1:43"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28"/>
        <v>OK</v>
      </c>
      <c r="AK278" t="str">
        <f t="shared" si="34"/>
        <v>OK</v>
      </c>
      <c r="AL278" t="str">
        <f t="shared" si="29"/>
        <v>OK</v>
      </c>
      <c r="AM278" t="str">
        <f t="shared" si="30"/>
        <v>OK</v>
      </c>
      <c r="AN278" s="1">
        <f>IF(AF278=0,0,AH278/AF278)</f>
        <v>0.8571428571428571</v>
      </c>
      <c r="AO278" s="1">
        <f t="shared" si="31"/>
        <v>1</v>
      </c>
      <c r="AP278" s="1">
        <f t="shared" si="32"/>
        <v>0.8571428571428571</v>
      </c>
      <c r="AQ278" s="1">
        <f t="shared" si="33"/>
        <v>0.2857142857142857</v>
      </c>
    </row>
    <row r="279" spans="1:43"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28"/>
        <v>OK</v>
      </c>
      <c r="AK279" t="str">
        <f t="shared" si="34"/>
        <v>OK</v>
      </c>
      <c r="AL279" t="str">
        <f t="shared" si="29"/>
        <v>OK</v>
      </c>
      <c r="AM279" t="str">
        <f t="shared" si="30"/>
        <v>OK</v>
      </c>
      <c r="AN279" s="1">
        <f>IF(AF279=0,0,AH279/AF279)</f>
        <v>0.875</v>
      </c>
      <c r="AO279" s="1">
        <f t="shared" si="31"/>
        <v>0</v>
      </c>
      <c r="AP279" s="1">
        <f t="shared" si="32"/>
        <v>0.375</v>
      </c>
      <c r="AQ279" s="1">
        <f t="shared" si="33"/>
        <v>0.875</v>
      </c>
    </row>
    <row r="280" spans="1:43"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28"/>
        <v>OK</v>
      </c>
      <c r="AK280" t="str">
        <f t="shared" si="34"/>
        <v>OK</v>
      </c>
      <c r="AL280" t="str">
        <f t="shared" si="29"/>
        <v>OK</v>
      </c>
      <c r="AM280" t="str">
        <f t="shared" si="30"/>
        <v>OK</v>
      </c>
      <c r="AN280" s="1">
        <f>IF(AF280=0,0,AH280/AF280)</f>
        <v>0.16666666666666666</v>
      </c>
      <c r="AO280" s="1">
        <f t="shared" si="31"/>
        <v>0.83333333333333337</v>
      </c>
      <c r="AP280" s="1">
        <f t="shared" si="32"/>
        <v>1</v>
      </c>
      <c r="AQ280" s="1">
        <f t="shared" si="33"/>
        <v>0.66666666666666663</v>
      </c>
    </row>
    <row r="281" spans="1:43"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28"/>
        <v>OK</v>
      </c>
      <c r="AK281" t="str">
        <f t="shared" si="34"/>
        <v>OK</v>
      </c>
      <c r="AL281" t="str">
        <f t="shared" si="29"/>
        <v>OK</v>
      </c>
      <c r="AM281" t="str">
        <f t="shared" si="30"/>
        <v>OK</v>
      </c>
      <c r="AN281" s="1">
        <f>IF(AF281=0,0,AH281/AF281)</f>
        <v>0.1</v>
      </c>
      <c r="AO281" s="1">
        <f t="shared" si="31"/>
        <v>0.4</v>
      </c>
      <c r="AP281" s="1">
        <f t="shared" si="32"/>
        <v>0.4</v>
      </c>
      <c r="AQ281" s="1">
        <f t="shared" si="33"/>
        <v>0.6</v>
      </c>
    </row>
    <row r="282" spans="1:43"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28"/>
        <v>OK</v>
      </c>
      <c r="AK282" t="str">
        <f t="shared" si="34"/>
        <v>OK</v>
      </c>
      <c r="AL282" t="str">
        <f t="shared" si="29"/>
        <v>OK</v>
      </c>
      <c r="AM282" t="str">
        <f t="shared" si="30"/>
        <v>OK</v>
      </c>
      <c r="AN282" s="1">
        <f>IF(AF282=0,0,AH282/AF282)</f>
        <v>0.2</v>
      </c>
      <c r="AO282" s="1">
        <f t="shared" si="31"/>
        <v>0.6</v>
      </c>
      <c r="AP282" s="1">
        <f t="shared" si="32"/>
        <v>1</v>
      </c>
      <c r="AQ282" s="1">
        <f t="shared" si="33"/>
        <v>0.6</v>
      </c>
    </row>
    <row r="283" spans="1:43"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28"/>
        <v>OK</v>
      </c>
      <c r="AK283" t="str">
        <f t="shared" si="34"/>
        <v>OK</v>
      </c>
      <c r="AL283" t="str">
        <f t="shared" si="29"/>
        <v>OK</v>
      </c>
      <c r="AM283" t="str">
        <f t="shared" si="30"/>
        <v>OK</v>
      </c>
      <c r="AN283" s="1">
        <f>IF(AF283=0,0,AH283/AF283)</f>
        <v>0.55000000000000004</v>
      </c>
      <c r="AO283" s="1">
        <f t="shared" si="31"/>
        <v>0.8</v>
      </c>
      <c r="AP283" s="1">
        <f t="shared" si="32"/>
        <v>0.15</v>
      </c>
      <c r="AQ283" s="1">
        <f t="shared" si="33"/>
        <v>0.3</v>
      </c>
    </row>
    <row r="284" spans="1:43"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28"/>
        <v>OK</v>
      </c>
      <c r="AK284" t="str">
        <f t="shared" si="34"/>
        <v>OK</v>
      </c>
      <c r="AL284" t="str">
        <f t="shared" si="29"/>
        <v>OK</v>
      </c>
      <c r="AM284" t="str">
        <f t="shared" si="30"/>
        <v>OK</v>
      </c>
      <c r="AN284" s="1">
        <f>IF(AF284=0,0,AH284/AF284)</f>
        <v>0</v>
      </c>
      <c r="AO284" s="1">
        <f t="shared" si="31"/>
        <v>0.7</v>
      </c>
      <c r="AP284" s="1">
        <f t="shared" si="32"/>
        <v>0.3</v>
      </c>
      <c r="AQ284" s="1">
        <f t="shared" si="33"/>
        <v>0.9</v>
      </c>
    </row>
    <row r="285" spans="1:43"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28"/>
        <v>OK</v>
      </c>
      <c r="AK285" t="str">
        <f t="shared" si="34"/>
        <v>OK</v>
      </c>
      <c r="AL285" t="str">
        <f t="shared" si="29"/>
        <v>OK</v>
      </c>
      <c r="AM285" t="str">
        <f t="shared" si="30"/>
        <v>OK</v>
      </c>
      <c r="AN285" s="1">
        <f>IF(AF285=0,0,AH285/AF285)</f>
        <v>0</v>
      </c>
      <c r="AO285" s="1">
        <f t="shared" si="31"/>
        <v>0.7</v>
      </c>
      <c r="AP285" s="1">
        <f t="shared" si="32"/>
        <v>0.4</v>
      </c>
      <c r="AQ285" s="1">
        <f t="shared" si="33"/>
        <v>0.8</v>
      </c>
    </row>
    <row r="286" spans="1:43"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28"/>
        <v>OK</v>
      </c>
      <c r="AK286" t="str">
        <f t="shared" si="34"/>
        <v>OK</v>
      </c>
      <c r="AL286" t="str">
        <f t="shared" si="29"/>
        <v>OK</v>
      </c>
      <c r="AM286" t="str">
        <f t="shared" si="30"/>
        <v>OK</v>
      </c>
      <c r="AN286" s="1">
        <f>IF(AF286=0,0,AH286/AF286)</f>
        <v>0.6</v>
      </c>
      <c r="AO286" s="1">
        <f t="shared" si="31"/>
        <v>0.6</v>
      </c>
      <c r="AP286" s="1">
        <f t="shared" si="32"/>
        <v>0.6</v>
      </c>
      <c r="AQ286" s="1">
        <f t="shared" si="33"/>
        <v>0.6</v>
      </c>
    </row>
    <row r="287" spans="1:43"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28"/>
        <v>OK</v>
      </c>
      <c r="AK287" t="str">
        <f t="shared" si="34"/>
        <v>OK</v>
      </c>
      <c r="AL287" t="str">
        <f t="shared" si="29"/>
        <v>OK</v>
      </c>
      <c r="AM287" t="str">
        <f t="shared" si="30"/>
        <v>OK</v>
      </c>
      <c r="AN287" s="1">
        <f>IF(AF287=0,0,AH287/AF287)</f>
        <v>0.29411764705882354</v>
      </c>
      <c r="AO287" s="1">
        <f t="shared" si="31"/>
        <v>0.70588235294117652</v>
      </c>
      <c r="AP287" s="1">
        <f t="shared" si="32"/>
        <v>0.17647058823529413</v>
      </c>
      <c r="AQ287" s="1">
        <f t="shared" si="33"/>
        <v>0.41176470588235292</v>
      </c>
    </row>
    <row r="288" spans="1:43"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28"/>
        <v>OK</v>
      </c>
      <c r="AK288" t="str">
        <f t="shared" si="34"/>
        <v>OK</v>
      </c>
      <c r="AL288" t="str">
        <f t="shared" si="29"/>
        <v>OK</v>
      </c>
      <c r="AM288" t="str">
        <f t="shared" si="30"/>
        <v>OK</v>
      </c>
      <c r="AN288" s="1">
        <f>IF(AF288=0,0,AH288/AF288)</f>
        <v>0</v>
      </c>
      <c r="AO288" s="1">
        <f t="shared" si="31"/>
        <v>0</v>
      </c>
      <c r="AP288" s="1">
        <f t="shared" si="32"/>
        <v>0</v>
      </c>
      <c r="AQ288" s="1">
        <f t="shared" si="33"/>
        <v>0</v>
      </c>
    </row>
    <row r="289" spans="1:43"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28"/>
        <v>OK</v>
      </c>
      <c r="AK289" t="str">
        <f t="shared" si="34"/>
        <v>OK</v>
      </c>
      <c r="AL289" t="str">
        <f t="shared" si="29"/>
        <v>OK</v>
      </c>
      <c r="AM289" t="str">
        <f t="shared" si="30"/>
        <v>OK</v>
      </c>
      <c r="AN289" s="1">
        <f>IF(AF289=0,0,AH289/AF289)</f>
        <v>0.5</v>
      </c>
      <c r="AO289" s="1">
        <f t="shared" si="31"/>
        <v>1</v>
      </c>
      <c r="AP289" s="1">
        <f t="shared" si="32"/>
        <v>1</v>
      </c>
      <c r="AQ289" s="1">
        <f t="shared" si="33"/>
        <v>1</v>
      </c>
    </row>
    <row r="290" spans="1:43"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28"/>
        <v>OK</v>
      </c>
      <c r="AK290" t="str">
        <f t="shared" si="34"/>
        <v>OK</v>
      </c>
      <c r="AL290" t="str">
        <f t="shared" si="29"/>
        <v>OK</v>
      </c>
      <c r="AM290" t="str">
        <f t="shared" si="30"/>
        <v>OK</v>
      </c>
      <c r="AN290" s="1">
        <f>IF(AF290=0,0,AH290/AF290)</f>
        <v>0</v>
      </c>
      <c r="AO290" s="1">
        <f t="shared" si="31"/>
        <v>0.66666666666666663</v>
      </c>
      <c r="AP290" s="1">
        <f t="shared" si="32"/>
        <v>0.66666666666666663</v>
      </c>
      <c r="AQ290" s="1">
        <f t="shared" si="33"/>
        <v>0.66666666666666663</v>
      </c>
    </row>
    <row r="291" spans="1:43"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28"/>
        <v>OK</v>
      </c>
      <c r="AK291" t="str">
        <f t="shared" si="34"/>
        <v>OK</v>
      </c>
      <c r="AL291" t="str">
        <f t="shared" si="29"/>
        <v>OK</v>
      </c>
      <c r="AM291" t="str">
        <f t="shared" si="30"/>
        <v>OK</v>
      </c>
      <c r="AN291" s="1">
        <f>IF(AF291=0,0,AH291/AF291)</f>
        <v>0</v>
      </c>
      <c r="AO291" s="1">
        <f t="shared" si="31"/>
        <v>0.6</v>
      </c>
      <c r="AP291" s="1">
        <f t="shared" si="32"/>
        <v>0.6</v>
      </c>
      <c r="AQ291" s="1">
        <f t="shared" si="33"/>
        <v>0.4</v>
      </c>
    </row>
    <row r="292" spans="1:43"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28"/>
        <v>OK</v>
      </c>
      <c r="AK292" t="str">
        <f t="shared" si="34"/>
        <v>OK</v>
      </c>
      <c r="AL292" t="str">
        <f t="shared" si="29"/>
        <v>OK</v>
      </c>
      <c r="AM292" t="str">
        <f t="shared" si="30"/>
        <v>OK</v>
      </c>
      <c r="AN292" s="1">
        <f>IF(AF292=0,0,AH292/AF292)</f>
        <v>0.33333333333333331</v>
      </c>
      <c r="AO292" s="1">
        <f t="shared" si="31"/>
        <v>0.66666666666666663</v>
      </c>
      <c r="AP292" s="1">
        <f t="shared" si="32"/>
        <v>1.3333333333333333</v>
      </c>
      <c r="AQ292" s="1">
        <f t="shared" si="33"/>
        <v>0.66666666666666663</v>
      </c>
    </row>
    <row r="293" spans="1:43"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28"/>
        <v>OK</v>
      </c>
      <c r="AK293" t="str">
        <f t="shared" si="34"/>
        <v>OK</v>
      </c>
      <c r="AL293" t="str">
        <f t="shared" si="29"/>
        <v>OK</v>
      </c>
      <c r="AM293" t="str">
        <f t="shared" si="30"/>
        <v>OK</v>
      </c>
      <c r="AN293" s="1">
        <f>IF(AF293=0,0,AH293/AF293)</f>
        <v>0.875</v>
      </c>
      <c r="AO293" s="1">
        <f t="shared" si="31"/>
        <v>0</v>
      </c>
      <c r="AP293" s="1">
        <f t="shared" si="32"/>
        <v>0.25</v>
      </c>
      <c r="AQ293" s="1">
        <f t="shared" si="33"/>
        <v>0.875</v>
      </c>
    </row>
    <row r="294" spans="1:43"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28"/>
        <v>OK</v>
      </c>
      <c r="AK294" t="str">
        <f t="shared" si="34"/>
        <v>OK</v>
      </c>
      <c r="AL294" t="str">
        <f t="shared" si="29"/>
        <v>OK</v>
      </c>
      <c r="AM294" t="str">
        <f t="shared" si="30"/>
        <v>OK</v>
      </c>
      <c r="AN294" s="1">
        <f>IF(AF294=0,0,AH294/AF294)</f>
        <v>1</v>
      </c>
      <c r="AO294" s="1">
        <f t="shared" si="31"/>
        <v>1</v>
      </c>
      <c r="AP294" s="1">
        <f t="shared" si="32"/>
        <v>2.5</v>
      </c>
      <c r="AQ294" s="1">
        <f t="shared" si="33"/>
        <v>1</v>
      </c>
    </row>
    <row r="295" spans="1:43"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28"/>
        <v>OK</v>
      </c>
      <c r="AK295" t="str">
        <f t="shared" si="34"/>
        <v>OK</v>
      </c>
      <c r="AL295" t="str">
        <f t="shared" si="29"/>
        <v>OK</v>
      </c>
      <c r="AM295" t="str">
        <f t="shared" si="30"/>
        <v>OK</v>
      </c>
      <c r="AN295" s="1">
        <f>IF(AF295=0,0,AH295/AF295)</f>
        <v>0.875</v>
      </c>
      <c r="AO295" s="1">
        <f t="shared" si="31"/>
        <v>0.875</v>
      </c>
      <c r="AP295" s="1">
        <f t="shared" si="32"/>
        <v>0</v>
      </c>
      <c r="AQ295" s="1">
        <f t="shared" si="33"/>
        <v>0.5</v>
      </c>
    </row>
    <row r="296" spans="1:43"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28"/>
        <v>OK</v>
      </c>
      <c r="AK296" t="str">
        <f t="shared" si="34"/>
        <v>OK</v>
      </c>
      <c r="AL296" t="str">
        <f t="shared" si="29"/>
        <v>OK</v>
      </c>
      <c r="AM296" t="str">
        <f t="shared" si="30"/>
        <v>OK</v>
      </c>
      <c r="AN296" s="1">
        <f>IF(AF296=0,0,AH296/AF296)</f>
        <v>0.25</v>
      </c>
      <c r="AO296" s="1">
        <f t="shared" si="31"/>
        <v>0.5</v>
      </c>
      <c r="AP296" s="1">
        <f t="shared" si="32"/>
        <v>0.75</v>
      </c>
      <c r="AQ296" s="1">
        <f t="shared" si="33"/>
        <v>0.5</v>
      </c>
    </row>
    <row r="297" spans="1:43"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28"/>
        <v>OK</v>
      </c>
      <c r="AK297" t="str">
        <f t="shared" si="34"/>
        <v>OK</v>
      </c>
      <c r="AL297" t="str">
        <f t="shared" si="29"/>
        <v>OK</v>
      </c>
      <c r="AM297" t="str">
        <f t="shared" si="30"/>
        <v>OK</v>
      </c>
      <c r="AN297" s="1">
        <f>IF(AF297=0,0,AH297/AF297)</f>
        <v>0.2</v>
      </c>
      <c r="AO297" s="1">
        <f t="shared" si="31"/>
        <v>0.2</v>
      </c>
      <c r="AP297" s="1">
        <f t="shared" si="32"/>
        <v>0.1</v>
      </c>
      <c r="AQ297" s="1">
        <f t="shared" si="33"/>
        <v>0.4</v>
      </c>
    </row>
    <row r="298" spans="1:43"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28"/>
        <v>OK</v>
      </c>
      <c r="AK298" t="str">
        <f t="shared" si="34"/>
        <v>OK</v>
      </c>
      <c r="AL298" t="str">
        <f t="shared" si="29"/>
        <v>OK</v>
      </c>
      <c r="AM298" t="str">
        <f t="shared" si="30"/>
        <v>OK</v>
      </c>
      <c r="AN298" s="1">
        <f>IF(AF298=0,0,AH298/AF298)</f>
        <v>0</v>
      </c>
      <c r="AO298" s="1">
        <f t="shared" si="31"/>
        <v>0</v>
      </c>
      <c r="AP298" s="1">
        <f t="shared" si="32"/>
        <v>0</v>
      </c>
      <c r="AQ298" s="1">
        <f t="shared" si="33"/>
        <v>0</v>
      </c>
    </row>
    <row r="299" spans="1:43"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28"/>
        <v>OK</v>
      </c>
      <c r="AK299" t="str">
        <f t="shared" si="34"/>
        <v>OK</v>
      </c>
      <c r="AL299" t="str">
        <f t="shared" si="29"/>
        <v>OK</v>
      </c>
      <c r="AM299" t="str">
        <f t="shared" si="30"/>
        <v>OK</v>
      </c>
      <c r="AN299" s="1">
        <f>IF(AF299=0,0,AH299/AF299)</f>
        <v>0.54545454545454541</v>
      </c>
      <c r="AO299" s="1">
        <f t="shared" si="31"/>
        <v>0.81818181818181823</v>
      </c>
      <c r="AP299" s="1">
        <f t="shared" si="32"/>
        <v>0.27272727272727271</v>
      </c>
      <c r="AQ299" s="1">
        <f t="shared" si="33"/>
        <v>0.81818181818181823</v>
      </c>
    </row>
    <row r="300" spans="1:43"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28"/>
        <v>OK</v>
      </c>
      <c r="AK300" t="str">
        <f t="shared" si="34"/>
        <v>OK</v>
      </c>
      <c r="AL300" t="str">
        <f t="shared" si="29"/>
        <v>OK</v>
      </c>
      <c r="AM300" t="str">
        <f t="shared" si="30"/>
        <v>OK</v>
      </c>
      <c r="AN300" s="1">
        <f>IF(AF300=0,0,AH300/AF300)</f>
        <v>0</v>
      </c>
      <c r="AO300" s="1">
        <f t="shared" si="31"/>
        <v>0</v>
      </c>
      <c r="AP300" s="1">
        <f t="shared" si="32"/>
        <v>2</v>
      </c>
      <c r="AQ300" s="1">
        <f t="shared" si="33"/>
        <v>0</v>
      </c>
    </row>
    <row r="301" spans="1:43"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28"/>
        <v>OK</v>
      </c>
      <c r="AK301" t="str">
        <f t="shared" si="34"/>
        <v>OK</v>
      </c>
      <c r="AL301" t="str">
        <f t="shared" si="29"/>
        <v>OK</v>
      </c>
      <c r="AM301" t="str">
        <f t="shared" si="30"/>
        <v>OK</v>
      </c>
      <c r="AN301" s="1">
        <f>IF(AF301=0,0,AH301/AF301)</f>
        <v>0.25</v>
      </c>
      <c r="AO301" s="1">
        <f t="shared" si="31"/>
        <v>0.25</v>
      </c>
      <c r="AP301" s="1">
        <f t="shared" si="32"/>
        <v>0.75</v>
      </c>
      <c r="AQ301" s="1">
        <f t="shared" si="33"/>
        <v>0.5</v>
      </c>
    </row>
    <row r="302" spans="1:43"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28"/>
        <v>OK</v>
      </c>
      <c r="AK302" t="str">
        <f t="shared" si="34"/>
        <v>OK</v>
      </c>
      <c r="AL302" t="str">
        <f t="shared" si="29"/>
        <v>OK</v>
      </c>
      <c r="AM302" t="str">
        <f t="shared" si="30"/>
        <v>OK</v>
      </c>
      <c r="AN302" s="1">
        <f>IF(AF302=0,0,AH302/AF302)</f>
        <v>0</v>
      </c>
      <c r="AO302" s="1">
        <f t="shared" si="31"/>
        <v>0.45454545454545453</v>
      </c>
      <c r="AP302" s="1">
        <f t="shared" si="32"/>
        <v>9.0909090909090912E-2</v>
      </c>
      <c r="AQ302" s="1">
        <f t="shared" si="33"/>
        <v>0.18181818181818182</v>
      </c>
    </row>
    <row r="303" spans="1:43"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28"/>
        <v>OK</v>
      </c>
      <c r="AK303" t="str">
        <f t="shared" si="34"/>
        <v>OK</v>
      </c>
      <c r="AL303" t="str">
        <f t="shared" si="29"/>
        <v>OK</v>
      </c>
      <c r="AM303" t="str">
        <f t="shared" si="30"/>
        <v>OK</v>
      </c>
      <c r="AN303" s="1">
        <f>IF(AF303=0,0,AH303/AF303)</f>
        <v>0</v>
      </c>
      <c r="AO303" s="1">
        <f t="shared" si="31"/>
        <v>0</v>
      </c>
      <c r="AP303" s="1">
        <f t="shared" si="32"/>
        <v>0</v>
      </c>
      <c r="AQ303" s="1">
        <f t="shared" si="33"/>
        <v>0</v>
      </c>
    </row>
    <row r="304" spans="1:43"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28"/>
        <v>OK</v>
      </c>
      <c r="AK304" t="str">
        <f t="shared" si="34"/>
        <v>OK</v>
      </c>
      <c r="AL304" t="str">
        <f t="shared" si="29"/>
        <v>OK</v>
      </c>
      <c r="AM304" t="str">
        <f t="shared" si="30"/>
        <v>OK</v>
      </c>
      <c r="AN304" s="1">
        <f>IF(AF304=0,0,AH304/AF304)</f>
        <v>0</v>
      </c>
      <c r="AO304" s="1">
        <f t="shared" si="31"/>
        <v>0.375</v>
      </c>
      <c r="AP304" s="1">
        <f t="shared" si="32"/>
        <v>0.25</v>
      </c>
      <c r="AQ304" s="1">
        <f t="shared" si="33"/>
        <v>0.875</v>
      </c>
    </row>
    <row r="305" spans="1:43"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28"/>
        <v>OK</v>
      </c>
      <c r="AK305" t="str">
        <f t="shared" si="34"/>
        <v>OK</v>
      </c>
      <c r="AL305" t="str">
        <f t="shared" si="29"/>
        <v>OK</v>
      </c>
      <c r="AM305" t="str">
        <f t="shared" si="30"/>
        <v>OK</v>
      </c>
      <c r="AN305" s="1">
        <f>IF(AF305=0,0,AH305/AF305)</f>
        <v>0.875</v>
      </c>
      <c r="AO305" s="1">
        <f t="shared" si="31"/>
        <v>0.875</v>
      </c>
      <c r="AP305" s="1">
        <f t="shared" si="32"/>
        <v>0.375</v>
      </c>
      <c r="AQ305" s="1">
        <f t="shared" si="33"/>
        <v>0.875</v>
      </c>
    </row>
    <row r="306" spans="1:43"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28"/>
        <v>OK</v>
      </c>
      <c r="AK306" t="str">
        <f t="shared" si="34"/>
        <v>OK</v>
      </c>
      <c r="AL306" t="str">
        <f t="shared" si="29"/>
        <v>OK</v>
      </c>
      <c r="AM306" t="str">
        <f t="shared" si="30"/>
        <v>OK</v>
      </c>
      <c r="AN306" s="1">
        <f>IF(AF306=0,0,AH306/AF306)</f>
        <v>0.16666666666666666</v>
      </c>
      <c r="AO306" s="1">
        <f t="shared" si="31"/>
        <v>0.55555555555555558</v>
      </c>
      <c r="AP306" s="1">
        <f t="shared" si="32"/>
        <v>0.27777777777777779</v>
      </c>
      <c r="AQ306" s="1">
        <f t="shared" si="33"/>
        <v>0.3888888888888889</v>
      </c>
    </row>
    <row r="307" spans="1:43"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28"/>
        <v>OK</v>
      </c>
      <c r="AK307" t="str">
        <f t="shared" si="34"/>
        <v>OK</v>
      </c>
      <c r="AL307" t="str">
        <f t="shared" si="29"/>
        <v>OK</v>
      </c>
      <c r="AM307" t="str">
        <f t="shared" si="30"/>
        <v>OK</v>
      </c>
      <c r="AN307" s="1">
        <f>IF(AF307=0,0,AH307/AF307)</f>
        <v>0</v>
      </c>
      <c r="AO307" s="1">
        <f t="shared" si="31"/>
        <v>0.88888888888888884</v>
      </c>
      <c r="AP307" s="1">
        <f t="shared" si="32"/>
        <v>0.33333333333333331</v>
      </c>
      <c r="AQ307" s="1">
        <f t="shared" si="33"/>
        <v>0.88888888888888884</v>
      </c>
    </row>
    <row r="308" spans="1:43"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28"/>
        <v>OK</v>
      </c>
      <c r="AK308" t="str">
        <f t="shared" si="34"/>
        <v>OK</v>
      </c>
      <c r="AL308" t="str">
        <f t="shared" si="29"/>
        <v>OK</v>
      </c>
      <c r="AM308" t="str">
        <f t="shared" si="30"/>
        <v>OK</v>
      </c>
      <c r="AN308" s="1">
        <f>IF(AF308=0,0,AH308/AF308)</f>
        <v>0.30769230769230771</v>
      </c>
      <c r="AO308" s="1">
        <f t="shared" si="31"/>
        <v>0.61538461538461542</v>
      </c>
      <c r="AP308" s="1">
        <f t="shared" si="32"/>
        <v>0.23076923076923078</v>
      </c>
      <c r="AQ308" s="1">
        <f t="shared" si="33"/>
        <v>0.61538461538461542</v>
      </c>
    </row>
    <row r="309" spans="1:43"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28"/>
        <v>OK</v>
      </c>
      <c r="AK309" t="str">
        <f t="shared" si="34"/>
        <v>OK</v>
      </c>
      <c r="AL309" t="str">
        <f t="shared" si="29"/>
        <v>OK</v>
      </c>
      <c r="AM309" t="str">
        <f t="shared" si="30"/>
        <v>OK</v>
      </c>
      <c r="AN309" s="1">
        <f>IF(AF309=0,0,AH309/AF309)</f>
        <v>0</v>
      </c>
      <c r="AO309" s="1">
        <f t="shared" si="31"/>
        <v>0.8</v>
      </c>
      <c r="AP309" s="1">
        <f t="shared" si="32"/>
        <v>0.2</v>
      </c>
      <c r="AQ309" s="1">
        <f t="shared" si="33"/>
        <v>0.1</v>
      </c>
    </row>
    <row r="310" spans="1:43"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28"/>
        <v>OK</v>
      </c>
      <c r="AK310" t="str">
        <f t="shared" si="34"/>
        <v>OK</v>
      </c>
      <c r="AL310" t="str">
        <f t="shared" si="29"/>
        <v>OK</v>
      </c>
      <c r="AM310" t="str">
        <f t="shared" si="30"/>
        <v>OK</v>
      </c>
      <c r="AN310" s="1">
        <f>IF(AF310=0,0,AH310/AF310)</f>
        <v>0.2</v>
      </c>
      <c r="AO310" s="1">
        <f t="shared" si="31"/>
        <v>0.6</v>
      </c>
      <c r="AP310" s="1">
        <f t="shared" si="32"/>
        <v>0.4</v>
      </c>
      <c r="AQ310" s="1">
        <f t="shared" si="33"/>
        <v>0.4</v>
      </c>
    </row>
    <row r="311" spans="1:43"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28"/>
        <v>OK</v>
      </c>
      <c r="AK311" t="str">
        <f t="shared" si="34"/>
        <v>OK</v>
      </c>
      <c r="AL311" t="str">
        <f t="shared" si="29"/>
        <v>OK</v>
      </c>
      <c r="AM311" t="str">
        <f t="shared" si="30"/>
        <v>OK</v>
      </c>
      <c r="AN311" s="1">
        <f>IF(AF311=0,0,AH311/AF311)</f>
        <v>0</v>
      </c>
      <c r="AO311" s="1">
        <f t="shared" si="31"/>
        <v>0.4</v>
      </c>
      <c r="AP311" s="1">
        <f t="shared" si="32"/>
        <v>0.8</v>
      </c>
      <c r="AQ311" s="1">
        <f t="shared" si="33"/>
        <v>0.6</v>
      </c>
    </row>
    <row r="312" spans="1:43"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28"/>
        <v>OK</v>
      </c>
      <c r="AK312" t="str">
        <f t="shared" si="34"/>
        <v>OK</v>
      </c>
      <c r="AL312" t="str">
        <f t="shared" si="29"/>
        <v>OK</v>
      </c>
      <c r="AM312" t="str">
        <f t="shared" si="30"/>
        <v>OK</v>
      </c>
      <c r="AN312" s="1">
        <f>IF(AF312=0,0,AH312/AF312)</f>
        <v>0.5</v>
      </c>
      <c r="AO312" s="1">
        <f t="shared" si="31"/>
        <v>1</v>
      </c>
      <c r="AP312" s="1">
        <f t="shared" si="32"/>
        <v>0.5</v>
      </c>
      <c r="AQ312" s="1">
        <f t="shared" si="33"/>
        <v>0</v>
      </c>
    </row>
    <row r="313" spans="1:43"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28"/>
        <v>OK</v>
      </c>
      <c r="AK313" t="str">
        <f t="shared" si="34"/>
        <v>OK</v>
      </c>
      <c r="AL313" t="str">
        <f t="shared" si="29"/>
        <v>OK</v>
      </c>
      <c r="AM313" t="str">
        <f t="shared" si="30"/>
        <v>OK</v>
      </c>
      <c r="AN313" s="1">
        <f>IF(AF313=0,0,AH313/AF313)</f>
        <v>0.375</v>
      </c>
      <c r="AO313" s="1">
        <f t="shared" si="31"/>
        <v>0.375</v>
      </c>
      <c r="AP313" s="1">
        <f t="shared" si="32"/>
        <v>8.3333333333333329E-2</v>
      </c>
      <c r="AQ313" s="1">
        <f t="shared" si="33"/>
        <v>0.45833333333333331</v>
      </c>
    </row>
    <row r="314" spans="1:43"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28"/>
        <v>OK</v>
      </c>
      <c r="AK314" t="str">
        <f t="shared" si="34"/>
        <v>OK</v>
      </c>
      <c r="AL314" t="str">
        <f t="shared" si="29"/>
        <v>OK</v>
      </c>
      <c r="AM314" t="str">
        <f t="shared" si="30"/>
        <v>OK</v>
      </c>
      <c r="AN314" s="1">
        <f>IF(AF314=0,0,AH314/AF314)</f>
        <v>1</v>
      </c>
      <c r="AO314" s="1">
        <f t="shared" si="31"/>
        <v>1</v>
      </c>
      <c r="AP314" s="1">
        <f t="shared" si="32"/>
        <v>1</v>
      </c>
      <c r="AQ314" s="1">
        <f t="shared" si="33"/>
        <v>1</v>
      </c>
    </row>
    <row r="315" spans="1:43"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28"/>
        <v>OK</v>
      </c>
      <c r="AK315" t="str">
        <f t="shared" si="34"/>
        <v>OK</v>
      </c>
      <c r="AL315" t="str">
        <f t="shared" si="29"/>
        <v>OK</v>
      </c>
      <c r="AM315" t="str">
        <f t="shared" si="30"/>
        <v>OK</v>
      </c>
      <c r="AN315" s="1">
        <f>IF(AF315=0,0,AH315/AF315)</f>
        <v>0.8</v>
      </c>
      <c r="AO315" s="1">
        <f t="shared" si="31"/>
        <v>0.6</v>
      </c>
      <c r="AP315" s="1">
        <f t="shared" si="32"/>
        <v>0.2</v>
      </c>
      <c r="AQ315" s="1">
        <f t="shared" si="33"/>
        <v>0.8</v>
      </c>
    </row>
    <row r="316" spans="1:43"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28"/>
        <v>OK</v>
      </c>
      <c r="AK316" t="str">
        <f t="shared" si="34"/>
        <v>OK</v>
      </c>
      <c r="AL316" t="str">
        <f t="shared" si="29"/>
        <v>OK</v>
      </c>
      <c r="AM316" t="str">
        <f t="shared" si="30"/>
        <v>OK</v>
      </c>
      <c r="AN316" s="1">
        <f>IF(AF316=0,0,AH316/AF316)</f>
        <v>0.52380952380952384</v>
      </c>
      <c r="AO316" s="1">
        <f t="shared" si="31"/>
        <v>0.42857142857142855</v>
      </c>
      <c r="AP316" s="1">
        <f t="shared" si="32"/>
        <v>0.14285714285714285</v>
      </c>
      <c r="AQ316" s="1">
        <f t="shared" si="33"/>
        <v>0.47619047619047616</v>
      </c>
    </row>
    <row r="317" spans="1:43"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28"/>
        <v>OK</v>
      </c>
      <c r="AK317" t="str">
        <f t="shared" si="34"/>
        <v>OK</v>
      </c>
      <c r="AL317" t="str">
        <f t="shared" si="29"/>
        <v>OK</v>
      </c>
      <c r="AM317" t="str">
        <f t="shared" si="30"/>
        <v>OK</v>
      </c>
      <c r="AN317" s="1">
        <f>IF(AF317=0,0,AH317/AF317)</f>
        <v>0.125</v>
      </c>
      <c r="AO317" s="1">
        <f t="shared" si="31"/>
        <v>0.875</v>
      </c>
      <c r="AP317" s="1">
        <f t="shared" si="32"/>
        <v>0.625</v>
      </c>
      <c r="AQ317" s="1">
        <f t="shared" si="33"/>
        <v>0.875</v>
      </c>
    </row>
    <row r="318" spans="1:43"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28"/>
        <v>OK</v>
      </c>
      <c r="AK318" t="str">
        <f t="shared" si="34"/>
        <v>OK</v>
      </c>
      <c r="AL318" t="str">
        <f t="shared" si="29"/>
        <v>OK</v>
      </c>
      <c r="AM318" t="str">
        <f t="shared" si="30"/>
        <v>OK</v>
      </c>
      <c r="AN318" s="1">
        <f>IF(AF318=0,0,AH318/AF318)</f>
        <v>0</v>
      </c>
      <c r="AO318" s="1">
        <f t="shared" si="31"/>
        <v>0.14285714285714285</v>
      </c>
      <c r="AP318" s="1">
        <f t="shared" si="32"/>
        <v>0.2857142857142857</v>
      </c>
      <c r="AQ318" s="1">
        <f t="shared" si="33"/>
        <v>1</v>
      </c>
    </row>
    <row r="319" spans="1:43"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28"/>
        <v>OK</v>
      </c>
      <c r="AK319" t="str">
        <f t="shared" si="34"/>
        <v>OK</v>
      </c>
      <c r="AL319" t="str">
        <f t="shared" si="29"/>
        <v>OK</v>
      </c>
      <c r="AM319" t="str">
        <f t="shared" si="30"/>
        <v>OK</v>
      </c>
      <c r="AN319" s="1">
        <f>IF(AF319=0,0,AH319/AF319)</f>
        <v>0.875</v>
      </c>
      <c r="AO319" s="1">
        <f t="shared" si="31"/>
        <v>0.25</v>
      </c>
      <c r="AP319" s="1">
        <f t="shared" si="32"/>
        <v>0.375</v>
      </c>
      <c r="AQ319" s="1">
        <f t="shared" si="33"/>
        <v>0.875</v>
      </c>
    </row>
    <row r="320" spans="1:43"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28"/>
        <v>OK</v>
      </c>
      <c r="AK320" t="str">
        <f t="shared" si="34"/>
        <v>OK</v>
      </c>
      <c r="AL320" t="str">
        <f t="shared" si="29"/>
        <v>OK</v>
      </c>
      <c r="AM320" t="str">
        <f t="shared" si="30"/>
        <v>OK</v>
      </c>
      <c r="AN320" s="1">
        <f>IF(AF320=0,0,AH320/AF320)</f>
        <v>0.25</v>
      </c>
      <c r="AO320" s="1">
        <f t="shared" si="31"/>
        <v>0.75</v>
      </c>
      <c r="AP320" s="1">
        <f t="shared" si="32"/>
        <v>0.5</v>
      </c>
      <c r="AQ320" s="1">
        <f t="shared" si="33"/>
        <v>0.5</v>
      </c>
    </row>
    <row r="321" spans="1:43"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28"/>
        <v>OK</v>
      </c>
      <c r="AK321" t="str">
        <f t="shared" si="34"/>
        <v>OK</v>
      </c>
      <c r="AL321" t="str">
        <f t="shared" si="29"/>
        <v>OK</v>
      </c>
      <c r="AM321" t="str">
        <f t="shared" si="30"/>
        <v>OK</v>
      </c>
      <c r="AN321" s="1">
        <f>IF(AF321=0,0,AH321/AF321)</f>
        <v>0.84615384615384615</v>
      </c>
      <c r="AO321" s="1">
        <f t="shared" si="31"/>
        <v>0.92307692307692313</v>
      </c>
      <c r="AP321" s="1">
        <f t="shared" si="32"/>
        <v>0.15384615384615385</v>
      </c>
      <c r="AQ321" s="1">
        <f t="shared" si="33"/>
        <v>0.69230769230769229</v>
      </c>
    </row>
    <row r="322" spans="1:43"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si="28"/>
        <v>OK</v>
      </c>
      <c r="AK322" t="str">
        <f t="shared" si="34"/>
        <v>OK</v>
      </c>
      <c r="AL322" t="str">
        <f t="shared" si="29"/>
        <v>OK</v>
      </c>
      <c r="AM322" t="str">
        <f t="shared" si="30"/>
        <v>OK</v>
      </c>
      <c r="AN322" s="1">
        <f>IF(AF322=0,0,AH322/AF322)</f>
        <v>0</v>
      </c>
      <c r="AO322" s="1">
        <f t="shared" si="31"/>
        <v>0.8</v>
      </c>
      <c r="AP322" s="1">
        <f t="shared" si="32"/>
        <v>0.6</v>
      </c>
      <c r="AQ322" s="1">
        <f t="shared" si="33"/>
        <v>0.8</v>
      </c>
    </row>
    <row r="323" spans="1:43"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ref="AJ323:AJ386" si="35">IF(AF323&lt;=AC323, "OK", "ERROR")</f>
        <v>OK</v>
      </c>
      <c r="AK323" t="str">
        <f t="shared" si="34"/>
        <v>OK</v>
      </c>
      <c r="AL323" t="str">
        <f t="shared" ref="AL323:AL386" si="36">IF(AG323&lt;=AF323,"OK","ERROR")</f>
        <v>OK</v>
      </c>
      <c r="AM323" t="str">
        <f t="shared" ref="AM323:AM386" si="37">IF(AI323&lt;=AF323,"OK","ERROR")</f>
        <v>OK</v>
      </c>
      <c r="AN323" s="1">
        <f>IF(AF323=0,0,AH323/AF323)</f>
        <v>0.14285714285714285</v>
      </c>
      <c r="AO323" s="1">
        <f t="shared" ref="AO323:AO386" si="38">IF(AF323=0,0,AG323/AF323)</f>
        <v>1</v>
      </c>
      <c r="AP323" s="1">
        <f t="shared" ref="AP323:AP386" si="39">IF(AF323=0,0,AD323/AF323)</f>
        <v>0.42857142857142855</v>
      </c>
      <c r="AQ323" s="1">
        <f t="shared" ref="AQ323:AQ386" si="40">IF(AF323=0,0,AI323/AF323)</f>
        <v>1</v>
      </c>
    </row>
    <row r="324" spans="1:43"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35"/>
        <v>OK</v>
      </c>
      <c r="AK324" t="str">
        <f t="shared" ref="AK324:AK387" si="41">IF(AH324&lt;=AF324,"OK", "ERROR")</f>
        <v>OK</v>
      </c>
      <c r="AL324" t="str">
        <f t="shared" si="36"/>
        <v>OK</v>
      </c>
      <c r="AM324" t="str">
        <f t="shared" si="37"/>
        <v>OK</v>
      </c>
      <c r="AN324" s="1">
        <f>IF(AF324=0,0,AH324/AF324)</f>
        <v>0</v>
      </c>
      <c r="AO324" s="1">
        <f t="shared" si="38"/>
        <v>1</v>
      </c>
      <c r="AP324" s="1">
        <f t="shared" si="39"/>
        <v>0</v>
      </c>
      <c r="AQ324" s="1">
        <f t="shared" si="40"/>
        <v>1</v>
      </c>
    </row>
    <row r="325" spans="1:43"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35"/>
        <v>OK</v>
      </c>
      <c r="AK325" t="str">
        <f t="shared" si="41"/>
        <v>OK</v>
      </c>
      <c r="AL325" t="str">
        <f t="shared" si="36"/>
        <v>OK</v>
      </c>
      <c r="AM325" t="str">
        <f t="shared" si="37"/>
        <v>OK</v>
      </c>
      <c r="AN325" s="1">
        <f>IF(AF325=0,0,AH325/AF325)</f>
        <v>0.66666666666666663</v>
      </c>
      <c r="AO325" s="1">
        <f t="shared" si="38"/>
        <v>0.66666666666666663</v>
      </c>
      <c r="AP325" s="1">
        <f t="shared" si="39"/>
        <v>1.3333333333333333</v>
      </c>
      <c r="AQ325" s="1">
        <f t="shared" si="40"/>
        <v>0.66666666666666663</v>
      </c>
    </row>
    <row r="326" spans="1:43"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35"/>
        <v>OK</v>
      </c>
      <c r="AK326" t="str">
        <f t="shared" si="41"/>
        <v>OK</v>
      </c>
      <c r="AL326" t="str">
        <f t="shared" si="36"/>
        <v>OK</v>
      </c>
      <c r="AM326" t="str">
        <f t="shared" si="37"/>
        <v>OK</v>
      </c>
      <c r="AN326" s="1">
        <f>IF(AF326=0,0,AH326/AF326)</f>
        <v>0.1</v>
      </c>
      <c r="AO326" s="1">
        <f t="shared" si="38"/>
        <v>0.8</v>
      </c>
      <c r="AP326" s="1">
        <f t="shared" si="39"/>
        <v>0.2</v>
      </c>
      <c r="AQ326" s="1">
        <f t="shared" si="40"/>
        <v>0.9</v>
      </c>
    </row>
    <row r="327" spans="1:43"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35"/>
        <v>OK</v>
      </c>
      <c r="AK327" t="str">
        <f t="shared" si="41"/>
        <v>OK</v>
      </c>
      <c r="AL327" t="str">
        <f t="shared" si="36"/>
        <v>OK</v>
      </c>
      <c r="AM327" t="str">
        <f t="shared" si="37"/>
        <v>OK</v>
      </c>
      <c r="AN327" s="1">
        <f>IF(AF327=0,0,AH327/AF327)</f>
        <v>0.8</v>
      </c>
      <c r="AO327" s="1">
        <f t="shared" si="38"/>
        <v>0.9</v>
      </c>
      <c r="AP327" s="1">
        <f t="shared" si="39"/>
        <v>0.2</v>
      </c>
      <c r="AQ327" s="1">
        <f t="shared" si="40"/>
        <v>0.9</v>
      </c>
    </row>
    <row r="328" spans="1:43"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35"/>
        <v>OK</v>
      </c>
      <c r="AK328" t="str">
        <f t="shared" si="41"/>
        <v>OK</v>
      </c>
      <c r="AL328" t="str">
        <f t="shared" si="36"/>
        <v>OK</v>
      </c>
      <c r="AM328" t="str">
        <f t="shared" si="37"/>
        <v>OK</v>
      </c>
      <c r="AN328" s="1">
        <f>IF(AF328=0,0,AH328/AF328)</f>
        <v>0.61904761904761907</v>
      </c>
      <c r="AO328" s="1">
        <f t="shared" si="38"/>
        <v>0.42857142857142855</v>
      </c>
      <c r="AP328" s="1">
        <f t="shared" si="39"/>
        <v>9.5238095238095233E-2</v>
      </c>
      <c r="AQ328" s="1">
        <f t="shared" si="40"/>
        <v>0.14285714285714285</v>
      </c>
    </row>
    <row r="329" spans="1:43"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35"/>
        <v>OK</v>
      </c>
      <c r="AK329" t="str">
        <f t="shared" si="41"/>
        <v>OK</v>
      </c>
      <c r="AL329" t="str">
        <f t="shared" si="36"/>
        <v>OK</v>
      </c>
      <c r="AM329" t="str">
        <f t="shared" si="37"/>
        <v>OK</v>
      </c>
      <c r="AN329" s="1">
        <f>IF(AF329=0,0,AH329/AF329)</f>
        <v>0</v>
      </c>
      <c r="AO329" s="1">
        <f t="shared" si="38"/>
        <v>0</v>
      </c>
      <c r="AP329" s="1">
        <f t="shared" si="39"/>
        <v>3</v>
      </c>
      <c r="AQ329" s="1">
        <f t="shared" si="40"/>
        <v>0</v>
      </c>
    </row>
    <row r="330" spans="1:43"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35"/>
        <v>OK</v>
      </c>
      <c r="AK330" t="str">
        <f t="shared" si="41"/>
        <v>OK</v>
      </c>
      <c r="AL330" t="str">
        <f t="shared" si="36"/>
        <v>OK</v>
      </c>
      <c r="AM330" t="str">
        <f t="shared" si="37"/>
        <v>OK</v>
      </c>
      <c r="AN330" s="1">
        <f>IF(AF330=0,0,AH330/AF330)</f>
        <v>0</v>
      </c>
      <c r="AO330" s="1">
        <f t="shared" si="38"/>
        <v>1</v>
      </c>
      <c r="AP330" s="1">
        <f t="shared" si="39"/>
        <v>0.8571428571428571</v>
      </c>
      <c r="AQ330" s="1">
        <f t="shared" si="40"/>
        <v>0.14285714285714285</v>
      </c>
    </row>
    <row r="331" spans="1:43"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35"/>
        <v>OK</v>
      </c>
      <c r="AK331" t="str">
        <f t="shared" si="41"/>
        <v>OK</v>
      </c>
      <c r="AL331" t="str">
        <f t="shared" si="36"/>
        <v>OK</v>
      </c>
      <c r="AM331" t="str">
        <f t="shared" si="37"/>
        <v>OK</v>
      </c>
      <c r="AN331" s="1">
        <f>IF(AF331=0,0,AH331/AF331)</f>
        <v>0.33333333333333331</v>
      </c>
      <c r="AO331" s="1">
        <f t="shared" si="38"/>
        <v>0.66666666666666663</v>
      </c>
      <c r="AP331" s="1">
        <f t="shared" si="39"/>
        <v>0.66666666666666663</v>
      </c>
      <c r="AQ331" s="1">
        <f t="shared" si="40"/>
        <v>0.33333333333333331</v>
      </c>
    </row>
    <row r="332" spans="1:43"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35"/>
        <v>OK</v>
      </c>
      <c r="AK332" t="str">
        <f t="shared" si="41"/>
        <v>OK</v>
      </c>
      <c r="AL332" t="str">
        <f t="shared" si="36"/>
        <v>OK</v>
      </c>
      <c r="AM332" t="str">
        <f t="shared" si="37"/>
        <v>OK</v>
      </c>
      <c r="AN332" s="1">
        <f>IF(AF332=0,0,AH332/AF332)</f>
        <v>0</v>
      </c>
      <c r="AO332" s="1">
        <f t="shared" si="38"/>
        <v>0.77777777777777779</v>
      </c>
      <c r="AP332" s="1">
        <f t="shared" si="39"/>
        <v>0.33333333333333331</v>
      </c>
      <c r="AQ332" s="1">
        <f t="shared" si="40"/>
        <v>0</v>
      </c>
    </row>
    <row r="333" spans="1:43"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35"/>
        <v>OK</v>
      </c>
      <c r="AK333" t="str">
        <f t="shared" si="41"/>
        <v>OK</v>
      </c>
      <c r="AL333" t="str">
        <f t="shared" si="36"/>
        <v>OK</v>
      </c>
      <c r="AM333" t="str">
        <f t="shared" si="37"/>
        <v>OK</v>
      </c>
      <c r="AN333" s="1">
        <f>IF(AF333=0,0,AH333/AF333)</f>
        <v>0.2</v>
      </c>
      <c r="AO333" s="1">
        <f t="shared" si="38"/>
        <v>0.8</v>
      </c>
      <c r="AP333" s="1">
        <f t="shared" si="39"/>
        <v>0</v>
      </c>
      <c r="AQ333" s="1">
        <f t="shared" si="40"/>
        <v>0.8</v>
      </c>
    </row>
    <row r="334" spans="1:43"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35"/>
        <v>OK</v>
      </c>
      <c r="AK334" t="str">
        <f t="shared" si="41"/>
        <v>OK</v>
      </c>
      <c r="AL334" t="str">
        <f t="shared" si="36"/>
        <v>OK</v>
      </c>
      <c r="AM334" t="str">
        <f t="shared" si="37"/>
        <v>OK</v>
      </c>
      <c r="AN334" s="1">
        <f>IF(AF334=0,0,AH334/AF334)</f>
        <v>0</v>
      </c>
      <c r="AO334" s="1">
        <f t="shared" si="38"/>
        <v>0.75</v>
      </c>
      <c r="AP334" s="1">
        <f t="shared" si="39"/>
        <v>1</v>
      </c>
      <c r="AQ334" s="1">
        <f t="shared" si="40"/>
        <v>0.75</v>
      </c>
    </row>
    <row r="335" spans="1:43"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35"/>
        <v>OK</v>
      </c>
      <c r="AK335" t="str">
        <f t="shared" si="41"/>
        <v>OK</v>
      </c>
      <c r="AL335" t="str">
        <f t="shared" si="36"/>
        <v>OK</v>
      </c>
      <c r="AM335" t="str">
        <f t="shared" si="37"/>
        <v>OK</v>
      </c>
      <c r="AN335" s="1">
        <f>IF(AF335=0,0,AH335/AF335)</f>
        <v>0</v>
      </c>
      <c r="AO335" s="1">
        <f t="shared" si="38"/>
        <v>0</v>
      </c>
      <c r="AP335" s="1">
        <f t="shared" si="39"/>
        <v>1</v>
      </c>
      <c r="AQ335" s="1">
        <f t="shared" si="40"/>
        <v>0</v>
      </c>
    </row>
    <row r="336" spans="1:43"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35"/>
        <v>OK</v>
      </c>
      <c r="AK336" t="str">
        <f t="shared" si="41"/>
        <v>OK</v>
      </c>
      <c r="AL336" t="str">
        <f t="shared" si="36"/>
        <v>OK</v>
      </c>
      <c r="AM336" t="str">
        <f t="shared" si="37"/>
        <v>OK</v>
      </c>
      <c r="AN336" s="1">
        <f>IF(AF336=0,0,AH336/AF336)</f>
        <v>0.9</v>
      </c>
      <c r="AO336" s="1">
        <f t="shared" si="38"/>
        <v>0.9</v>
      </c>
      <c r="AP336" s="1">
        <f t="shared" si="39"/>
        <v>0.3</v>
      </c>
      <c r="AQ336" s="1">
        <f t="shared" si="40"/>
        <v>0.8</v>
      </c>
    </row>
    <row r="337" spans="1:43"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35"/>
        <v>OK</v>
      </c>
      <c r="AK337" t="str">
        <f t="shared" si="41"/>
        <v>OK</v>
      </c>
      <c r="AL337" t="str">
        <f t="shared" si="36"/>
        <v>OK</v>
      </c>
      <c r="AM337" t="str">
        <f t="shared" si="37"/>
        <v>OK</v>
      </c>
      <c r="AN337" s="1">
        <f>IF(AF337=0,0,AH337/AF337)</f>
        <v>0</v>
      </c>
      <c r="AO337" s="1">
        <f t="shared" si="38"/>
        <v>0.75</v>
      </c>
      <c r="AP337" s="1">
        <f t="shared" si="39"/>
        <v>0.5</v>
      </c>
      <c r="AQ337" s="1">
        <f t="shared" si="40"/>
        <v>0.5</v>
      </c>
    </row>
    <row r="338" spans="1:43"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35"/>
        <v>OK</v>
      </c>
      <c r="AK338" t="str">
        <f t="shared" si="41"/>
        <v>OK</v>
      </c>
      <c r="AL338" t="str">
        <f t="shared" si="36"/>
        <v>OK</v>
      </c>
      <c r="AM338" t="str">
        <f t="shared" si="37"/>
        <v>OK</v>
      </c>
      <c r="AN338" s="1">
        <f>IF(AF338=0,0,AH338/AF338)</f>
        <v>0</v>
      </c>
      <c r="AO338" s="1">
        <f t="shared" si="38"/>
        <v>1</v>
      </c>
      <c r="AP338" s="1">
        <f t="shared" si="39"/>
        <v>0.5714285714285714</v>
      </c>
      <c r="AQ338" s="1">
        <f t="shared" si="40"/>
        <v>1</v>
      </c>
    </row>
    <row r="339" spans="1:43"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35"/>
        <v>OK</v>
      </c>
      <c r="AK339" t="str">
        <f t="shared" si="41"/>
        <v>OK</v>
      </c>
      <c r="AL339" t="str">
        <f t="shared" si="36"/>
        <v>OK</v>
      </c>
      <c r="AM339" t="str">
        <f t="shared" si="37"/>
        <v>OK</v>
      </c>
      <c r="AN339" s="1">
        <f>IF(AF339=0,0,AH339/AF339)</f>
        <v>0.66666666666666663</v>
      </c>
      <c r="AO339" s="1">
        <f t="shared" si="38"/>
        <v>0.66666666666666663</v>
      </c>
      <c r="AP339" s="1">
        <f t="shared" si="39"/>
        <v>0.66666666666666663</v>
      </c>
      <c r="AQ339" s="1">
        <f t="shared" si="40"/>
        <v>0.66666666666666663</v>
      </c>
    </row>
    <row r="340" spans="1:43"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35"/>
        <v>OK</v>
      </c>
      <c r="AK340" t="str">
        <f t="shared" si="41"/>
        <v>OK</v>
      </c>
      <c r="AL340" t="str">
        <f t="shared" si="36"/>
        <v>OK</v>
      </c>
      <c r="AM340" t="str">
        <f t="shared" si="37"/>
        <v>OK</v>
      </c>
      <c r="AN340" s="1">
        <f>IF(AF340=0,0,AH340/AF340)</f>
        <v>0.1</v>
      </c>
      <c r="AO340" s="1">
        <f t="shared" si="38"/>
        <v>0.9</v>
      </c>
      <c r="AP340" s="1">
        <f t="shared" si="39"/>
        <v>0.2</v>
      </c>
      <c r="AQ340" s="1">
        <f t="shared" si="40"/>
        <v>0.2</v>
      </c>
    </row>
    <row r="341" spans="1:43"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35"/>
        <v>OK</v>
      </c>
      <c r="AK341" t="str">
        <f t="shared" si="41"/>
        <v>OK</v>
      </c>
      <c r="AL341" t="str">
        <f t="shared" si="36"/>
        <v>OK</v>
      </c>
      <c r="AM341" t="str">
        <f t="shared" si="37"/>
        <v>OK</v>
      </c>
      <c r="AN341" s="1">
        <f>IF(AF341=0,0,AH341/AF341)</f>
        <v>0</v>
      </c>
      <c r="AO341" s="1">
        <f t="shared" si="38"/>
        <v>0.875</v>
      </c>
      <c r="AP341" s="1">
        <f t="shared" si="39"/>
        <v>0.375</v>
      </c>
      <c r="AQ341" s="1">
        <f t="shared" si="40"/>
        <v>0.875</v>
      </c>
    </row>
    <row r="342" spans="1:43"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35"/>
        <v>OK</v>
      </c>
      <c r="AK342" t="str">
        <f t="shared" si="41"/>
        <v>OK</v>
      </c>
      <c r="AL342" t="str">
        <f t="shared" si="36"/>
        <v>OK</v>
      </c>
      <c r="AM342" t="str">
        <f t="shared" si="37"/>
        <v>OK</v>
      </c>
      <c r="AN342" s="1">
        <f>IF(AF342=0,0,AH342/AF342)</f>
        <v>0</v>
      </c>
      <c r="AO342" s="1">
        <f t="shared" si="38"/>
        <v>0.33333333333333331</v>
      </c>
      <c r="AP342" s="1">
        <f t="shared" si="39"/>
        <v>0.33333333333333331</v>
      </c>
      <c r="AQ342" s="1">
        <f t="shared" si="40"/>
        <v>0.66666666666666663</v>
      </c>
    </row>
    <row r="343" spans="1:43"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35"/>
        <v>OK</v>
      </c>
      <c r="AK343" t="str">
        <f t="shared" si="41"/>
        <v>OK</v>
      </c>
      <c r="AL343" t="str">
        <f t="shared" si="36"/>
        <v>OK</v>
      </c>
      <c r="AM343" t="str">
        <f t="shared" si="37"/>
        <v>OK</v>
      </c>
      <c r="AN343" s="1">
        <f>IF(AF343=0,0,AH343/AF343)</f>
        <v>0.18181818181818182</v>
      </c>
      <c r="AO343" s="1">
        <f t="shared" si="38"/>
        <v>0.90909090909090906</v>
      </c>
      <c r="AP343" s="1">
        <f t="shared" si="39"/>
        <v>0.27272727272727271</v>
      </c>
      <c r="AQ343" s="1">
        <f t="shared" si="40"/>
        <v>0.81818181818181823</v>
      </c>
    </row>
    <row r="344" spans="1:43"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35"/>
        <v>OK</v>
      </c>
      <c r="AK344" t="str">
        <f t="shared" si="41"/>
        <v>OK</v>
      </c>
      <c r="AL344" t="str">
        <f t="shared" si="36"/>
        <v>OK</v>
      </c>
      <c r="AM344" t="str">
        <f t="shared" si="37"/>
        <v>OK</v>
      </c>
      <c r="AN344" s="1">
        <f>IF(AF344=0,0,AH344/AF344)</f>
        <v>0.36363636363636365</v>
      </c>
      <c r="AO344" s="1">
        <f t="shared" si="38"/>
        <v>0.81818181818181823</v>
      </c>
      <c r="AP344" s="1">
        <f t="shared" si="39"/>
        <v>0.18181818181818182</v>
      </c>
      <c r="AQ344" s="1">
        <f t="shared" si="40"/>
        <v>0.90909090909090906</v>
      </c>
    </row>
    <row r="345" spans="1:43"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35"/>
        <v>OK</v>
      </c>
      <c r="AK345" t="str">
        <f t="shared" si="41"/>
        <v>OK</v>
      </c>
      <c r="AL345" t="str">
        <f t="shared" si="36"/>
        <v>OK</v>
      </c>
      <c r="AM345" t="str">
        <f t="shared" si="37"/>
        <v>OK</v>
      </c>
      <c r="AN345" s="1">
        <f>IF(AF345=0,0,AH345/AF345)</f>
        <v>0.14285714285714285</v>
      </c>
      <c r="AO345" s="1">
        <f t="shared" si="38"/>
        <v>1</v>
      </c>
      <c r="AP345" s="1">
        <f t="shared" si="39"/>
        <v>0.2857142857142857</v>
      </c>
      <c r="AQ345" s="1">
        <f t="shared" si="40"/>
        <v>1</v>
      </c>
    </row>
    <row r="346" spans="1:43"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35"/>
        <v>OK</v>
      </c>
      <c r="AK346" t="str">
        <f t="shared" si="41"/>
        <v>OK</v>
      </c>
      <c r="AL346" t="str">
        <f t="shared" si="36"/>
        <v>OK</v>
      </c>
      <c r="AM346" t="str">
        <f t="shared" si="37"/>
        <v>OK</v>
      </c>
      <c r="AN346" s="1">
        <f>IF(AF346=0,0,AH346/AF346)</f>
        <v>0</v>
      </c>
      <c r="AO346" s="1">
        <f t="shared" si="38"/>
        <v>0.375</v>
      </c>
      <c r="AP346" s="1">
        <f t="shared" si="39"/>
        <v>0.3125</v>
      </c>
      <c r="AQ346" s="1">
        <f t="shared" si="40"/>
        <v>0.8125</v>
      </c>
    </row>
    <row r="347" spans="1:43"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35"/>
        <v>OK</v>
      </c>
      <c r="AK347" t="str">
        <f t="shared" si="41"/>
        <v>OK</v>
      </c>
      <c r="AL347" t="str">
        <f t="shared" si="36"/>
        <v>OK</v>
      </c>
      <c r="AM347" t="str">
        <f t="shared" si="37"/>
        <v>OK</v>
      </c>
      <c r="AN347" s="1">
        <f>IF(AF347=0,0,AH347/AF347)</f>
        <v>0</v>
      </c>
      <c r="AO347" s="1">
        <f t="shared" si="38"/>
        <v>0.5</v>
      </c>
      <c r="AP347" s="1">
        <f t="shared" si="39"/>
        <v>0.5</v>
      </c>
      <c r="AQ347" s="1">
        <f t="shared" si="40"/>
        <v>0.5</v>
      </c>
    </row>
    <row r="348" spans="1:43"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35"/>
        <v>OK</v>
      </c>
      <c r="AK348" t="str">
        <f t="shared" si="41"/>
        <v>OK</v>
      </c>
      <c r="AL348" t="str">
        <f t="shared" si="36"/>
        <v>OK</v>
      </c>
      <c r="AM348" t="str">
        <f t="shared" si="37"/>
        <v>OK</v>
      </c>
      <c r="AN348" s="1">
        <f>IF(AF348=0,0,AH348/AF348)</f>
        <v>0.2</v>
      </c>
      <c r="AO348" s="1">
        <f t="shared" si="38"/>
        <v>0.8</v>
      </c>
      <c r="AP348" s="1">
        <f t="shared" si="39"/>
        <v>0.6</v>
      </c>
      <c r="AQ348" s="1">
        <f t="shared" si="40"/>
        <v>0.4</v>
      </c>
    </row>
    <row r="349" spans="1:43"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35"/>
        <v>OK</v>
      </c>
      <c r="AK349" t="str">
        <f t="shared" si="41"/>
        <v>OK</v>
      </c>
      <c r="AL349" t="str">
        <f t="shared" si="36"/>
        <v>OK</v>
      </c>
      <c r="AM349" t="str">
        <f t="shared" si="37"/>
        <v>OK</v>
      </c>
      <c r="AN349" s="1">
        <f>IF(AF349=0,0,AH349/AF349)</f>
        <v>0</v>
      </c>
      <c r="AO349" s="1">
        <f t="shared" si="38"/>
        <v>0</v>
      </c>
      <c r="AP349" s="1">
        <f t="shared" si="39"/>
        <v>0</v>
      </c>
      <c r="AQ349" s="1">
        <f t="shared" si="40"/>
        <v>0</v>
      </c>
    </row>
    <row r="350" spans="1:43"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35"/>
        <v>OK</v>
      </c>
      <c r="AK350" t="str">
        <f t="shared" si="41"/>
        <v>OK</v>
      </c>
      <c r="AL350" t="str">
        <f t="shared" si="36"/>
        <v>OK</v>
      </c>
      <c r="AM350" t="str">
        <f t="shared" si="37"/>
        <v>OK</v>
      </c>
      <c r="AN350" s="1">
        <f>IF(AF350=0,0,AH350/AF350)</f>
        <v>0</v>
      </c>
      <c r="AO350" s="1">
        <f t="shared" si="38"/>
        <v>0</v>
      </c>
      <c r="AP350" s="1">
        <f t="shared" si="39"/>
        <v>2</v>
      </c>
      <c r="AQ350" s="1">
        <f t="shared" si="40"/>
        <v>0</v>
      </c>
    </row>
    <row r="351" spans="1:43"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35"/>
        <v>OK</v>
      </c>
      <c r="AK351" t="str">
        <f t="shared" si="41"/>
        <v>OK</v>
      </c>
      <c r="AL351" t="str">
        <f t="shared" si="36"/>
        <v>OK</v>
      </c>
      <c r="AM351" t="str">
        <f t="shared" si="37"/>
        <v>OK</v>
      </c>
      <c r="AN351" s="1">
        <f>IF(AF351=0,0,AH351/AF351)</f>
        <v>0</v>
      </c>
      <c r="AO351" s="1">
        <f t="shared" si="38"/>
        <v>0.75</v>
      </c>
      <c r="AP351" s="1">
        <f t="shared" si="39"/>
        <v>0.75</v>
      </c>
      <c r="AQ351" s="1">
        <f t="shared" si="40"/>
        <v>0.5</v>
      </c>
    </row>
    <row r="352" spans="1:43"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35"/>
        <v>OK</v>
      </c>
      <c r="AK352" t="str">
        <f t="shared" si="41"/>
        <v>OK</v>
      </c>
      <c r="AL352" t="str">
        <f t="shared" si="36"/>
        <v>OK</v>
      </c>
      <c r="AM352" t="str">
        <f t="shared" si="37"/>
        <v>OK</v>
      </c>
      <c r="AN352" s="1">
        <f>IF(AF352=0,0,AH352/AF352)</f>
        <v>0.33333333333333331</v>
      </c>
      <c r="AO352" s="1">
        <f t="shared" si="38"/>
        <v>0.66666666666666663</v>
      </c>
      <c r="AP352" s="1">
        <f t="shared" si="39"/>
        <v>1.6666666666666667</v>
      </c>
      <c r="AQ352" s="1">
        <f t="shared" si="40"/>
        <v>0</v>
      </c>
    </row>
    <row r="353" spans="1:43"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35"/>
        <v>OK</v>
      </c>
      <c r="AK353" t="str">
        <f t="shared" si="41"/>
        <v>OK</v>
      </c>
      <c r="AL353" t="str">
        <f t="shared" si="36"/>
        <v>OK</v>
      </c>
      <c r="AM353" t="str">
        <f t="shared" si="37"/>
        <v>OK</v>
      </c>
      <c r="AN353" s="1">
        <f>IF(AF353=0,0,AH353/AF353)</f>
        <v>0</v>
      </c>
      <c r="AO353" s="1">
        <f t="shared" si="38"/>
        <v>0</v>
      </c>
      <c r="AP353" s="1">
        <f t="shared" si="39"/>
        <v>0.5</v>
      </c>
      <c r="AQ353" s="1">
        <f t="shared" si="40"/>
        <v>0.875</v>
      </c>
    </row>
    <row r="354" spans="1:43"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35"/>
        <v>OK</v>
      </c>
      <c r="AK354" t="str">
        <f t="shared" si="41"/>
        <v>OK</v>
      </c>
      <c r="AL354" t="str">
        <f t="shared" si="36"/>
        <v>OK</v>
      </c>
      <c r="AM354" t="str">
        <f t="shared" si="37"/>
        <v>OK</v>
      </c>
      <c r="AN354" s="1">
        <f>IF(AF354=0,0,AH354/AF354)</f>
        <v>0</v>
      </c>
      <c r="AO354" s="1">
        <f t="shared" si="38"/>
        <v>0</v>
      </c>
      <c r="AP354" s="1">
        <f t="shared" si="39"/>
        <v>0</v>
      </c>
      <c r="AQ354" s="1">
        <f t="shared" si="40"/>
        <v>0</v>
      </c>
    </row>
    <row r="355" spans="1:43"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35"/>
        <v>OK</v>
      </c>
      <c r="AK355" t="str">
        <f t="shared" si="41"/>
        <v>OK</v>
      </c>
      <c r="AL355" t="str">
        <f t="shared" si="36"/>
        <v>OK</v>
      </c>
      <c r="AM355" t="str">
        <f t="shared" si="37"/>
        <v>OK</v>
      </c>
      <c r="AN355" s="1">
        <f>IF(AF355=0,0,AH355/AF355)</f>
        <v>0.8571428571428571</v>
      </c>
      <c r="AO355" s="1">
        <f t="shared" si="38"/>
        <v>1</v>
      </c>
      <c r="AP355" s="1">
        <f t="shared" si="39"/>
        <v>0.2857142857142857</v>
      </c>
      <c r="AQ355" s="1">
        <f t="shared" si="40"/>
        <v>1</v>
      </c>
    </row>
    <row r="356" spans="1:43"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35"/>
        <v>OK</v>
      </c>
      <c r="AK356" t="str">
        <f t="shared" si="41"/>
        <v>OK</v>
      </c>
      <c r="AL356" t="str">
        <f t="shared" si="36"/>
        <v>OK</v>
      </c>
      <c r="AM356" t="str">
        <f t="shared" si="37"/>
        <v>OK</v>
      </c>
      <c r="AN356" s="1">
        <f>IF(AF356=0,0,AH356/AF356)</f>
        <v>1</v>
      </c>
      <c r="AO356" s="1">
        <f t="shared" si="38"/>
        <v>1</v>
      </c>
      <c r="AP356" s="1">
        <f t="shared" si="39"/>
        <v>1</v>
      </c>
      <c r="AQ356" s="1">
        <f t="shared" si="40"/>
        <v>1</v>
      </c>
    </row>
    <row r="357" spans="1:43"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35"/>
        <v>OK</v>
      </c>
      <c r="AK357" t="str">
        <f t="shared" si="41"/>
        <v>OK</v>
      </c>
      <c r="AL357" t="str">
        <f t="shared" si="36"/>
        <v>OK</v>
      </c>
      <c r="AM357" t="str">
        <f t="shared" si="37"/>
        <v>OK</v>
      </c>
      <c r="AN357" s="1">
        <f>IF(AF357=0,0,AH357/AF357)</f>
        <v>0.875</v>
      </c>
      <c r="AO357" s="1">
        <f t="shared" si="38"/>
        <v>0.875</v>
      </c>
      <c r="AP357" s="1">
        <f t="shared" si="39"/>
        <v>0.375</v>
      </c>
      <c r="AQ357" s="1">
        <f t="shared" si="40"/>
        <v>0.875</v>
      </c>
    </row>
    <row r="358" spans="1:43"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35"/>
        <v>OK</v>
      </c>
      <c r="AK358" t="str">
        <f t="shared" si="41"/>
        <v>OK</v>
      </c>
      <c r="AL358" t="str">
        <f t="shared" si="36"/>
        <v>OK</v>
      </c>
      <c r="AM358" t="str">
        <f t="shared" si="37"/>
        <v>OK</v>
      </c>
      <c r="AN358" s="1">
        <f>IF(AF358=0,0,AH358/AF358)</f>
        <v>0</v>
      </c>
      <c r="AO358" s="1">
        <f t="shared" si="38"/>
        <v>0</v>
      </c>
      <c r="AP358" s="1">
        <f t="shared" si="39"/>
        <v>6</v>
      </c>
      <c r="AQ358" s="1">
        <f t="shared" si="40"/>
        <v>0</v>
      </c>
    </row>
    <row r="359" spans="1:43"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35"/>
        <v>OK</v>
      </c>
      <c r="AK359" t="str">
        <f t="shared" si="41"/>
        <v>OK</v>
      </c>
      <c r="AL359" t="str">
        <f t="shared" si="36"/>
        <v>OK</v>
      </c>
      <c r="AM359" t="str">
        <f t="shared" si="37"/>
        <v>OK</v>
      </c>
      <c r="AN359" s="1">
        <f>IF(AF359=0,0,AH359/AF359)</f>
        <v>0.33333333333333331</v>
      </c>
      <c r="AO359" s="1">
        <f t="shared" si="38"/>
        <v>0.66666666666666663</v>
      </c>
      <c r="AP359" s="1">
        <f t="shared" si="39"/>
        <v>1</v>
      </c>
      <c r="AQ359" s="1">
        <f t="shared" si="40"/>
        <v>0.66666666666666663</v>
      </c>
    </row>
    <row r="360" spans="1:43"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35"/>
        <v>OK</v>
      </c>
      <c r="AK360" t="str">
        <f t="shared" si="41"/>
        <v>OK</v>
      </c>
      <c r="AL360" t="str">
        <f t="shared" si="36"/>
        <v>OK</v>
      </c>
      <c r="AM360" t="str">
        <f t="shared" si="37"/>
        <v>OK</v>
      </c>
      <c r="AN360" s="1">
        <f>IF(AF360=0,0,AH360/AF360)</f>
        <v>0</v>
      </c>
      <c r="AO360" s="1">
        <f t="shared" si="38"/>
        <v>0</v>
      </c>
      <c r="AP360" s="1">
        <f t="shared" si="39"/>
        <v>6</v>
      </c>
      <c r="AQ360" s="1">
        <f t="shared" si="40"/>
        <v>0</v>
      </c>
    </row>
    <row r="361" spans="1:43"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35"/>
        <v>OK</v>
      </c>
      <c r="AK361" t="str">
        <f t="shared" si="41"/>
        <v>OK</v>
      </c>
      <c r="AL361" t="str">
        <f t="shared" si="36"/>
        <v>OK</v>
      </c>
      <c r="AM361" t="str">
        <f t="shared" si="37"/>
        <v>OK</v>
      </c>
      <c r="AN361" s="1">
        <f>IF(AF361=0,0,AH361/AF361)</f>
        <v>7.6923076923076927E-2</v>
      </c>
      <c r="AO361" s="1">
        <f t="shared" si="38"/>
        <v>0.69230769230769229</v>
      </c>
      <c r="AP361" s="1">
        <f t="shared" si="39"/>
        <v>0.15384615384615385</v>
      </c>
      <c r="AQ361" s="1">
        <f t="shared" si="40"/>
        <v>0.92307692307692313</v>
      </c>
    </row>
    <row r="362" spans="1:43"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35"/>
        <v>OK</v>
      </c>
      <c r="AK362" t="str">
        <f t="shared" si="41"/>
        <v>OK</v>
      </c>
      <c r="AL362" t="str">
        <f t="shared" si="36"/>
        <v>OK</v>
      </c>
      <c r="AM362" t="str">
        <f t="shared" si="37"/>
        <v>OK</v>
      </c>
      <c r="AN362" s="1">
        <f>IF(AF362=0,0,AH362/AF362)</f>
        <v>0.33333333333333331</v>
      </c>
      <c r="AO362" s="1">
        <f t="shared" si="38"/>
        <v>0.66666666666666663</v>
      </c>
      <c r="AP362" s="1">
        <f t="shared" si="39"/>
        <v>0.66666666666666663</v>
      </c>
      <c r="AQ362" s="1">
        <f t="shared" si="40"/>
        <v>0.66666666666666663</v>
      </c>
    </row>
    <row r="363" spans="1:43"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35"/>
        <v>OK</v>
      </c>
      <c r="AK363" t="str">
        <f t="shared" si="41"/>
        <v>OK</v>
      </c>
      <c r="AL363" t="str">
        <f t="shared" si="36"/>
        <v>OK</v>
      </c>
      <c r="AM363" t="str">
        <f t="shared" si="37"/>
        <v>OK</v>
      </c>
      <c r="AN363" s="1">
        <f>IF(AF363=0,0,AH363/AF363)</f>
        <v>0.14285714285714285</v>
      </c>
      <c r="AO363" s="1">
        <f t="shared" si="38"/>
        <v>1</v>
      </c>
      <c r="AP363" s="1">
        <f t="shared" si="39"/>
        <v>0.42857142857142855</v>
      </c>
      <c r="AQ363" s="1">
        <f t="shared" si="40"/>
        <v>1</v>
      </c>
    </row>
    <row r="364" spans="1:43"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35"/>
        <v>OK</v>
      </c>
      <c r="AK364" t="str">
        <f t="shared" si="41"/>
        <v>OK</v>
      </c>
      <c r="AL364" t="str">
        <f t="shared" si="36"/>
        <v>OK</v>
      </c>
      <c r="AM364" t="str">
        <f t="shared" si="37"/>
        <v>OK</v>
      </c>
      <c r="AN364" s="1">
        <f>IF(AF364=0,0,AH364/AF364)</f>
        <v>0.66666666666666663</v>
      </c>
      <c r="AO364" s="1">
        <f t="shared" si="38"/>
        <v>0.66666666666666663</v>
      </c>
      <c r="AP364" s="1">
        <f t="shared" si="39"/>
        <v>1</v>
      </c>
      <c r="AQ364" s="1">
        <f t="shared" si="40"/>
        <v>0.66666666666666663</v>
      </c>
    </row>
    <row r="365" spans="1:43"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35"/>
        <v>OK</v>
      </c>
      <c r="AK365" t="str">
        <f t="shared" si="41"/>
        <v>OK</v>
      </c>
      <c r="AL365" t="str">
        <f t="shared" si="36"/>
        <v>OK</v>
      </c>
      <c r="AM365" t="str">
        <f t="shared" si="37"/>
        <v>OK</v>
      </c>
      <c r="AN365" s="1">
        <f>IF(AF365=0,0,AH365/AF365)</f>
        <v>0</v>
      </c>
      <c r="AO365" s="1">
        <f t="shared" si="38"/>
        <v>0</v>
      </c>
      <c r="AP365" s="1">
        <f t="shared" si="39"/>
        <v>2</v>
      </c>
      <c r="AQ365" s="1">
        <f t="shared" si="40"/>
        <v>0</v>
      </c>
    </row>
    <row r="366" spans="1:43"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35"/>
        <v>OK</v>
      </c>
      <c r="AK366" t="str">
        <f t="shared" si="41"/>
        <v>OK</v>
      </c>
      <c r="AL366" t="str">
        <f t="shared" si="36"/>
        <v>OK</v>
      </c>
      <c r="AM366" t="str">
        <f t="shared" si="37"/>
        <v>OK</v>
      </c>
      <c r="AN366" s="1">
        <f>IF(AF366=0,0,AH366/AF366)</f>
        <v>0</v>
      </c>
      <c r="AO366" s="1">
        <f t="shared" si="38"/>
        <v>0.8</v>
      </c>
      <c r="AP366" s="1">
        <f t="shared" si="39"/>
        <v>0.6</v>
      </c>
      <c r="AQ366" s="1">
        <f t="shared" si="40"/>
        <v>0.6</v>
      </c>
    </row>
    <row r="367" spans="1:43"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35"/>
        <v>OK</v>
      </c>
      <c r="AK367" t="str">
        <f t="shared" si="41"/>
        <v>OK</v>
      </c>
      <c r="AL367" t="str">
        <f t="shared" si="36"/>
        <v>OK</v>
      </c>
      <c r="AM367" t="str">
        <f t="shared" si="37"/>
        <v>OK</v>
      </c>
      <c r="AN367" s="1">
        <f>IF(AF367=0,0,AH367/AF367)</f>
        <v>0</v>
      </c>
      <c r="AO367" s="1">
        <f t="shared" si="38"/>
        <v>0</v>
      </c>
      <c r="AP367" s="1">
        <f t="shared" si="39"/>
        <v>2</v>
      </c>
      <c r="AQ367" s="1">
        <f t="shared" si="40"/>
        <v>0</v>
      </c>
    </row>
    <row r="368" spans="1:43"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35"/>
        <v>OK</v>
      </c>
      <c r="AK368" t="str">
        <f t="shared" si="41"/>
        <v>OK</v>
      </c>
      <c r="AL368" t="str">
        <f t="shared" si="36"/>
        <v>OK</v>
      </c>
      <c r="AM368" t="str">
        <f t="shared" si="37"/>
        <v>OK</v>
      </c>
      <c r="AN368" s="1">
        <f>IF(AF368=0,0,AH368/AF368)</f>
        <v>0.875</v>
      </c>
      <c r="AO368" s="1">
        <f t="shared" si="38"/>
        <v>0.875</v>
      </c>
      <c r="AP368" s="1">
        <f t="shared" si="39"/>
        <v>0.625</v>
      </c>
      <c r="AQ368" s="1">
        <f t="shared" si="40"/>
        <v>0.875</v>
      </c>
    </row>
    <row r="369" spans="1:43"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35"/>
        <v>OK</v>
      </c>
      <c r="AK369" t="str">
        <f t="shared" si="41"/>
        <v>OK</v>
      </c>
      <c r="AL369" t="str">
        <f t="shared" si="36"/>
        <v>OK</v>
      </c>
      <c r="AM369" t="str">
        <f t="shared" si="37"/>
        <v>OK</v>
      </c>
      <c r="AN369" s="1">
        <f>IF(AF369=0,0,AH369/AF369)</f>
        <v>0.25</v>
      </c>
      <c r="AO369" s="1">
        <f t="shared" si="38"/>
        <v>0.75</v>
      </c>
      <c r="AP369" s="1">
        <f t="shared" si="39"/>
        <v>0.5</v>
      </c>
      <c r="AQ369" s="1">
        <f t="shared" si="40"/>
        <v>0.75</v>
      </c>
    </row>
    <row r="370" spans="1:43"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35"/>
        <v>OK</v>
      </c>
      <c r="AK370" t="str">
        <f t="shared" si="41"/>
        <v>OK</v>
      </c>
      <c r="AL370" t="str">
        <f t="shared" si="36"/>
        <v>OK</v>
      </c>
      <c r="AM370" t="str">
        <f t="shared" si="37"/>
        <v>OK</v>
      </c>
      <c r="AN370" s="1">
        <f>IF(AF370=0,0,AH370/AF370)</f>
        <v>0.16666666666666666</v>
      </c>
      <c r="AO370" s="1">
        <f t="shared" si="38"/>
        <v>0.66666666666666663</v>
      </c>
      <c r="AP370" s="1">
        <f t="shared" si="39"/>
        <v>1</v>
      </c>
      <c r="AQ370" s="1">
        <f t="shared" si="40"/>
        <v>0</v>
      </c>
    </row>
    <row r="371" spans="1:43"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35"/>
        <v>OK</v>
      </c>
      <c r="AK371" t="str">
        <f t="shared" si="41"/>
        <v>OK</v>
      </c>
      <c r="AL371" t="str">
        <f t="shared" si="36"/>
        <v>OK</v>
      </c>
      <c r="AM371" t="str">
        <f t="shared" si="37"/>
        <v>OK</v>
      </c>
      <c r="AN371" s="1">
        <f>IF(AF371=0,0,AH371/AF371)</f>
        <v>1</v>
      </c>
      <c r="AO371" s="1">
        <f t="shared" si="38"/>
        <v>1</v>
      </c>
      <c r="AP371" s="1">
        <f t="shared" si="39"/>
        <v>2.5</v>
      </c>
      <c r="AQ371" s="1">
        <f t="shared" si="40"/>
        <v>1</v>
      </c>
    </row>
    <row r="372" spans="1:43"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35"/>
        <v>OK</v>
      </c>
      <c r="AK372" t="str">
        <f t="shared" si="41"/>
        <v>OK</v>
      </c>
      <c r="AL372" t="str">
        <f t="shared" si="36"/>
        <v>OK</v>
      </c>
      <c r="AM372" t="str">
        <f t="shared" si="37"/>
        <v>OK</v>
      </c>
      <c r="AN372" s="1">
        <f>IF(AF372=0,0,AH372/AF372)</f>
        <v>0</v>
      </c>
      <c r="AO372" s="1">
        <f t="shared" si="38"/>
        <v>0</v>
      </c>
      <c r="AP372" s="1">
        <f t="shared" si="39"/>
        <v>0</v>
      </c>
      <c r="AQ372" s="1">
        <f t="shared" si="40"/>
        <v>0</v>
      </c>
    </row>
    <row r="373" spans="1:43"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35"/>
        <v>OK</v>
      </c>
      <c r="AK373" t="str">
        <f t="shared" si="41"/>
        <v>OK</v>
      </c>
      <c r="AL373" t="str">
        <f t="shared" si="36"/>
        <v>OK</v>
      </c>
      <c r="AM373" t="str">
        <f t="shared" si="37"/>
        <v>OK</v>
      </c>
      <c r="AN373" s="1">
        <f>IF(AF373=0,0,AH373/AF373)</f>
        <v>0.33333333333333331</v>
      </c>
      <c r="AO373" s="1">
        <f t="shared" si="38"/>
        <v>0.66666666666666663</v>
      </c>
      <c r="AP373" s="1">
        <f t="shared" si="39"/>
        <v>1.3333333333333333</v>
      </c>
      <c r="AQ373" s="1">
        <f t="shared" si="40"/>
        <v>0.66666666666666663</v>
      </c>
    </row>
    <row r="374" spans="1:43"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35"/>
        <v>OK</v>
      </c>
      <c r="AK374" t="str">
        <f t="shared" si="41"/>
        <v>OK</v>
      </c>
      <c r="AL374" t="str">
        <f t="shared" si="36"/>
        <v>OK</v>
      </c>
      <c r="AM374" t="str">
        <f t="shared" si="37"/>
        <v>OK</v>
      </c>
      <c r="AN374" s="1">
        <f>IF(AF374=0,0,AH374/AF374)</f>
        <v>0</v>
      </c>
      <c r="AO374" s="1">
        <f t="shared" si="38"/>
        <v>1</v>
      </c>
      <c r="AP374" s="1">
        <f t="shared" si="39"/>
        <v>5</v>
      </c>
      <c r="AQ374" s="1">
        <f t="shared" si="40"/>
        <v>0</v>
      </c>
    </row>
    <row r="375" spans="1:43"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35"/>
        <v>OK</v>
      </c>
      <c r="AK375" t="str">
        <f t="shared" si="41"/>
        <v>OK</v>
      </c>
      <c r="AL375" t="str">
        <f t="shared" si="36"/>
        <v>OK</v>
      </c>
      <c r="AM375" t="str">
        <f t="shared" si="37"/>
        <v>OK</v>
      </c>
      <c r="AN375" s="1">
        <f>IF(AF375=0,0,AH375/AF375)</f>
        <v>0</v>
      </c>
      <c r="AO375" s="1">
        <f t="shared" si="38"/>
        <v>0.4</v>
      </c>
      <c r="AP375" s="1">
        <f t="shared" si="39"/>
        <v>0.4</v>
      </c>
      <c r="AQ375" s="1">
        <f t="shared" si="40"/>
        <v>0.8</v>
      </c>
    </row>
    <row r="376" spans="1:43"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35"/>
        <v>OK</v>
      </c>
      <c r="AK376" t="str">
        <f t="shared" si="41"/>
        <v>OK</v>
      </c>
      <c r="AL376" t="str">
        <f t="shared" si="36"/>
        <v>OK</v>
      </c>
      <c r="AM376" t="str">
        <f t="shared" si="37"/>
        <v>OK</v>
      </c>
      <c r="AN376" s="1">
        <f>IF(AF376=0,0,AH376/AF376)</f>
        <v>0</v>
      </c>
      <c r="AO376" s="1">
        <f t="shared" si="38"/>
        <v>0.7142857142857143</v>
      </c>
      <c r="AP376" s="1">
        <f t="shared" si="39"/>
        <v>0.14285714285714285</v>
      </c>
      <c r="AQ376" s="1">
        <f t="shared" si="40"/>
        <v>1</v>
      </c>
    </row>
    <row r="377" spans="1:43"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35"/>
        <v>OK</v>
      </c>
      <c r="AK377" t="str">
        <f t="shared" si="41"/>
        <v>OK</v>
      </c>
      <c r="AL377" t="str">
        <f t="shared" si="36"/>
        <v>OK</v>
      </c>
      <c r="AM377" t="str">
        <f t="shared" si="37"/>
        <v>OK</v>
      </c>
      <c r="AN377" s="1">
        <f>IF(AF377=0,0,AH377/AF377)</f>
        <v>0</v>
      </c>
      <c r="AO377" s="1">
        <f t="shared" si="38"/>
        <v>0.4</v>
      </c>
      <c r="AP377" s="1">
        <f t="shared" si="39"/>
        <v>0.4</v>
      </c>
      <c r="AQ377" s="1">
        <f t="shared" si="40"/>
        <v>0</v>
      </c>
    </row>
    <row r="378" spans="1:43"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35"/>
        <v>OK</v>
      </c>
      <c r="AK378" t="str">
        <f t="shared" si="41"/>
        <v>OK</v>
      </c>
      <c r="AL378" t="str">
        <f t="shared" si="36"/>
        <v>OK</v>
      </c>
      <c r="AM378" t="str">
        <f t="shared" si="37"/>
        <v>OK</v>
      </c>
      <c r="AN378" s="1">
        <f>IF(AF378=0,0,AH378/AF378)</f>
        <v>0</v>
      </c>
      <c r="AO378" s="1">
        <f t="shared" si="38"/>
        <v>1</v>
      </c>
      <c r="AP378" s="1">
        <f t="shared" si="39"/>
        <v>0.2857142857142857</v>
      </c>
      <c r="AQ378" s="1">
        <f t="shared" si="40"/>
        <v>1</v>
      </c>
    </row>
    <row r="379" spans="1:43"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35"/>
        <v>OK</v>
      </c>
      <c r="AK379" t="str">
        <f t="shared" si="41"/>
        <v>OK</v>
      </c>
      <c r="AL379" t="str">
        <f t="shared" si="36"/>
        <v>OK</v>
      </c>
      <c r="AM379" t="str">
        <f t="shared" si="37"/>
        <v>OK</v>
      </c>
      <c r="AN379" s="1">
        <f>IF(AF379=0,0,AH379/AF379)</f>
        <v>1</v>
      </c>
      <c r="AO379" s="1">
        <f t="shared" si="38"/>
        <v>1</v>
      </c>
      <c r="AP379" s="1">
        <f t="shared" si="39"/>
        <v>1.5</v>
      </c>
      <c r="AQ379" s="1">
        <f t="shared" si="40"/>
        <v>1</v>
      </c>
    </row>
    <row r="380" spans="1:43"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35"/>
        <v>OK</v>
      </c>
      <c r="AK380" t="str">
        <f t="shared" si="41"/>
        <v>OK</v>
      </c>
      <c r="AL380" t="str">
        <f t="shared" si="36"/>
        <v>OK</v>
      </c>
      <c r="AM380" t="str">
        <f t="shared" si="37"/>
        <v>OK</v>
      </c>
      <c r="AN380" s="1">
        <f>IF(AF380=0,0,AH380/AF380)</f>
        <v>0</v>
      </c>
      <c r="AO380" s="1">
        <f t="shared" si="38"/>
        <v>0.4</v>
      </c>
      <c r="AP380" s="1">
        <f t="shared" si="39"/>
        <v>0.6</v>
      </c>
      <c r="AQ380" s="1">
        <f t="shared" si="40"/>
        <v>0.8</v>
      </c>
    </row>
    <row r="381" spans="1:43"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35"/>
        <v>OK</v>
      </c>
      <c r="AK381" t="str">
        <f t="shared" si="41"/>
        <v>OK</v>
      </c>
      <c r="AL381" t="str">
        <f t="shared" si="36"/>
        <v>OK</v>
      </c>
      <c r="AM381" t="str">
        <f t="shared" si="37"/>
        <v>OK</v>
      </c>
      <c r="AN381" s="1">
        <f>IF(AF381=0,0,AH381/AF381)</f>
        <v>0.2</v>
      </c>
      <c r="AO381" s="1">
        <f t="shared" si="38"/>
        <v>0.8</v>
      </c>
      <c r="AP381" s="1">
        <f t="shared" si="39"/>
        <v>0.4</v>
      </c>
      <c r="AQ381" s="1">
        <f t="shared" si="40"/>
        <v>0.4</v>
      </c>
    </row>
    <row r="382" spans="1:43"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35"/>
        <v>OK</v>
      </c>
      <c r="AK382" t="str">
        <f t="shared" si="41"/>
        <v>OK</v>
      </c>
      <c r="AL382" t="str">
        <f t="shared" si="36"/>
        <v>OK</v>
      </c>
      <c r="AM382" t="str">
        <f t="shared" si="37"/>
        <v>OK</v>
      </c>
      <c r="AN382" s="1">
        <f>IF(AF382=0,0,AH382/AF382)</f>
        <v>0</v>
      </c>
      <c r="AO382" s="1">
        <f t="shared" si="38"/>
        <v>0.4</v>
      </c>
      <c r="AP382" s="1">
        <f t="shared" si="39"/>
        <v>0.4</v>
      </c>
      <c r="AQ382" s="1">
        <f t="shared" si="40"/>
        <v>0.6</v>
      </c>
    </row>
    <row r="383" spans="1:43"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35"/>
        <v>OK</v>
      </c>
      <c r="AK383" t="str">
        <f t="shared" si="41"/>
        <v>OK</v>
      </c>
      <c r="AL383" t="str">
        <f t="shared" si="36"/>
        <v>OK</v>
      </c>
      <c r="AM383" t="str">
        <f t="shared" si="37"/>
        <v>OK</v>
      </c>
      <c r="AN383" s="1">
        <f>IF(AF383=0,0,AH383/AF383)</f>
        <v>0</v>
      </c>
      <c r="AO383" s="1">
        <f t="shared" si="38"/>
        <v>0</v>
      </c>
      <c r="AP383" s="1">
        <f t="shared" si="39"/>
        <v>3</v>
      </c>
      <c r="AQ383" s="1">
        <f t="shared" si="40"/>
        <v>0</v>
      </c>
    </row>
    <row r="384" spans="1:43"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35"/>
        <v>OK</v>
      </c>
      <c r="AK384" t="str">
        <f t="shared" si="41"/>
        <v>OK</v>
      </c>
      <c r="AL384" t="str">
        <f t="shared" si="36"/>
        <v>OK</v>
      </c>
      <c r="AM384" t="str">
        <f t="shared" si="37"/>
        <v>OK</v>
      </c>
      <c r="AN384" s="1">
        <f>IF(AF384=0,0,AH384/AF384)</f>
        <v>0</v>
      </c>
      <c r="AO384" s="1">
        <f t="shared" si="38"/>
        <v>0.66666666666666663</v>
      </c>
      <c r="AP384" s="1">
        <f t="shared" si="39"/>
        <v>0.33333333333333331</v>
      </c>
      <c r="AQ384" s="1">
        <f t="shared" si="40"/>
        <v>0.66666666666666663</v>
      </c>
    </row>
    <row r="385" spans="1:43"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35"/>
        <v>OK</v>
      </c>
      <c r="AK385" t="str">
        <f t="shared" si="41"/>
        <v>OK</v>
      </c>
      <c r="AL385" t="str">
        <f t="shared" si="36"/>
        <v>OK</v>
      </c>
      <c r="AM385" t="str">
        <f t="shared" si="37"/>
        <v>OK</v>
      </c>
      <c r="AN385" s="1">
        <f>IF(AF385=0,0,AH385/AF385)</f>
        <v>0.5</v>
      </c>
      <c r="AO385" s="1">
        <f t="shared" si="38"/>
        <v>0.5</v>
      </c>
      <c r="AP385" s="1">
        <f t="shared" si="39"/>
        <v>0.5</v>
      </c>
      <c r="AQ385" s="1">
        <f t="shared" si="40"/>
        <v>1</v>
      </c>
    </row>
    <row r="386" spans="1:43"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si="35"/>
        <v>OK</v>
      </c>
      <c r="AK386" t="str">
        <f t="shared" si="41"/>
        <v>OK</v>
      </c>
      <c r="AL386" t="str">
        <f t="shared" si="36"/>
        <v>OK</v>
      </c>
      <c r="AM386" t="str">
        <f t="shared" si="37"/>
        <v>OK</v>
      </c>
      <c r="AN386" s="1">
        <f>IF(AF386=0,0,AH386/AF386)</f>
        <v>0.9</v>
      </c>
      <c r="AO386" s="1">
        <f t="shared" si="38"/>
        <v>0.9</v>
      </c>
      <c r="AP386" s="1">
        <f t="shared" si="39"/>
        <v>0.2</v>
      </c>
      <c r="AQ386" s="1">
        <f t="shared" si="40"/>
        <v>0</v>
      </c>
    </row>
    <row r="387" spans="1:43"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ref="AJ387:AJ450" si="42">IF(AF387&lt;=AC387, "OK", "ERROR")</f>
        <v>OK</v>
      </c>
      <c r="AK387" t="str">
        <f t="shared" si="41"/>
        <v>OK</v>
      </c>
      <c r="AL387" t="str">
        <f t="shared" ref="AL387:AL450" si="43">IF(AG387&lt;=AF387,"OK","ERROR")</f>
        <v>OK</v>
      </c>
      <c r="AM387" t="str">
        <f t="shared" ref="AM387:AM450" si="44">IF(AI387&lt;=AF387,"OK","ERROR")</f>
        <v>OK</v>
      </c>
      <c r="AN387" s="1">
        <f>IF(AF387=0,0,AH387/AF387)</f>
        <v>0</v>
      </c>
      <c r="AO387" s="1">
        <f t="shared" ref="AO387:AO450" si="45">IF(AF387=0,0,AG387/AF387)</f>
        <v>0</v>
      </c>
      <c r="AP387" s="1">
        <f t="shared" ref="AP387:AP450" si="46">IF(AF387=0,0,AD387/AF387)</f>
        <v>4</v>
      </c>
      <c r="AQ387" s="1">
        <f t="shared" ref="AQ387:AQ450" si="47">IF(AF387=0,0,AI387/AF387)</f>
        <v>0</v>
      </c>
    </row>
    <row r="388" spans="1:43"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42"/>
        <v>OK</v>
      </c>
      <c r="AK388" t="str">
        <f t="shared" ref="AK388:AK451" si="48">IF(AH388&lt;=AF388,"OK", "ERROR")</f>
        <v>OK</v>
      </c>
      <c r="AL388" t="str">
        <f t="shared" si="43"/>
        <v>OK</v>
      </c>
      <c r="AM388" t="str">
        <f t="shared" si="44"/>
        <v>OK</v>
      </c>
      <c r="AN388" s="1">
        <f>IF(AF388=0,0,AH388/AF388)</f>
        <v>0.66666666666666663</v>
      </c>
      <c r="AO388" s="1">
        <f t="shared" si="45"/>
        <v>0.3888888888888889</v>
      </c>
      <c r="AP388" s="1">
        <f t="shared" si="46"/>
        <v>0.1111111111111111</v>
      </c>
      <c r="AQ388" s="1">
        <f t="shared" si="47"/>
        <v>0.94444444444444442</v>
      </c>
    </row>
    <row r="389" spans="1:43"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42"/>
        <v>OK</v>
      </c>
      <c r="AK389" t="str">
        <f t="shared" si="48"/>
        <v>OK</v>
      </c>
      <c r="AL389" t="str">
        <f t="shared" si="43"/>
        <v>OK</v>
      </c>
      <c r="AM389" t="str">
        <f t="shared" si="44"/>
        <v>OK</v>
      </c>
      <c r="AN389" s="1">
        <f>IF(AF389=0,0,AH389/AF389)</f>
        <v>0.2</v>
      </c>
      <c r="AO389" s="1">
        <f t="shared" si="45"/>
        <v>0.8</v>
      </c>
      <c r="AP389" s="1">
        <f t="shared" si="46"/>
        <v>1</v>
      </c>
      <c r="AQ389" s="1">
        <f t="shared" si="47"/>
        <v>0.6</v>
      </c>
    </row>
    <row r="390" spans="1:43"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42"/>
        <v>OK</v>
      </c>
      <c r="AK390" t="str">
        <f t="shared" si="48"/>
        <v>OK</v>
      </c>
      <c r="AL390" t="str">
        <f t="shared" si="43"/>
        <v>OK</v>
      </c>
      <c r="AM390" t="str">
        <f t="shared" si="44"/>
        <v>OK</v>
      </c>
      <c r="AN390" s="1">
        <f>IF(AF390=0,0,AH390/AF390)</f>
        <v>0.2</v>
      </c>
      <c r="AO390" s="1">
        <f t="shared" si="45"/>
        <v>0.4</v>
      </c>
      <c r="AP390" s="1">
        <f t="shared" si="46"/>
        <v>1</v>
      </c>
      <c r="AQ390" s="1">
        <f t="shared" si="47"/>
        <v>0.4</v>
      </c>
    </row>
    <row r="391" spans="1:43"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42"/>
        <v>OK</v>
      </c>
      <c r="AK391" t="str">
        <f t="shared" si="48"/>
        <v>OK</v>
      </c>
      <c r="AL391" t="str">
        <f t="shared" si="43"/>
        <v>OK</v>
      </c>
      <c r="AM391" t="str">
        <f t="shared" si="44"/>
        <v>OK</v>
      </c>
      <c r="AN391" s="1">
        <f>IF(AF391=0,0,AH391/AF391)</f>
        <v>0</v>
      </c>
      <c r="AO391" s="1">
        <f t="shared" si="45"/>
        <v>0</v>
      </c>
      <c r="AP391" s="1">
        <f t="shared" si="46"/>
        <v>2</v>
      </c>
      <c r="AQ391" s="1">
        <f t="shared" si="47"/>
        <v>1</v>
      </c>
    </row>
    <row r="392" spans="1:43"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42"/>
        <v>OK</v>
      </c>
      <c r="AK392" t="str">
        <f t="shared" si="48"/>
        <v>OK</v>
      </c>
      <c r="AL392" t="str">
        <f t="shared" si="43"/>
        <v>OK</v>
      </c>
      <c r="AM392" t="str">
        <f t="shared" si="44"/>
        <v>OK</v>
      </c>
      <c r="AN392" s="1">
        <f>IF(AF392=0,0,AH392/AF392)</f>
        <v>0.12</v>
      </c>
      <c r="AO392" s="1">
        <f t="shared" si="45"/>
        <v>0.4</v>
      </c>
      <c r="AP392" s="1">
        <f t="shared" si="46"/>
        <v>0.12</v>
      </c>
      <c r="AQ392" s="1">
        <f t="shared" si="47"/>
        <v>0.36</v>
      </c>
    </row>
    <row r="393" spans="1:43"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42"/>
        <v>OK</v>
      </c>
      <c r="AK393" t="str">
        <f t="shared" si="48"/>
        <v>OK</v>
      </c>
      <c r="AL393" t="str">
        <f t="shared" si="43"/>
        <v>OK</v>
      </c>
      <c r="AM393" t="str">
        <f t="shared" si="44"/>
        <v>OK</v>
      </c>
      <c r="AN393" s="1">
        <f>IF(AF393=0,0,AH393/AF393)</f>
        <v>0</v>
      </c>
      <c r="AO393" s="1">
        <f t="shared" si="45"/>
        <v>0</v>
      </c>
      <c r="AP393" s="1">
        <f t="shared" si="46"/>
        <v>3</v>
      </c>
      <c r="AQ393" s="1">
        <f t="shared" si="47"/>
        <v>0</v>
      </c>
    </row>
    <row r="394" spans="1:43"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42"/>
        <v>OK</v>
      </c>
      <c r="AK394" t="str">
        <f t="shared" si="48"/>
        <v>OK</v>
      </c>
      <c r="AL394" t="str">
        <f t="shared" si="43"/>
        <v>OK</v>
      </c>
      <c r="AM394" t="str">
        <f t="shared" si="44"/>
        <v>OK</v>
      </c>
      <c r="AN394" s="1">
        <f>IF(AF394=0,0,AH394/AF394)</f>
        <v>0.25</v>
      </c>
      <c r="AO394" s="1">
        <f t="shared" si="45"/>
        <v>0.5</v>
      </c>
      <c r="AP394" s="1">
        <f t="shared" si="46"/>
        <v>1</v>
      </c>
      <c r="AQ394" s="1">
        <f t="shared" si="47"/>
        <v>0.5</v>
      </c>
    </row>
    <row r="395" spans="1:43"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42"/>
        <v>OK</v>
      </c>
      <c r="AK395" t="str">
        <f t="shared" si="48"/>
        <v>OK</v>
      </c>
      <c r="AL395" t="str">
        <f t="shared" si="43"/>
        <v>OK</v>
      </c>
      <c r="AM395" t="str">
        <f t="shared" si="44"/>
        <v>OK</v>
      </c>
      <c r="AN395" s="1">
        <f>IF(AF395=0,0,AH395/AF395)</f>
        <v>0.33333333333333331</v>
      </c>
      <c r="AO395" s="1">
        <f t="shared" si="45"/>
        <v>0.66666666666666663</v>
      </c>
      <c r="AP395" s="1">
        <f t="shared" si="46"/>
        <v>1</v>
      </c>
      <c r="AQ395" s="1">
        <f t="shared" si="47"/>
        <v>0.66666666666666663</v>
      </c>
    </row>
    <row r="396" spans="1:43"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42"/>
        <v>OK</v>
      </c>
      <c r="AK396" t="str">
        <f t="shared" si="48"/>
        <v>OK</v>
      </c>
      <c r="AL396" t="str">
        <f t="shared" si="43"/>
        <v>OK</v>
      </c>
      <c r="AM396" t="str">
        <f t="shared" si="44"/>
        <v>OK</v>
      </c>
      <c r="AN396" s="1">
        <f>IF(AF396=0,0,AH396/AF396)</f>
        <v>0.23076923076923078</v>
      </c>
      <c r="AO396" s="1">
        <f t="shared" si="45"/>
        <v>0.76923076923076927</v>
      </c>
      <c r="AP396" s="1">
        <f t="shared" si="46"/>
        <v>0.38461538461538464</v>
      </c>
      <c r="AQ396" s="1">
        <f t="shared" si="47"/>
        <v>0.92307692307692313</v>
      </c>
    </row>
    <row r="397" spans="1:43"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42"/>
        <v>OK</v>
      </c>
      <c r="AK397" t="str">
        <f t="shared" si="48"/>
        <v>OK</v>
      </c>
      <c r="AL397" t="str">
        <f t="shared" si="43"/>
        <v>OK</v>
      </c>
      <c r="AM397" t="str">
        <f t="shared" si="44"/>
        <v>OK</v>
      </c>
      <c r="AN397" s="1">
        <f>IF(AF397=0,0,AH397/AF397)</f>
        <v>0.33333333333333331</v>
      </c>
      <c r="AO397" s="1">
        <f t="shared" si="45"/>
        <v>0.66666666666666663</v>
      </c>
      <c r="AP397" s="1">
        <f t="shared" si="46"/>
        <v>0.33333333333333331</v>
      </c>
      <c r="AQ397" s="1">
        <f t="shared" si="47"/>
        <v>0.66666666666666663</v>
      </c>
    </row>
    <row r="398" spans="1:43"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42"/>
        <v>OK</v>
      </c>
      <c r="AK398" t="str">
        <f t="shared" si="48"/>
        <v>OK</v>
      </c>
      <c r="AL398" t="str">
        <f t="shared" si="43"/>
        <v>OK</v>
      </c>
      <c r="AM398" t="str">
        <f t="shared" si="44"/>
        <v>OK</v>
      </c>
      <c r="AN398" s="1">
        <f>IF(AF398=0,0,AH398/AF398)</f>
        <v>0</v>
      </c>
      <c r="AO398" s="1">
        <f t="shared" si="45"/>
        <v>0.4</v>
      </c>
      <c r="AP398" s="1">
        <f t="shared" si="46"/>
        <v>0.6</v>
      </c>
      <c r="AQ398" s="1">
        <f t="shared" si="47"/>
        <v>0.4</v>
      </c>
    </row>
    <row r="399" spans="1:43"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42"/>
        <v>OK</v>
      </c>
      <c r="AK399" t="str">
        <f t="shared" si="48"/>
        <v>OK</v>
      </c>
      <c r="AL399" t="str">
        <f t="shared" si="43"/>
        <v>OK</v>
      </c>
      <c r="AM399" t="str">
        <f t="shared" si="44"/>
        <v>OK</v>
      </c>
      <c r="AN399" s="1">
        <f>IF(AF399=0,0,AH399/AF399)</f>
        <v>0.2</v>
      </c>
      <c r="AO399" s="1">
        <f t="shared" si="45"/>
        <v>0.8</v>
      </c>
      <c r="AP399" s="1">
        <f t="shared" si="46"/>
        <v>0.6</v>
      </c>
      <c r="AQ399" s="1">
        <f t="shared" si="47"/>
        <v>0.6</v>
      </c>
    </row>
    <row r="400" spans="1:43"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42"/>
        <v>OK</v>
      </c>
      <c r="AK400" t="str">
        <f t="shared" si="48"/>
        <v>OK</v>
      </c>
      <c r="AL400" t="str">
        <f t="shared" si="43"/>
        <v>OK</v>
      </c>
      <c r="AM400" t="str">
        <f t="shared" si="44"/>
        <v>OK</v>
      </c>
      <c r="AN400" s="1">
        <f>IF(AF400=0,0,AH400/AF400)</f>
        <v>0.76923076923076927</v>
      </c>
      <c r="AO400" s="1">
        <f t="shared" si="45"/>
        <v>0.84615384615384615</v>
      </c>
      <c r="AP400" s="1">
        <f t="shared" si="46"/>
        <v>0.15384615384615385</v>
      </c>
      <c r="AQ400" s="1">
        <f t="shared" si="47"/>
        <v>0.53846153846153844</v>
      </c>
    </row>
    <row r="401" spans="1:43"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42"/>
        <v>OK</v>
      </c>
      <c r="AK401" t="str">
        <f t="shared" si="48"/>
        <v>OK</v>
      </c>
      <c r="AL401" t="str">
        <f t="shared" si="43"/>
        <v>OK</v>
      </c>
      <c r="AM401" t="str">
        <f t="shared" si="44"/>
        <v>OK</v>
      </c>
      <c r="AN401" s="1">
        <f>IF(AF401=0,0,AH401/AF401)</f>
        <v>0.75</v>
      </c>
      <c r="AO401" s="1">
        <f t="shared" si="45"/>
        <v>0.5</v>
      </c>
      <c r="AP401" s="1">
        <f t="shared" si="46"/>
        <v>0.75</v>
      </c>
      <c r="AQ401" s="1">
        <f t="shared" si="47"/>
        <v>0.5</v>
      </c>
    </row>
    <row r="402" spans="1:43"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42"/>
        <v>OK</v>
      </c>
      <c r="AK402" t="str">
        <f t="shared" si="48"/>
        <v>OK</v>
      </c>
      <c r="AL402" t="str">
        <f t="shared" si="43"/>
        <v>OK</v>
      </c>
      <c r="AM402" t="str">
        <f t="shared" si="44"/>
        <v>OK</v>
      </c>
      <c r="AN402" s="1">
        <f>IF(AF402=0,0,AH402/AF402)</f>
        <v>4.7619047619047616E-2</v>
      </c>
      <c r="AO402" s="1">
        <f t="shared" si="45"/>
        <v>0.38095238095238093</v>
      </c>
      <c r="AP402" s="1">
        <f t="shared" si="46"/>
        <v>0.14285714285714285</v>
      </c>
      <c r="AQ402" s="1">
        <f t="shared" si="47"/>
        <v>0.2857142857142857</v>
      </c>
    </row>
    <row r="403" spans="1:43"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42"/>
        <v>OK</v>
      </c>
      <c r="AK403" t="str">
        <f t="shared" si="48"/>
        <v>OK</v>
      </c>
      <c r="AL403" t="str">
        <f t="shared" si="43"/>
        <v>OK</v>
      </c>
      <c r="AM403" t="str">
        <f t="shared" si="44"/>
        <v>OK</v>
      </c>
      <c r="AN403" s="1">
        <f>IF(AF403=0,0,AH403/AF403)</f>
        <v>1</v>
      </c>
      <c r="AO403" s="1">
        <f t="shared" si="45"/>
        <v>1</v>
      </c>
      <c r="AP403" s="1">
        <f t="shared" si="46"/>
        <v>0</v>
      </c>
      <c r="AQ403" s="1">
        <f t="shared" si="47"/>
        <v>1</v>
      </c>
    </row>
    <row r="404" spans="1:43"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42"/>
        <v>OK</v>
      </c>
      <c r="AK404" t="str">
        <f t="shared" si="48"/>
        <v>OK</v>
      </c>
      <c r="AL404" t="str">
        <f t="shared" si="43"/>
        <v>OK</v>
      </c>
      <c r="AM404" t="str">
        <f t="shared" si="44"/>
        <v>OK</v>
      </c>
      <c r="AN404" s="1">
        <f>IF(AF404=0,0,AH404/AF404)</f>
        <v>0.8</v>
      </c>
      <c r="AO404" s="1">
        <f t="shared" si="45"/>
        <v>0.8</v>
      </c>
      <c r="AP404" s="1">
        <f t="shared" si="46"/>
        <v>1.2</v>
      </c>
      <c r="AQ404" s="1">
        <f t="shared" si="47"/>
        <v>0.8</v>
      </c>
    </row>
    <row r="405" spans="1:43"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42"/>
        <v>OK</v>
      </c>
      <c r="AK405" t="str">
        <f t="shared" si="48"/>
        <v>OK</v>
      </c>
      <c r="AL405" t="str">
        <f t="shared" si="43"/>
        <v>OK</v>
      </c>
      <c r="AM405" t="str">
        <f t="shared" si="44"/>
        <v>OK</v>
      </c>
      <c r="AN405" s="1">
        <f>IF(AF405=0,0,AH405/AF405)</f>
        <v>0</v>
      </c>
      <c r="AO405" s="1">
        <f t="shared" si="45"/>
        <v>0.7</v>
      </c>
      <c r="AP405" s="1">
        <f t="shared" si="46"/>
        <v>0.2</v>
      </c>
      <c r="AQ405" s="1">
        <f t="shared" si="47"/>
        <v>0.7</v>
      </c>
    </row>
    <row r="406" spans="1:43"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42"/>
        <v>OK</v>
      </c>
      <c r="AK406" t="str">
        <f t="shared" si="48"/>
        <v>OK</v>
      </c>
      <c r="AL406" t="str">
        <f t="shared" si="43"/>
        <v>OK</v>
      </c>
      <c r="AM406" t="str">
        <f t="shared" si="44"/>
        <v>OK</v>
      </c>
      <c r="AN406" s="1">
        <f>IF(AF406=0,0,AH406/AF406)</f>
        <v>0.1</v>
      </c>
      <c r="AO406" s="1">
        <f t="shared" si="45"/>
        <v>0</v>
      </c>
      <c r="AP406" s="1">
        <f t="shared" si="46"/>
        <v>0.2</v>
      </c>
      <c r="AQ406" s="1">
        <f t="shared" si="47"/>
        <v>0.8</v>
      </c>
    </row>
    <row r="407" spans="1:43"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42"/>
        <v>OK</v>
      </c>
      <c r="AK407" t="str">
        <f t="shared" si="48"/>
        <v>OK</v>
      </c>
      <c r="AL407" t="str">
        <f t="shared" si="43"/>
        <v>OK</v>
      </c>
      <c r="AM407" t="str">
        <f t="shared" si="44"/>
        <v>OK</v>
      </c>
      <c r="AN407" s="1">
        <f>IF(AF407=0,0,AH407/AF407)</f>
        <v>0</v>
      </c>
      <c r="AO407" s="1">
        <f t="shared" si="45"/>
        <v>1</v>
      </c>
      <c r="AP407" s="1">
        <f t="shared" si="46"/>
        <v>2.5</v>
      </c>
      <c r="AQ407" s="1">
        <f t="shared" si="47"/>
        <v>1</v>
      </c>
    </row>
    <row r="408" spans="1:43"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42"/>
        <v>OK</v>
      </c>
      <c r="AK408" t="str">
        <f t="shared" si="48"/>
        <v>OK</v>
      </c>
      <c r="AL408" t="str">
        <f t="shared" si="43"/>
        <v>OK</v>
      </c>
      <c r="AM408" t="str">
        <f t="shared" si="44"/>
        <v>OK</v>
      </c>
      <c r="AN408" s="1">
        <f>IF(AF408=0,0,AH408/AF408)</f>
        <v>0</v>
      </c>
      <c r="AO408" s="1">
        <f t="shared" si="45"/>
        <v>0.8</v>
      </c>
      <c r="AP408" s="1">
        <f t="shared" si="46"/>
        <v>0.8</v>
      </c>
      <c r="AQ408" s="1">
        <f t="shared" si="47"/>
        <v>0.8</v>
      </c>
    </row>
    <row r="409" spans="1:43"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42"/>
        <v>OK</v>
      </c>
      <c r="AK409" t="str">
        <f t="shared" si="48"/>
        <v>OK</v>
      </c>
      <c r="AL409" t="str">
        <f t="shared" si="43"/>
        <v>OK</v>
      </c>
      <c r="AM409" t="str">
        <f t="shared" si="44"/>
        <v>OK</v>
      </c>
      <c r="AN409" s="1">
        <f>IF(AF409=0,0,AH409/AF409)</f>
        <v>0</v>
      </c>
      <c r="AO409" s="1">
        <f t="shared" si="45"/>
        <v>1</v>
      </c>
      <c r="AP409" s="1">
        <f t="shared" si="46"/>
        <v>1.5</v>
      </c>
      <c r="AQ409" s="1">
        <f t="shared" si="47"/>
        <v>1</v>
      </c>
    </row>
    <row r="410" spans="1:43"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42"/>
        <v>OK</v>
      </c>
      <c r="AK410" t="str">
        <f t="shared" si="48"/>
        <v>OK</v>
      </c>
      <c r="AL410" t="str">
        <f t="shared" si="43"/>
        <v>OK</v>
      </c>
      <c r="AM410" t="str">
        <f t="shared" si="44"/>
        <v>OK</v>
      </c>
      <c r="AN410" s="1">
        <f>IF(AF410=0,0,AH410/AF410)</f>
        <v>0.2</v>
      </c>
      <c r="AO410" s="1">
        <f t="shared" si="45"/>
        <v>0.4</v>
      </c>
      <c r="AP410" s="1">
        <f t="shared" si="46"/>
        <v>0.4</v>
      </c>
      <c r="AQ410" s="1">
        <f t="shared" si="47"/>
        <v>0.8</v>
      </c>
    </row>
    <row r="411" spans="1:43"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42"/>
        <v>OK</v>
      </c>
      <c r="AK411" t="str">
        <f t="shared" si="48"/>
        <v>OK</v>
      </c>
      <c r="AL411" t="str">
        <f t="shared" si="43"/>
        <v>OK</v>
      </c>
      <c r="AM411" t="str">
        <f t="shared" si="44"/>
        <v>OK</v>
      </c>
      <c r="AN411" s="1">
        <f>IF(AF411=0,0,AH411/AF411)</f>
        <v>0</v>
      </c>
      <c r="AO411" s="1">
        <f t="shared" si="45"/>
        <v>0.8</v>
      </c>
      <c r="AP411" s="1">
        <f t="shared" si="46"/>
        <v>0.6</v>
      </c>
      <c r="AQ411" s="1">
        <f t="shared" si="47"/>
        <v>0.4</v>
      </c>
    </row>
    <row r="412" spans="1:43"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42"/>
        <v>OK</v>
      </c>
      <c r="AK412" t="str">
        <f t="shared" si="48"/>
        <v>OK</v>
      </c>
      <c r="AL412" t="str">
        <f t="shared" si="43"/>
        <v>OK</v>
      </c>
      <c r="AM412" t="str">
        <f t="shared" si="44"/>
        <v>OK</v>
      </c>
      <c r="AN412" s="1">
        <f>IF(AF412=0,0,AH412/AF412)</f>
        <v>0</v>
      </c>
      <c r="AO412" s="1">
        <f t="shared" si="45"/>
        <v>0.8</v>
      </c>
      <c r="AP412" s="1">
        <f t="shared" si="46"/>
        <v>0.4</v>
      </c>
      <c r="AQ412" s="1">
        <f t="shared" si="47"/>
        <v>0.4</v>
      </c>
    </row>
    <row r="413" spans="1:43"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42"/>
        <v>OK</v>
      </c>
      <c r="AK413" t="str">
        <f t="shared" si="48"/>
        <v>OK</v>
      </c>
      <c r="AL413" t="str">
        <f t="shared" si="43"/>
        <v>OK</v>
      </c>
      <c r="AM413" t="str">
        <f t="shared" si="44"/>
        <v>OK</v>
      </c>
      <c r="AN413" s="1">
        <f>IF(AF413=0,0,AH413/AF413)</f>
        <v>0.37931034482758619</v>
      </c>
      <c r="AO413" s="1">
        <f t="shared" si="45"/>
        <v>0.27586206896551724</v>
      </c>
      <c r="AP413" s="1">
        <f t="shared" si="46"/>
        <v>0.17241379310344829</v>
      </c>
      <c r="AQ413" s="1">
        <f t="shared" si="47"/>
        <v>0.34482758620689657</v>
      </c>
    </row>
    <row r="414" spans="1:43"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42"/>
        <v>OK</v>
      </c>
      <c r="AK414" t="str">
        <f t="shared" si="48"/>
        <v>OK</v>
      </c>
      <c r="AL414" t="str">
        <f t="shared" si="43"/>
        <v>OK</v>
      </c>
      <c r="AM414" t="str">
        <f t="shared" si="44"/>
        <v>OK</v>
      </c>
      <c r="AN414" s="1">
        <f>IF(AF414=0,0,AH414/AF414)</f>
        <v>0</v>
      </c>
      <c r="AO414" s="1">
        <f t="shared" si="45"/>
        <v>0.7</v>
      </c>
      <c r="AP414" s="1">
        <f t="shared" si="46"/>
        <v>0.5</v>
      </c>
      <c r="AQ414" s="1">
        <f t="shared" si="47"/>
        <v>0.8</v>
      </c>
    </row>
    <row r="415" spans="1:43"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42"/>
        <v>OK</v>
      </c>
      <c r="AK415" t="str">
        <f t="shared" si="48"/>
        <v>OK</v>
      </c>
      <c r="AL415" t="str">
        <f t="shared" si="43"/>
        <v>OK</v>
      </c>
      <c r="AM415" t="str">
        <f t="shared" si="44"/>
        <v>OK</v>
      </c>
      <c r="AN415" s="1">
        <f>IF(AF415=0,0,AH415/AF415)</f>
        <v>0</v>
      </c>
      <c r="AO415" s="1">
        <f t="shared" si="45"/>
        <v>0.83333333333333337</v>
      </c>
      <c r="AP415" s="1">
        <f t="shared" si="46"/>
        <v>0.66666666666666663</v>
      </c>
      <c r="AQ415" s="1">
        <f t="shared" si="47"/>
        <v>0.66666666666666663</v>
      </c>
    </row>
    <row r="416" spans="1:43"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42"/>
        <v>OK</v>
      </c>
      <c r="AK416" t="str">
        <f t="shared" si="48"/>
        <v>OK</v>
      </c>
      <c r="AL416" t="str">
        <f t="shared" si="43"/>
        <v>OK</v>
      </c>
      <c r="AM416" t="str">
        <f t="shared" si="44"/>
        <v>OK</v>
      </c>
      <c r="AN416" s="1">
        <f>IF(AF416=0,0,AH416/AF416)</f>
        <v>0.2</v>
      </c>
      <c r="AO416" s="1">
        <f t="shared" si="45"/>
        <v>0.6</v>
      </c>
      <c r="AP416" s="1">
        <f t="shared" si="46"/>
        <v>0.8</v>
      </c>
      <c r="AQ416" s="1">
        <f t="shared" si="47"/>
        <v>0.8</v>
      </c>
    </row>
    <row r="417" spans="1:43"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42"/>
        <v>OK</v>
      </c>
      <c r="AK417" t="str">
        <f t="shared" si="48"/>
        <v>OK</v>
      </c>
      <c r="AL417" t="str">
        <f t="shared" si="43"/>
        <v>OK</v>
      </c>
      <c r="AM417" t="str">
        <f t="shared" si="44"/>
        <v>OK</v>
      </c>
      <c r="AN417" s="1">
        <f>IF(AF417=0,0,AH417/AF417)</f>
        <v>0.5</v>
      </c>
      <c r="AO417" s="1">
        <f t="shared" si="45"/>
        <v>1</v>
      </c>
      <c r="AP417" s="1">
        <f t="shared" si="46"/>
        <v>1.5</v>
      </c>
      <c r="AQ417" s="1">
        <f t="shared" si="47"/>
        <v>0</v>
      </c>
    </row>
    <row r="418" spans="1:43"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42"/>
        <v>OK</v>
      </c>
      <c r="AK418" t="str">
        <f t="shared" si="48"/>
        <v>OK</v>
      </c>
      <c r="AL418" t="str">
        <f t="shared" si="43"/>
        <v>OK</v>
      </c>
      <c r="AM418" t="str">
        <f t="shared" si="44"/>
        <v>OK</v>
      </c>
      <c r="AN418" s="1">
        <f>IF(AF418=0,0,AH418/AF418)</f>
        <v>0</v>
      </c>
      <c r="AO418" s="1">
        <f t="shared" si="45"/>
        <v>0</v>
      </c>
      <c r="AP418" s="1">
        <f t="shared" si="46"/>
        <v>3</v>
      </c>
      <c r="AQ418" s="1">
        <f t="shared" si="47"/>
        <v>0</v>
      </c>
    </row>
    <row r="419" spans="1:43"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42"/>
        <v>OK</v>
      </c>
      <c r="AK419" t="str">
        <f t="shared" si="48"/>
        <v>OK</v>
      </c>
      <c r="AL419" t="str">
        <f t="shared" si="43"/>
        <v>OK</v>
      </c>
      <c r="AM419" t="str">
        <f t="shared" si="44"/>
        <v>OK</v>
      </c>
      <c r="AN419" s="1">
        <f>IF(AF419=0,0,AH419/AF419)</f>
        <v>0.05</v>
      </c>
      <c r="AO419" s="1">
        <f t="shared" si="45"/>
        <v>0.75</v>
      </c>
      <c r="AP419" s="1">
        <f t="shared" si="46"/>
        <v>0.1</v>
      </c>
      <c r="AQ419" s="1">
        <f t="shared" si="47"/>
        <v>0.6</v>
      </c>
    </row>
    <row r="420" spans="1:43"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42"/>
        <v>OK</v>
      </c>
      <c r="AK420" t="str">
        <f t="shared" si="48"/>
        <v>OK</v>
      </c>
      <c r="AL420" t="str">
        <f t="shared" si="43"/>
        <v>OK</v>
      </c>
      <c r="AM420" t="str">
        <f t="shared" si="44"/>
        <v>OK</v>
      </c>
      <c r="AN420" s="1">
        <f>IF(AF420=0,0,AH420/AF420)</f>
        <v>0</v>
      </c>
      <c r="AO420" s="1">
        <f t="shared" si="45"/>
        <v>0.66666666666666663</v>
      </c>
      <c r="AP420" s="1">
        <f t="shared" si="46"/>
        <v>1</v>
      </c>
      <c r="AQ420" s="1">
        <f t="shared" si="47"/>
        <v>0.66666666666666663</v>
      </c>
    </row>
    <row r="421" spans="1:43"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42"/>
        <v>OK</v>
      </c>
      <c r="AK421" t="str">
        <f t="shared" si="48"/>
        <v>OK</v>
      </c>
      <c r="AL421" t="str">
        <f t="shared" si="43"/>
        <v>OK</v>
      </c>
      <c r="AM421" t="str">
        <f t="shared" si="44"/>
        <v>OK</v>
      </c>
      <c r="AN421" s="1">
        <f>IF(AF421=0,0,AH421/AF421)</f>
        <v>0.2</v>
      </c>
      <c r="AO421" s="1">
        <f t="shared" si="45"/>
        <v>0.6</v>
      </c>
      <c r="AP421" s="1">
        <f t="shared" si="46"/>
        <v>0.6</v>
      </c>
      <c r="AQ421" s="1">
        <f t="shared" si="47"/>
        <v>0.8</v>
      </c>
    </row>
    <row r="422" spans="1:43"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42"/>
        <v>OK</v>
      </c>
      <c r="AK422" t="str">
        <f t="shared" si="48"/>
        <v>OK</v>
      </c>
      <c r="AL422" t="str">
        <f t="shared" si="43"/>
        <v>OK</v>
      </c>
      <c r="AM422" t="str">
        <f t="shared" si="44"/>
        <v>OK</v>
      </c>
      <c r="AN422" s="1">
        <f>IF(AF422=0,0,AH422/AF422)</f>
        <v>0</v>
      </c>
      <c r="AO422" s="1">
        <f t="shared" si="45"/>
        <v>0.2</v>
      </c>
      <c r="AP422" s="1">
        <f t="shared" si="46"/>
        <v>0.2</v>
      </c>
      <c r="AQ422" s="1">
        <f t="shared" si="47"/>
        <v>0.7</v>
      </c>
    </row>
    <row r="423" spans="1:43"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42"/>
        <v>OK</v>
      </c>
      <c r="AK423" t="str">
        <f t="shared" si="48"/>
        <v>OK</v>
      </c>
      <c r="AL423" t="str">
        <f t="shared" si="43"/>
        <v>OK</v>
      </c>
      <c r="AM423" t="str">
        <f t="shared" si="44"/>
        <v>OK</v>
      </c>
      <c r="AN423" s="1">
        <f>IF(AF423=0,0,AH423/AF423)</f>
        <v>0.5</v>
      </c>
      <c r="AO423" s="1">
        <f t="shared" si="45"/>
        <v>1</v>
      </c>
      <c r="AP423" s="1">
        <f t="shared" si="46"/>
        <v>1</v>
      </c>
      <c r="AQ423" s="1">
        <f t="shared" si="47"/>
        <v>0.5</v>
      </c>
    </row>
    <row r="424" spans="1:43"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42"/>
        <v>OK</v>
      </c>
      <c r="AK424" t="str">
        <f t="shared" si="48"/>
        <v>OK</v>
      </c>
      <c r="AL424" t="str">
        <f t="shared" si="43"/>
        <v>OK</v>
      </c>
      <c r="AM424" t="str">
        <f t="shared" si="44"/>
        <v>OK</v>
      </c>
      <c r="AN424" s="1">
        <f>IF(AF424=0,0,AH424/AF424)</f>
        <v>0</v>
      </c>
      <c r="AO424" s="1">
        <f t="shared" si="45"/>
        <v>0</v>
      </c>
      <c r="AP424" s="1">
        <f t="shared" si="46"/>
        <v>3</v>
      </c>
      <c r="AQ424" s="1">
        <f t="shared" si="47"/>
        <v>0</v>
      </c>
    </row>
    <row r="425" spans="1:43"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42"/>
        <v>OK</v>
      </c>
      <c r="AK425" t="str">
        <f t="shared" si="48"/>
        <v>OK</v>
      </c>
      <c r="AL425" t="str">
        <f t="shared" si="43"/>
        <v>OK</v>
      </c>
      <c r="AM425" t="str">
        <f t="shared" si="44"/>
        <v>OK</v>
      </c>
      <c r="AN425" s="1">
        <f>IF(AF425=0,0,AH425/AF425)</f>
        <v>0.77777777777777779</v>
      </c>
      <c r="AO425" s="1">
        <f t="shared" si="45"/>
        <v>0.88888888888888884</v>
      </c>
      <c r="AP425" s="1">
        <f t="shared" si="46"/>
        <v>0.33333333333333331</v>
      </c>
      <c r="AQ425" s="1">
        <f t="shared" si="47"/>
        <v>0.88888888888888884</v>
      </c>
    </row>
    <row r="426" spans="1:43"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42"/>
        <v>OK</v>
      </c>
      <c r="AK426" t="str">
        <f t="shared" si="48"/>
        <v>OK</v>
      </c>
      <c r="AL426" t="str">
        <f t="shared" si="43"/>
        <v>OK</v>
      </c>
      <c r="AM426" t="str">
        <f t="shared" si="44"/>
        <v>OK</v>
      </c>
      <c r="AN426" s="1">
        <f>IF(AF426=0,0,AH426/AF426)</f>
        <v>0</v>
      </c>
      <c r="AO426" s="1">
        <f t="shared" si="45"/>
        <v>0</v>
      </c>
      <c r="AP426" s="1">
        <f t="shared" si="46"/>
        <v>3</v>
      </c>
      <c r="AQ426" s="1">
        <f t="shared" si="47"/>
        <v>0</v>
      </c>
    </row>
    <row r="427" spans="1:43"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42"/>
        <v>OK</v>
      </c>
      <c r="AK427" t="str">
        <f t="shared" si="48"/>
        <v>OK</v>
      </c>
      <c r="AL427" t="str">
        <f t="shared" si="43"/>
        <v>OK</v>
      </c>
      <c r="AM427" t="str">
        <f t="shared" si="44"/>
        <v>OK</v>
      </c>
      <c r="AN427" s="1">
        <f>IF(AF427=0,0,AH427/AF427)</f>
        <v>0.55555555555555558</v>
      </c>
      <c r="AO427" s="1">
        <f t="shared" si="45"/>
        <v>0.37037037037037035</v>
      </c>
      <c r="AP427" s="1">
        <f t="shared" si="46"/>
        <v>7.407407407407407E-2</v>
      </c>
      <c r="AQ427" s="1">
        <f t="shared" si="47"/>
        <v>0.25925925925925924</v>
      </c>
    </row>
    <row r="428" spans="1:43"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42"/>
        <v>OK</v>
      </c>
      <c r="AK428" t="str">
        <f t="shared" si="48"/>
        <v>OK</v>
      </c>
      <c r="AL428" t="str">
        <f t="shared" si="43"/>
        <v>OK</v>
      </c>
      <c r="AM428" t="str">
        <f t="shared" si="44"/>
        <v>OK</v>
      </c>
      <c r="AN428" s="1">
        <f>IF(AF428=0,0,AH428/AF428)</f>
        <v>0.54545454545454541</v>
      </c>
      <c r="AO428" s="1">
        <f t="shared" si="45"/>
        <v>0.63636363636363635</v>
      </c>
      <c r="AP428" s="1">
        <f t="shared" si="46"/>
        <v>0.18181818181818182</v>
      </c>
      <c r="AQ428" s="1">
        <f t="shared" si="47"/>
        <v>0.63636363636363635</v>
      </c>
    </row>
    <row r="429" spans="1:43"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42"/>
        <v>OK</v>
      </c>
      <c r="AK429" t="str">
        <f t="shared" si="48"/>
        <v>OK</v>
      </c>
      <c r="AL429" t="str">
        <f t="shared" si="43"/>
        <v>OK</v>
      </c>
      <c r="AM429" t="str">
        <f t="shared" si="44"/>
        <v>OK</v>
      </c>
      <c r="AN429" s="1">
        <f>IF(AF429=0,0,AH429/AF429)</f>
        <v>0.72222222222222221</v>
      </c>
      <c r="AO429" s="1">
        <f t="shared" si="45"/>
        <v>0.72222222222222221</v>
      </c>
      <c r="AP429" s="1">
        <f t="shared" si="46"/>
        <v>0.27777777777777779</v>
      </c>
      <c r="AQ429" s="1">
        <f t="shared" si="47"/>
        <v>0.61111111111111116</v>
      </c>
    </row>
    <row r="430" spans="1:43"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42"/>
        <v>OK</v>
      </c>
      <c r="AK430" t="str">
        <f t="shared" si="48"/>
        <v>OK</v>
      </c>
      <c r="AL430" t="str">
        <f t="shared" si="43"/>
        <v>OK</v>
      </c>
      <c r="AM430" t="str">
        <f t="shared" si="44"/>
        <v>OK</v>
      </c>
      <c r="AN430" s="1">
        <f>IF(AF430=0,0,AH430/AF430)</f>
        <v>0</v>
      </c>
      <c r="AO430" s="1">
        <f t="shared" si="45"/>
        <v>0</v>
      </c>
      <c r="AP430" s="1">
        <f t="shared" si="46"/>
        <v>0.4</v>
      </c>
      <c r="AQ430" s="1">
        <f t="shared" si="47"/>
        <v>0.8</v>
      </c>
    </row>
    <row r="431" spans="1:43"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42"/>
        <v>OK</v>
      </c>
      <c r="AK431" t="str">
        <f t="shared" si="48"/>
        <v>OK</v>
      </c>
      <c r="AL431" t="str">
        <f t="shared" si="43"/>
        <v>OK</v>
      </c>
      <c r="AM431" t="str">
        <f t="shared" si="44"/>
        <v>OK</v>
      </c>
      <c r="AN431" s="1">
        <f>IF(AF431=0,0,AH431/AF431)</f>
        <v>0</v>
      </c>
      <c r="AO431" s="1">
        <f t="shared" si="45"/>
        <v>0.66666666666666663</v>
      </c>
      <c r="AP431" s="1">
        <f t="shared" si="46"/>
        <v>0.66666666666666663</v>
      </c>
      <c r="AQ431" s="1">
        <f t="shared" si="47"/>
        <v>0.33333333333333331</v>
      </c>
    </row>
    <row r="432" spans="1:43"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42"/>
        <v>OK</v>
      </c>
      <c r="AK432" t="str">
        <f t="shared" si="48"/>
        <v>OK</v>
      </c>
      <c r="AL432" t="str">
        <f t="shared" si="43"/>
        <v>OK</v>
      </c>
      <c r="AM432" t="str">
        <f t="shared" si="44"/>
        <v>OK</v>
      </c>
      <c r="AN432" s="1">
        <f>IF(AF432=0,0,AH432/AF432)</f>
        <v>0.8</v>
      </c>
      <c r="AO432" s="1">
        <f t="shared" si="45"/>
        <v>0.8</v>
      </c>
      <c r="AP432" s="1">
        <f t="shared" si="46"/>
        <v>0.4</v>
      </c>
      <c r="AQ432" s="1">
        <f t="shared" si="47"/>
        <v>0.6</v>
      </c>
    </row>
    <row r="433" spans="1:43"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42"/>
        <v>OK</v>
      </c>
      <c r="AK433" t="str">
        <f t="shared" si="48"/>
        <v>OK</v>
      </c>
      <c r="AL433" t="str">
        <f t="shared" si="43"/>
        <v>OK</v>
      </c>
      <c r="AM433" t="str">
        <f t="shared" si="44"/>
        <v>OK</v>
      </c>
      <c r="AN433" s="1">
        <f>IF(AF433=0,0,AH433/AF433)</f>
        <v>0</v>
      </c>
      <c r="AO433" s="1">
        <f t="shared" si="45"/>
        <v>0</v>
      </c>
      <c r="AP433" s="1">
        <f t="shared" si="46"/>
        <v>3</v>
      </c>
      <c r="AQ433" s="1">
        <f t="shared" si="47"/>
        <v>0</v>
      </c>
    </row>
    <row r="434" spans="1:43"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42"/>
        <v>OK</v>
      </c>
      <c r="AK434" t="str">
        <f t="shared" si="48"/>
        <v>OK</v>
      </c>
      <c r="AL434" t="str">
        <f t="shared" si="43"/>
        <v>OK</v>
      </c>
      <c r="AM434" t="str">
        <f t="shared" si="44"/>
        <v>OK</v>
      </c>
      <c r="AN434" s="1">
        <f>IF(AF434=0,0,AH434/AF434)</f>
        <v>0.7142857142857143</v>
      </c>
      <c r="AO434" s="1">
        <f t="shared" si="45"/>
        <v>0.42857142857142855</v>
      </c>
      <c r="AP434" s="1">
        <f t="shared" si="46"/>
        <v>0.42857142857142855</v>
      </c>
      <c r="AQ434" s="1">
        <f t="shared" si="47"/>
        <v>1</v>
      </c>
    </row>
    <row r="435" spans="1:43"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42"/>
        <v>OK</v>
      </c>
      <c r="AK435" t="str">
        <f t="shared" si="48"/>
        <v>OK</v>
      </c>
      <c r="AL435" t="str">
        <f t="shared" si="43"/>
        <v>OK</v>
      </c>
      <c r="AM435" t="str">
        <f t="shared" si="44"/>
        <v>OK</v>
      </c>
      <c r="AN435" s="1">
        <f>IF(AF435=0,0,AH435/AF435)</f>
        <v>0.33333333333333331</v>
      </c>
      <c r="AO435" s="1">
        <f t="shared" si="45"/>
        <v>0.66666666666666663</v>
      </c>
      <c r="AP435" s="1">
        <f t="shared" si="46"/>
        <v>1</v>
      </c>
      <c r="AQ435" s="1">
        <f t="shared" si="47"/>
        <v>0.66666666666666663</v>
      </c>
    </row>
    <row r="436" spans="1:43"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42"/>
        <v>OK</v>
      </c>
      <c r="AK436" t="str">
        <f t="shared" si="48"/>
        <v>OK</v>
      </c>
      <c r="AL436" t="str">
        <f t="shared" si="43"/>
        <v>OK</v>
      </c>
      <c r="AM436" t="str">
        <f t="shared" si="44"/>
        <v>OK</v>
      </c>
      <c r="AN436" s="1">
        <f>IF(AF436=0,0,AH436/AF436)</f>
        <v>0</v>
      </c>
      <c r="AO436" s="1">
        <f t="shared" si="45"/>
        <v>0.61538461538461542</v>
      </c>
      <c r="AP436" s="1">
        <f t="shared" si="46"/>
        <v>0.46153846153846156</v>
      </c>
      <c r="AQ436" s="1">
        <f t="shared" si="47"/>
        <v>0.61538461538461542</v>
      </c>
    </row>
    <row r="437" spans="1:43"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42"/>
        <v>OK</v>
      </c>
      <c r="AK437" t="str">
        <f t="shared" si="48"/>
        <v>OK</v>
      </c>
      <c r="AL437" t="str">
        <f t="shared" si="43"/>
        <v>OK</v>
      </c>
      <c r="AM437" t="str">
        <f t="shared" si="44"/>
        <v>OK</v>
      </c>
      <c r="AN437" s="1">
        <f>IF(AF437=0,0,AH437/AF437)</f>
        <v>1</v>
      </c>
      <c r="AO437" s="1">
        <f t="shared" si="45"/>
        <v>0.8571428571428571</v>
      </c>
      <c r="AP437" s="1">
        <f t="shared" si="46"/>
        <v>0.2857142857142857</v>
      </c>
      <c r="AQ437" s="1">
        <f t="shared" si="47"/>
        <v>1</v>
      </c>
    </row>
    <row r="438" spans="1:43"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42"/>
        <v>OK</v>
      </c>
      <c r="AK438" t="str">
        <f t="shared" si="48"/>
        <v>OK</v>
      </c>
      <c r="AL438" t="str">
        <f t="shared" si="43"/>
        <v>OK</v>
      </c>
      <c r="AM438" t="str">
        <f t="shared" si="44"/>
        <v>OK</v>
      </c>
      <c r="AN438" s="1">
        <f>IF(AF438=0,0,AH438/AF438)</f>
        <v>0.25</v>
      </c>
      <c r="AO438" s="1">
        <f t="shared" si="45"/>
        <v>0.75</v>
      </c>
      <c r="AP438" s="1">
        <f t="shared" si="46"/>
        <v>0.5</v>
      </c>
      <c r="AQ438" s="1">
        <f t="shared" si="47"/>
        <v>0.75</v>
      </c>
    </row>
    <row r="439" spans="1:43"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42"/>
        <v>OK</v>
      </c>
      <c r="AK439" t="str">
        <f t="shared" si="48"/>
        <v>OK</v>
      </c>
      <c r="AL439" t="str">
        <f t="shared" si="43"/>
        <v>OK</v>
      </c>
      <c r="AM439" t="str">
        <f t="shared" si="44"/>
        <v>OK</v>
      </c>
      <c r="AN439" s="1">
        <f>IF(AF439=0,0,AH439/AF439)</f>
        <v>0.33333333333333331</v>
      </c>
      <c r="AO439" s="1">
        <f t="shared" si="45"/>
        <v>0.66666666666666663</v>
      </c>
      <c r="AP439" s="1">
        <f t="shared" si="46"/>
        <v>1</v>
      </c>
      <c r="AQ439" s="1">
        <f t="shared" si="47"/>
        <v>0.66666666666666663</v>
      </c>
    </row>
    <row r="440" spans="1:43"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42"/>
        <v>OK</v>
      </c>
      <c r="AK440" t="str">
        <f t="shared" si="48"/>
        <v>OK</v>
      </c>
      <c r="AL440" t="str">
        <f t="shared" si="43"/>
        <v>OK</v>
      </c>
      <c r="AM440" t="str">
        <f t="shared" si="44"/>
        <v>OK</v>
      </c>
      <c r="AN440" s="1">
        <f>IF(AF440=0,0,AH440/AF440)</f>
        <v>0</v>
      </c>
      <c r="AO440" s="1">
        <f t="shared" si="45"/>
        <v>0.875</v>
      </c>
      <c r="AP440" s="1">
        <f t="shared" si="46"/>
        <v>0.25</v>
      </c>
      <c r="AQ440" s="1">
        <f t="shared" si="47"/>
        <v>0</v>
      </c>
    </row>
    <row r="441" spans="1:43"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42"/>
        <v>OK</v>
      </c>
      <c r="AK441" t="str">
        <f t="shared" si="48"/>
        <v>OK</v>
      </c>
      <c r="AL441" t="str">
        <f t="shared" si="43"/>
        <v>OK</v>
      </c>
      <c r="AM441" t="str">
        <f t="shared" si="44"/>
        <v>OK</v>
      </c>
      <c r="AN441" s="1">
        <f>IF(AF441=0,0,AH441/AF441)</f>
        <v>0</v>
      </c>
      <c r="AO441" s="1">
        <f t="shared" si="45"/>
        <v>0</v>
      </c>
      <c r="AP441" s="1">
        <f t="shared" si="46"/>
        <v>2</v>
      </c>
      <c r="AQ441" s="1">
        <f t="shared" si="47"/>
        <v>0</v>
      </c>
    </row>
    <row r="442" spans="1:43"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42"/>
        <v>OK</v>
      </c>
      <c r="AK442" t="str">
        <f t="shared" si="48"/>
        <v>OK</v>
      </c>
      <c r="AL442" t="str">
        <f t="shared" si="43"/>
        <v>OK</v>
      </c>
      <c r="AM442" t="str">
        <f t="shared" si="44"/>
        <v>OK</v>
      </c>
      <c r="AN442" s="1">
        <f>IF(AF442=0,0,AH442/AF442)</f>
        <v>0</v>
      </c>
      <c r="AO442" s="1">
        <f t="shared" si="45"/>
        <v>0.66666666666666663</v>
      </c>
      <c r="AP442" s="1">
        <f t="shared" si="46"/>
        <v>0.66666666666666663</v>
      </c>
      <c r="AQ442" s="1">
        <f t="shared" si="47"/>
        <v>0.66666666666666663</v>
      </c>
    </row>
    <row r="443" spans="1:43"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42"/>
        <v>OK</v>
      </c>
      <c r="AK443" t="str">
        <f t="shared" si="48"/>
        <v>OK</v>
      </c>
      <c r="AL443" t="str">
        <f t="shared" si="43"/>
        <v>OK</v>
      </c>
      <c r="AM443" t="str">
        <f t="shared" si="44"/>
        <v>OK</v>
      </c>
      <c r="AN443" s="1">
        <f>IF(AF443=0,0,AH443/AF443)</f>
        <v>1</v>
      </c>
      <c r="AO443" s="1">
        <f t="shared" si="45"/>
        <v>1</v>
      </c>
      <c r="AP443" s="1">
        <f t="shared" si="46"/>
        <v>2</v>
      </c>
      <c r="AQ443" s="1">
        <f t="shared" si="47"/>
        <v>0</v>
      </c>
    </row>
    <row r="444" spans="1:43"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42"/>
        <v>OK</v>
      </c>
      <c r="AK444" t="str">
        <f t="shared" si="48"/>
        <v>OK</v>
      </c>
      <c r="AL444" t="str">
        <f t="shared" si="43"/>
        <v>OK</v>
      </c>
      <c r="AM444" t="str">
        <f t="shared" si="44"/>
        <v>OK</v>
      </c>
      <c r="AN444" s="1">
        <f>IF(AF444=0,0,AH444/AF444)</f>
        <v>0.9</v>
      </c>
      <c r="AO444" s="1">
        <f t="shared" si="45"/>
        <v>0.3</v>
      </c>
      <c r="AP444" s="1">
        <f t="shared" si="46"/>
        <v>0.3</v>
      </c>
      <c r="AQ444" s="1">
        <f t="shared" si="47"/>
        <v>0.7</v>
      </c>
    </row>
    <row r="445" spans="1:43"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42"/>
        <v>OK</v>
      </c>
      <c r="AK445" t="str">
        <f t="shared" si="48"/>
        <v>OK</v>
      </c>
      <c r="AL445" t="str">
        <f t="shared" si="43"/>
        <v>OK</v>
      </c>
      <c r="AM445" t="str">
        <f t="shared" si="44"/>
        <v>OK</v>
      </c>
      <c r="AN445" s="1">
        <f>IF(AF445=0,0,AH445/AF445)</f>
        <v>0.5</v>
      </c>
      <c r="AO445" s="1">
        <f t="shared" si="45"/>
        <v>1</v>
      </c>
      <c r="AP445" s="1">
        <f t="shared" si="46"/>
        <v>1.5</v>
      </c>
      <c r="AQ445" s="1">
        <f t="shared" si="47"/>
        <v>1</v>
      </c>
    </row>
    <row r="446" spans="1:43"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42"/>
        <v>OK</v>
      </c>
      <c r="AK446" t="str">
        <f t="shared" si="48"/>
        <v>OK</v>
      </c>
      <c r="AL446" t="str">
        <f t="shared" si="43"/>
        <v>OK</v>
      </c>
      <c r="AM446" t="str">
        <f t="shared" si="44"/>
        <v>OK</v>
      </c>
      <c r="AN446" s="1">
        <f>IF(AF446=0,0,AH446/AF446)</f>
        <v>0.66666666666666663</v>
      </c>
      <c r="AO446" s="1">
        <f t="shared" si="45"/>
        <v>0.77777777777777779</v>
      </c>
      <c r="AP446" s="1">
        <f t="shared" si="46"/>
        <v>0.22222222222222221</v>
      </c>
      <c r="AQ446" s="1">
        <f t="shared" si="47"/>
        <v>0.77777777777777779</v>
      </c>
    </row>
    <row r="447" spans="1:43"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42"/>
        <v>OK</v>
      </c>
      <c r="AK447" t="str">
        <f t="shared" si="48"/>
        <v>OK</v>
      </c>
      <c r="AL447" t="str">
        <f t="shared" si="43"/>
        <v>OK</v>
      </c>
      <c r="AM447" t="str">
        <f t="shared" si="44"/>
        <v>OK</v>
      </c>
      <c r="AN447" s="1">
        <f>IF(AF447=0,0,AH447/AF447)</f>
        <v>0.7</v>
      </c>
      <c r="AO447" s="1">
        <f t="shared" si="45"/>
        <v>0.9</v>
      </c>
      <c r="AP447" s="1">
        <f t="shared" si="46"/>
        <v>0.2</v>
      </c>
      <c r="AQ447" s="1">
        <f t="shared" si="47"/>
        <v>0.7</v>
      </c>
    </row>
    <row r="448" spans="1:43"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42"/>
        <v>OK</v>
      </c>
      <c r="AK448" t="str">
        <f t="shared" si="48"/>
        <v>OK</v>
      </c>
      <c r="AL448" t="str">
        <f t="shared" si="43"/>
        <v>OK</v>
      </c>
      <c r="AM448" t="str">
        <f t="shared" si="44"/>
        <v>OK</v>
      </c>
      <c r="AN448" s="1">
        <f>IF(AF448=0,0,AH448/AF448)</f>
        <v>7.1428571428571425E-2</v>
      </c>
      <c r="AO448" s="1">
        <f t="shared" si="45"/>
        <v>0.21428571428571427</v>
      </c>
      <c r="AP448" s="1">
        <f t="shared" si="46"/>
        <v>0.21428571428571427</v>
      </c>
      <c r="AQ448" s="1">
        <f t="shared" si="47"/>
        <v>0.7142857142857143</v>
      </c>
    </row>
    <row r="449" spans="1:43"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42"/>
        <v>OK</v>
      </c>
      <c r="AK449" t="str">
        <f t="shared" si="48"/>
        <v>OK</v>
      </c>
      <c r="AL449" t="str">
        <f t="shared" si="43"/>
        <v>OK</v>
      </c>
      <c r="AM449" t="str">
        <f t="shared" si="44"/>
        <v>OK</v>
      </c>
      <c r="AN449" s="1">
        <f>IF(AF449=0,0,AH449/AF449)</f>
        <v>0.54545454545454541</v>
      </c>
      <c r="AO449" s="1">
        <f t="shared" si="45"/>
        <v>0.81818181818181823</v>
      </c>
      <c r="AP449" s="1">
        <f t="shared" si="46"/>
        <v>0.18181818181818182</v>
      </c>
      <c r="AQ449" s="1">
        <f t="shared" si="47"/>
        <v>0.81818181818181823</v>
      </c>
    </row>
    <row r="450" spans="1:43"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si="42"/>
        <v>OK</v>
      </c>
      <c r="AK450" t="str">
        <f t="shared" si="48"/>
        <v>OK</v>
      </c>
      <c r="AL450" t="str">
        <f t="shared" si="43"/>
        <v>OK</v>
      </c>
      <c r="AM450" t="str">
        <f t="shared" si="44"/>
        <v>OK</v>
      </c>
      <c r="AN450" s="1">
        <f>IF(AF450=0,0,AH450/AF450)</f>
        <v>0.25</v>
      </c>
      <c r="AO450" s="1">
        <f t="shared" si="45"/>
        <v>0.3</v>
      </c>
      <c r="AP450" s="1">
        <f t="shared" si="46"/>
        <v>0.15</v>
      </c>
      <c r="AQ450" s="1">
        <f t="shared" si="47"/>
        <v>0.65</v>
      </c>
    </row>
    <row r="451" spans="1:43"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ref="AJ451:AJ514" si="49">IF(AF451&lt;=AC451, "OK", "ERROR")</f>
        <v>OK</v>
      </c>
      <c r="AK451" t="str">
        <f t="shared" si="48"/>
        <v>OK</v>
      </c>
      <c r="AL451" t="str">
        <f t="shared" ref="AL451:AL514" si="50">IF(AG451&lt;=AF451,"OK","ERROR")</f>
        <v>OK</v>
      </c>
      <c r="AM451" t="str">
        <f t="shared" ref="AM451:AM514" si="51">IF(AI451&lt;=AF451,"OK","ERROR")</f>
        <v>OK</v>
      </c>
      <c r="AN451" s="1">
        <f>IF(AF451=0,0,AH451/AF451)</f>
        <v>0</v>
      </c>
      <c r="AO451" s="1">
        <f t="shared" ref="AO451:AO514" si="52">IF(AF451=0,0,AG451/AF451)</f>
        <v>0.375</v>
      </c>
      <c r="AP451" s="1">
        <f t="shared" ref="AP451:AP514" si="53">IF(AF451=0,0,AD451/AF451)</f>
        <v>0.375</v>
      </c>
      <c r="AQ451" s="1">
        <f t="shared" ref="AQ451:AQ514" si="54">IF(AF451=0,0,AI451/AF451)</f>
        <v>0.875</v>
      </c>
    </row>
    <row r="452" spans="1:43"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49"/>
        <v>OK</v>
      </c>
      <c r="AK452" t="str">
        <f t="shared" ref="AK452:AK515" si="55">IF(AH452&lt;=AF452,"OK", "ERROR")</f>
        <v>OK</v>
      </c>
      <c r="AL452" t="str">
        <f t="shared" si="50"/>
        <v>OK</v>
      </c>
      <c r="AM452" t="str">
        <f t="shared" si="51"/>
        <v>OK</v>
      </c>
      <c r="AN452" s="1">
        <f>IF(AF452=0,0,AH452/AF452)</f>
        <v>0</v>
      </c>
      <c r="AO452" s="1">
        <f t="shared" si="52"/>
        <v>0.83333333333333337</v>
      </c>
      <c r="AP452" s="1">
        <f t="shared" si="53"/>
        <v>0.33333333333333331</v>
      </c>
      <c r="AQ452" s="1">
        <f t="shared" si="54"/>
        <v>0.83333333333333337</v>
      </c>
    </row>
    <row r="453" spans="1:43"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49"/>
        <v>OK</v>
      </c>
      <c r="AK453" t="str">
        <f t="shared" si="55"/>
        <v>OK</v>
      </c>
      <c r="AL453" t="str">
        <f t="shared" si="50"/>
        <v>OK</v>
      </c>
      <c r="AM453" t="str">
        <f t="shared" si="51"/>
        <v>OK</v>
      </c>
      <c r="AN453" s="1">
        <f>IF(AF453=0,0,AH453/AF453)</f>
        <v>0.5</v>
      </c>
      <c r="AO453" s="1">
        <f t="shared" si="52"/>
        <v>0.9</v>
      </c>
      <c r="AP453" s="1">
        <f t="shared" si="53"/>
        <v>0.5</v>
      </c>
      <c r="AQ453" s="1">
        <f t="shared" si="54"/>
        <v>0.8</v>
      </c>
    </row>
    <row r="454" spans="1:43"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49"/>
        <v>OK</v>
      </c>
      <c r="AK454" t="str">
        <f t="shared" si="55"/>
        <v>OK</v>
      </c>
      <c r="AL454" t="str">
        <f t="shared" si="50"/>
        <v>OK</v>
      </c>
      <c r="AM454" t="str">
        <f t="shared" si="51"/>
        <v>OK</v>
      </c>
      <c r="AN454" s="1">
        <f>IF(AF454=0,0,AH454/AF454)</f>
        <v>0.375</v>
      </c>
      <c r="AO454" s="1">
        <f t="shared" si="52"/>
        <v>0.875</v>
      </c>
      <c r="AP454" s="1">
        <f t="shared" si="53"/>
        <v>0.375</v>
      </c>
      <c r="AQ454" s="1">
        <f t="shared" si="54"/>
        <v>0.875</v>
      </c>
    </row>
    <row r="455" spans="1:43"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49"/>
        <v>OK</v>
      </c>
      <c r="AK455" t="str">
        <f t="shared" si="55"/>
        <v>OK</v>
      </c>
      <c r="AL455" t="str">
        <f t="shared" si="50"/>
        <v>OK</v>
      </c>
      <c r="AM455" t="str">
        <f t="shared" si="51"/>
        <v>OK</v>
      </c>
      <c r="AN455" s="1">
        <f>IF(AF455=0,0,AH455/AF455)</f>
        <v>0.14285714285714285</v>
      </c>
      <c r="AO455" s="1">
        <f t="shared" si="52"/>
        <v>1</v>
      </c>
      <c r="AP455" s="1">
        <f t="shared" si="53"/>
        <v>0.2857142857142857</v>
      </c>
      <c r="AQ455" s="1">
        <f t="shared" si="54"/>
        <v>0</v>
      </c>
    </row>
    <row r="456" spans="1:43"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49"/>
        <v>OK</v>
      </c>
      <c r="AK456" t="str">
        <f t="shared" si="55"/>
        <v>OK</v>
      </c>
      <c r="AL456" t="str">
        <f t="shared" si="50"/>
        <v>OK</v>
      </c>
      <c r="AM456" t="str">
        <f t="shared" si="51"/>
        <v>OK</v>
      </c>
      <c r="AN456" s="1">
        <f>IF(AF456=0,0,AH456/AF456)</f>
        <v>0.33333333333333331</v>
      </c>
      <c r="AO456" s="1">
        <f t="shared" si="52"/>
        <v>0.66666666666666663</v>
      </c>
      <c r="AP456" s="1">
        <f t="shared" si="53"/>
        <v>0.66666666666666663</v>
      </c>
      <c r="AQ456" s="1">
        <f t="shared" si="54"/>
        <v>0.66666666666666663</v>
      </c>
    </row>
    <row r="457" spans="1:43"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49"/>
        <v>OK</v>
      </c>
      <c r="AK457" t="str">
        <f t="shared" si="55"/>
        <v>OK</v>
      </c>
      <c r="AL457" t="str">
        <f t="shared" si="50"/>
        <v>OK</v>
      </c>
      <c r="AM457" t="str">
        <f t="shared" si="51"/>
        <v>OK</v>
      </c>
      <c r="AN457" s="1">
        <f>IF(AF457=0,0,AH457/AF457)</f>
        <v>0</v>
      </c>
      <c r="AO457" s="1">
        <f t="shared" si="52"/>
        <v>0.16666666666666666</v>
      </c>
      <c r="AP457" s="1">
        <f t="shared" si="53"/>
        <v>0.33333333333333331</v>
      </c>
      <c r="AQ457" s="1">
        <f t="shared" si="54"/>
        <v>0.83333333333333337</v>
      </c>
    </row>
    <row r="458" spans="1:43"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49"/>
        <v>OK</v>
      </c>
      <c r="AK458" t="str">
        <f t="shared" si="55"/>
        <v>OK</v>
      </c>
      <c r="AL458" t="str">
        <f t="shared" si="50"/>
        <v>OK</v>
      </c>
      <c r="AM458" t="str">
        <f t="shared" si="51"/>
        <v>OK</v>
      </c>
      <c r="AN458" s="1">
        <f>IF(AF458=0,0,AH458/AF458)</f>
        <v>0</v>
      </c>
      <c r="AO458" s="1">
        <f t="shared" si="52"/>
        <v>0.8</v>
      </c>
      <c r="AP458" s="1">
        <f t="shared" si="53"/>
        <v>0.6</v>
      </c>
      <c r="AQ458" s="1">
        <f t="shared" si="54"/>
        <v>0.2</v>
      </c>
    </row>
    <row r="459" spans="1:43"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49"/>
        <v>OK</v>
      </c>
      <c r="AK459" t="str">
        <f t="shared" si="55"/>
        <v>OK</v>
      </c>
      <c r="AL459" t="str">
        <f t="shared" si="50"/>
        <v>OK</v>
      </c>
      <c r="AM459" t="str">
        <f t="shared" si="51"/>
        <v>OK</v>
      </c>
      <c r="AN459" s="1">
        <f>IF(AF459=0,0,AH459/AF459)</f>
        <v>0</v>
      </c>
      <c r="AO459" s="1">
        <f t="shared" si="52"/>
        <v>0</v>
      </c>
      <c r="AP459" s="1">
        <f t="shared" si="53"/>
        <v>0</v>
      </c>
      <c r="AQ459" s="1">
        <f t="shared" si="54"/>
        <v>0</v>
      </c>
    </row>
    <row r="460" spans="1:43"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49"/>
        <v>OK</v>
      </c>
      <c r="AK460" t="str">
        <f t="shared" si="55"/>
        <v>OK</v>
      </c>
      <c r="AL460" t="str">
        <f t="shared" si="50"/>
        <v>OK</v>
      </c>
      <c r="AM460" t="str">
        <f t="shared" si="51"/>
        <v>OK</v>
      </c>
      <c r="AN460" s="1">
        <f>IF(AF460=0,0,AH460/AF460)</f>
        <v>0</v>
      </c>
      <c r="AO460" s="1">
        <f t="shared" si="52"/>
        <v>0</v>
      </c>
      <c r="AP460" s="1">
        <f t="shared" si="53"/>
        <v>2</v>
      </c>
      <c r="AQ460" s="1">
        <f t="shared" si="54"/>
        <v>1</v>
      </c>
    </row>
    <row r="461" spans="1:43"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49"/>
        <v>OK</v>
      </c>
      <c r="AK461" t="str">
        <f t="shared" si="55"/>
        <v>OK</v>
      </c>
      <c r="AL461" t="str">
        <f t="shared" si="50"/>
        <v>OK</v>
      </c>
      <c r="AM461" t="str">
        <f t="shared" si="51"/>
        <v>OK</v>
      </c>
      <c r="AN461" s="1">
        <f>IF(AF461=0,0,AH461/AF461)</f>
        <v>0</v>
      </c>
      <c r="AO461" s="1">
        <f t="shared" si="52"/>
        <v>0.875</v>
      </c>
      <c r="AP461" s="1">
        <f t="shared" si="53"/>
        <v>0.375</v>
      </c>
      <c r="AQ461" s="1">
        <f t="shared" si="54"/>
        <v>0.875</v>
      </c>
    </row>
    <row r="462" spans="1:43"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49"/>
        <v>OK</v>
      </c>
      <c r="AK462" t="str">
        <f t="shared" si="55"/>
        <v>OK</v>
      </c>
      <c r="AL462" t="str">
        <f t="shared" si="50"/>
        <v>OK</v>
      </c>
      <c r="AM462" t="str">
        <f t="shared" si="51"/>
        <v>OK</v>
      </c>
      <c r="AN462" s="1">
        <f>IF(AF462=0,0,AH462/AF462)</f>
        <v>0</v>
      </c>
      <c r="AO462" s="1">
        <f t="shared" si="52"/>
        <v>0</v>
      </c>
      <c r="AP462" s="1">
        <f t="shared" si="53"/>
        <v>0</v>
      </c>
      <c r="AQ462" s="1">
        <f t="shared" si="54"/>
        <v>0</v>
      </c>
    </row>
    <row r="463" spans="1:43"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49"/>
        <v>OK</v>
      </c>
      <c r="AK463" t="str">
        <f t="shared" si="55"/>
        <v>OK</v>
      </c>
      <c r="AL463" t="str">
        <f t="shared" si="50"/>
        <v>OK</v>
      </c>
      <c r="AM463" t="str">
        <f t="shared" si="51"/>
        <v>OK</v>
      </c>
      <c r="AN463" s="1">
        <f>IF(AF463=0,0,AH463/AF463)</f>
        <v>0</v>
      </c>
      <c r="AO463" s="1">
        <f t="shared" si="52"/>
        <v>0.8</v>
      </c>
      <c r="AP463" s="1">
        <f t="shared" si="53"/>
        <v>0.6</v>
      </c>
      <c r="AQ463" s="1">
        <f t="shared" si="54"/>
        <v>0.6</v>
      </c>
    </row>
    <row r="464" spans="1:43"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49"/>
        <v>OK</v>
      </c>
      <c r="AK464" t="str">
        <f t="shared" si="55"/>
        <v>OK</v>
      </c>
      <c r="AL464" t="str">
        <f t="shared" si="50"/>
        <v>OK</v>
      </c>
      <c r="AM464" t="str">
        <f t="shared" si="51"/>
        <v>OK</v>
      </c>
      <c r="AN464" s="1">
        <f>IF(AF464=0,0,AH464/AF464)</f>
        <v>0.5</v>
      </c>
      <c r="AO464" s="1">
        <f t="shared" si="52"/>
        <v>0.7</v>
      </c>
      <c r="AP464" s="1">
        <f t="shared" si="53"/>
        <v>0.3</v>
      </c>
      <c r="AQ464" s="1">
        <f t="shared" si="54"/>
        <v>0.7</v>
      </c>
    </row>
    <row r="465" spans="1:43"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49"/>
        <v>OK</v>
      </c>
      <c r="AK465" t="str">
        <f t="shared" si="55"/>
        <v>OK</v>
      </c>
      <c r="AL465" t="str">
        <f t="shared" si="50"/>
        <v>OK</v>
      </c>
      <c r="AM465" t="str">
        <f t="shared" si="51"/>
        <v>OK</v>
      </c>
      <c r="AN465" s="1">
        <f>IF(AF465=0,0,AH465/AF465)</f>
        <v>0</v>
      </c>
      <c r="AO465" s="1">
        <f t="shared" si="52"/>
        <v>0</v>
      </c>
      <c r="AP465" s="1">
        <f t="shared" si="53"/>
        <v>3</v>
      </c>
      <c r="AQ465" s="1">
        <f t="shared" si="54"/>
        <v>0</v>
      </c>
    </row>
    <row r="466" spans="1:43"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49"/>
        <v>OK</v>
      </c>
      <c r="AK466" t="str">
        <f t="shared" si="55"/>
        <v>OK</v>
      </c>
      <c r="AL466" t="str">
        <f t="shared" si="50"/>
        <v>OK</v>
      </c>
      <c r="AM466" t="str">
        <f t="shared" si="51"/>
        <v>OK</v>
      </c>
      <c r="AN466" s="1">
        <f>IF(AF466=0,0,AH466/AF466)</f>
        <v>0.16666666666666666</v>
      </c>
      <c r="AO466" s="1">
        <f t="shared" si="52"/>
        <v>0.83333333333333337</v>
      </c>
      <c r="AP466" s="1">
        <f t="shared" si="53"/>
        <v>0.5</v>
      </c>
      <c r="AQ466" s="1">
        <f t="shared" si="54"/>
        <v>0.33333333333333331</v>
      </c>
    </row>
    <row r="467" spans="1:43"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49"/>
        <v>OK</v>
      </c>
      <c r="AK467" t="str">
        <f t="shared" si="55"/>
        <v>OK</v>
      </c>
      <c r="AL467" t="str">
        <f t="shared" si="50"/>
        <v>OK</v>
      </c>
      <c r="AM467" t="str">
        <f t="shared" si="51"/>
        <v>OK</v>
      </c>
      <c r="AN467" s="1">
        <f>IF(AF467=0,0,AH467/AF467)</f>
        <v>0.5</v>
      </c>
      <c r="AO467" s="1">
        <f t="shared" si="52"/>
        <v>1</v>
      </c>
      <c r="AP467" s="1">
        <f t="shared" si="53"/>
        <v>1.5</v>
      </c>
      <c r="AQ467" s="1">
        <f t="shared" si="54"/>
        <v>1</v>
      </c>
    </row>
    <row r="468" spans="1:43"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49"/>
        <v>OK</v>
      </c>
      <c r="AK468" t="str">
        <f t="shared" si="55"/>
        <v>OK</v>
      </c>
      <c r="AL468" t="str">
        <f t="shared" si="50"/>
        <v>OK</v>
      </c>
      <c r="AM468" t="str">
        <f t="shared" si="51"/>
        <v>OK</v>
      </c>
      <c r="AN468" s="1">
        <f>IF(AF468=0,0,AH468/AF468)</f>
        <v>0.61111111111111116</v>
      </c>
      <c r="AO468" s="1">
        <f t="shared" si="52"/>
        <v>0.88888888888888884</v>
      </c>
      <c r="AP468" s="1">
        <f t="shared" si="53"/>
        <v>0.1111111111111111</v>
      </c>
      <c r="AQ468" s="1">
        <f t="shared" si="54"/>
        <v>0.44444444444444442</v>
      </c>
    </row>
    <row r="469" spans="1:43"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49"/>
        <v>OK</v>
      </c>
      <c r="AK469" t="str">
        <f t="shared" si="55"/>
        <v>OK</v>
      </c>
      <c r="AL469" t="str">
        <f t="shared" si="50"/>
        <v>OK</v>
      </c>
      <c r="AM469" t="str">
        <f t="shared" si="51"/>
        <v>OK</v>
      </c>
      <c r="AN469" s="1">
        <f>IF(AF469=0,0,AH469/AF469)</f>
        <v>0.77777777777777779</v>
      </c>
      <c r="AO469" s="1">
        <f t="shared" si="52"/>
        <v>0.55555555555555558</v>
      </c>
      <c r="AP469" s="1">
        <f t="shared" si="53"/>
        <v>0.66666666666666663</v>
      </c>
      <c r="AQ469" s="1">
        <f t="shared" si="54"/>
        <v>0.77777777777777779</v>
      </c>
    </row>
    <row r="470" spans="1:43"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49"/>
        <v>OK</v>
      </c>
      <c r="AK470" t="str">
        <f t="shared" si="55"/>
        <v>OK</v>
      </c>
      <c r="AL470" t="str">
        <f t="shared" si="50"/>
        <v>OK</v>
      </c>
      <c r="AM470" t="str">
        <f t="shared" si="51"/>
        <v>OK</v>
      </c>
      <c r="AN470" s="1">
        <f>IF(AF470=0,0,AH470/AF470)</f>
        <v>0.6</v>
      </c>
      <c r="AO470" s="1">
        <f t="shared" si="52"/>
        <v>0.9</v>
      </c>
      <c r="AP470" s="1">
        <f t="shared" si="53"/>
        <v>0.3</v>
      </c>
      <c r="AQ470" s="1">
        <f t="shared" si="54"/>
        <v>0.9</v>
      </c>
    </row>
    <row r="471" spans="1:43"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49"/>
        <v>OK</v>
      </c>
      <c r="AK471" t="str">
        <f t="shared" si="55"/>
        <v>OK</v>
      </c>
      <c r="AL471" t="str">
        <f t="shared" si="50"/>
        <v>OK</v>
      </c>
      <c r="AM471" t="str">
        <f t="shared" si="51"/>
        <v>OK</v>
      </c>
      <c r="AN471" s="1">
        <f>IF(AF471=0,0,AH471/AF471)</f>
        <v>0.25</v>
      </c>
      <c r="AO471" s="1">
        <f t="shared" si="52"/>
        <v>0.5</v>
      </c>
      <c r="AP471" s="1">
        <f t="shared" si="53"/>
        <v>0.5</v>
      </c>
      <c r="AQ471" s="1">
        <f t="shared" si="54"/>
        <v>0.5</v>
      </c>
    </row>
    <row r="472" spans="1:43"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49"/>
        <v>OK</v>
      </c>
      <c r="AK472" t="str">
        <f t="shared" si="55"/>
        <v>OK</v>
      </c>
      <c r="AL472" t="str">
        <f t="shared" si="50"/>
        <v>OK</v>
      </c>
      <c r="AM472" t="str">
        <f t="shared" si="51"/>
        <v>OK</v>
      </c>
      <c r="AN472" s="1">
        <f>IF(AF472=0,0,AH472/AF472)</f>
        <v>1</v>
      </c>
      <c r="AO472" s="1">
        <f t="shared" si="52"/>
        <v>1</v>
      </c>
      <c r="AP472" s="1">
        <f t="shared" si="53"/>
        <v>1.5</v>
      </c>
      <c r="AQ472" s="1">
        <f t="shared" si="54"/>
        <v>0.5</v>
      </c>
    </row>
    <row r="473" spans="1:43"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49"/>
        <v>OK</v>
      </c>
      <c r="AK473" t="str">
        <f t="shared" si="55"/>
        <v>OK</v>
      </c>
      <c r="AL473" t="str">
        <f t="shared" si="50"/>
        <v>OK</v>
      </c>
      <c r="AM473" t="str">
        <f t="shared" si="51"/>
        <v>OK</v>
      </c>
      <c r="AN473" s="1">
        <f>IF(AF473=0,0,AH473/AF473)</f>
        <v>0</v>
      </c>
      <c r="AO473" s="1">
        <f t="shared" si="52"/>
        <v>0</v>
      </c>
      <c r="AP473" s="1">
        <f t="shared" si="53"/>
        <v>4</v>
      </c>
      <c r="AQ473" s="1">
        <f t="shared" si="54"/>
        <v>0</v>
      </c>
    </row>
    <row r="474" spans="1:43"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49"/>
        <v>OK</v>
      </c>
      <c r="AK474" t="str">
        <f t="shared" si="55"/>
        <v>OK</v>
      </c>
      <c r="AL474" t="str">
        <f t="shared" si="50"/>
        <v>OK</v>
      </c>
      <c r="AM474" t="str">
        <f t="shared" si="51"/>
        <v>OK</v>
      </c>
      <c r="AN474" s="1">
        <f>IF(AF474=0,0,AH474/AF474)</f>
        <v>0.66666666666666663</v>
      </c>
      <c r="AO474" s="1">
        <f t="shared" si="52"/>
        <v>0.83333333333333337</v>
      </c>
      <c r="AP474" s="1">
        <f t="shared" si="53"/>
        <v>0.33333333333333331</v>
      </c>
      <c r="AQ474" s="1">
        <f t="shared" si="54"/>
        <v>0.5</v>
      </c>
    </row>
    <row r="475" spans="1:43"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49"/>
        <v>OK</v>
      </c>
      <c r="AK475" t="str">
        <f t="shared" si="55"/>
        <v>OK</v>
      </c>
      <c r="AL475" t="str">
        <f t="shared" si="50"/>
        <v>OK</v>
      </c>
      <c r="AM475" t="str">
        <f t="shared" si="51"/>
        <v>OK</v>
      </c>
      <c r="AN475" s="1">
        <f>IF(AF475=0,0,AH475/AF475)</f>
        <v>0</v>
      </c>
      <c r="AO475" s="1">
        <f t="shared" si="52"/>
        <v>0.29032258064516131</v>
      </c>
      <c r="AP475" s="1">
        <f t="shared" si="53"/>
        <v>0.16129032258064516</v>
      </c>
      <c r="AQ475" s="1">
        <f t="shared" si="54"/>
        <v>0.29032258064516131</v>
      </c>
    </row>
    <row r="476" spans="1:43"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49"/>
        <v>OK</v>
      </c>
      <c r="AK476" t="str">
        <f t="shared" si="55"/>
        <v>OK</v>
      </c>
      <c r="AL476" t="str">
        <f t="shared" si="50"/>
        <v>OK</v>
      </c>
      <c r="AM476" t="str">
        <f t="shared" si="51"/>
        <v>OK</v>
      </c>
      <c r="AN476" s="1">
        <f>IF(AF476=0,0,AH476/AF476)</f>
        <v>0.16666666666666666</v>
      </c>
      <c r="AO476" s="1">
        <f t="shared" si="52"/>
        <v>0.83333333333333337</v>
      </c>
      <c r="AP476" s="1">
        <f t="shared" si="53"/>
        <v>0.5</v>
      </c>
      <c r="AQ476" s="1">
        <f t="shared" si="54"/>
        <v>0.66666666666666663</v>
      </c>
    </row>
    <row r="477" spans="1:43"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49"/>
        <v>OK</v>
      </c>
      <c r="AK477" t="str">
        <f t="shared" si="55"/>
        <v>OK</v>
      </c>
      <c r="AL477" t="str">
        <f t="shared" si="50"/>
        <v>OK</v>
      </c>
      <c r="AM477" t="str">
        <f t="shared" si="51"/>
        <v>OK</v>
      </c>
      <c r="AN477" s="1">
        <f>IF(AF477=0,0,AH477/AF477)</f>
        <v>0.2</v>
      </c>
      <c r="AO477" s="1">
        <f t="shared" si="52"/>
        <v>0.6</v>
      </c>
      <c r="AP477" s="1">
        <f t="shared" si="53"/>
        <v>1</v>
      </c>
      <c r="AQ477" s="1">
        <f t="shared" si="54"/>
        <v>0.8</v>
      </c>
    </row>
    <row r="478" spans="1:43"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49"/>
        <v>OK</v>
      </c>
      <c r="AK478" t="str">
        <f t="shared" si="55"/>
        <v>OK</v>
      </c>
      <c r="AL478" t="str">
        <f t="shared" si="50"/>
        <v>OK</v>
      </c>
      <c r="AM478" t="str">
        <f t="shared" si="51"/>
        <v>OK</v>
      </c>
      <c r="AN478" s="1">
        <f>IF(AF478=0,0,AH478/AF478)</f>
        <v>0</v>
      </c>
      <c r="AO478" s="1">
        <f t="shared" si="52"/>
        <v>0</v>
      </c>
      <c r="AP478" s="1">
        <f t="shared" si="53"/>
        <v>2</v>
      </c>
      <c r="AQ478" s="1">
        <f t="shared" si="54"/>
        <v>0</v>
      </c>
    </row>
    <row r="479" spans="1:43"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49"/>
        <v>OK</v>
      </c>
      <c r="AK479" t="str">
        <f t="shared" si="55"/>
        <v>OK</v>
      </c>
      <c r="AL479" t="str">
        <f t="shared" si="50"/>
        <v>OK</v>
      </c>
      <c r="AM479" t="str">
        <f t="shared" si="51"/>
        <v>OK</v>
      </c>
      <c r="AN479" s="1">
        <f>IF(AF479=0,0,AH479/AF479)</f>
        <v>0.3125</v>
      </c>
      <c r="AO479" s="1">
        <f t="shared" si="52"/>
        <v>0.15625</v>
      </c>
      <c r="AP479" s="1">
        <f t="shared" si="53"/>
        <v>6.25E-2</v>
      </c>
      <c r="AQ479" s="1">
        <f t="shared" si="54"/>
        <v>0.21875</v>
      </c>
    </row>
    <row r="480" spans="1:43"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49"/>
        <v>OK</v>
      </c>
      <c r="AK480" t="str">
        <f t="shared" si="55"/>
        <v>OK</v>
      </c>
      <c r="AL480" t="str">
        <f t="shared" si="50"/>
        <v>OK</v>
      </c>
      <c r="AM480" t="str">
        <f t="shared" si="51"/>
        <v>OK</v>
      </c>
      <c r="AN480" s="1">
        <f>IF(AF480=0,0,AH480/AF480)</f>
        <v>0</v>
      </c>
      <c r="AO480" s="1">
        <f t="shared" si="52"/>
        <v>0.5714285714285714</v>
      </c>
      <c r="AP480" s="1">
        <f t="shared" si="53"/>
        <v>0.14285714285714285</v>
      </c>
      <c r="AQ480" s="1">
        <f t="shared" si="54"/>
        <v>0.8571428571428571</v>
      </c>
    </row>
    <row r="481" spans="1:43"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49"/>
        <v>OK</v>
      </c>
      <c r="AK481" t="str">
        <f t="shared" si="55"/>
        <v>OK</v>
      </c>
      <c r="AL481" t="str">
        <f t="shared" si="50"/>
        <v>OK</v>
      </c>
      <c r="AM481" t="str">
        <f t="shared" si="51"/>
        <v>OK</v>
      </c>
      <c r="AN481" s="1">
        <f>IF(AF481=0,0,AH481/AF481)</f>
        <v>0.16666666666666666</v>
      </c>
      <c r="AO481" s="1">
        <f t="shared" si="52"/>
        <v>0.5</v>
      </c>
      <c r="AP481" s="1">
        <f t="shared" si="53"/>
        <v>0.66666666666666663</v>
      </c>
      <c r="AQ481" s="1">
        <f t="shared" si="54"/>
        <v>0.33333333333333331</v>
      </c>
    </row>
    <row r="482" spans="1:43"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49"/>
        <v>OK</v>
      </c>
      <c r="AK482" t="str">
        <f t="shared" si="55"/>
        <v>OK</v>
      </c>
      <c r="AL482" t="str">
        <f t="shared" si="50"/>
        <v>OK</v>
      </c>
      <c r="AM482" t="str">
        <f t="shared" si="51"/>
        <v>OK</v>
      </c>
      <c r="AN482" s="1">
        <f>IF(AF482=0,0,AH482/AF482)</f>
        <v>0</v>
      </c>
      <c r="AO482" s="1">
        <f t="shared" si="52"/>
        <v>0</v>
      </c>
      <c r="AP482" s="1">
        <f t="shared" si="53"/>
        <v>2</v>
      </c>
      <c r="AQ482" s="1">
        <f t="shared" si="54"/>
        <v>0</v>
      </c>
    </row>
    <row r="483" spans="1:43"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49"/>
        <v>OK</v>
      </c>
      <c r="AK483" t="str">
        <f t="shared" si="55"/>
        <v>OK</v>
      </c>
      <c r="AL483" t="str">
        <f t="shared" si="50"/>
        <v>OK</v>
      </c>
      <c r="AM483" t="str">
        <f t="shared" si="51"/>
        <v>OK</v>
      </c>
      <c r="AN483" s="1">
        <f>IF(AF483=0,0,AH483/AF483)</f>
        <v>0.16666666666666666</v>
      </c>
      <c r="AO483" s="1">
        <f t="shared" si="52"/>
        <v>0.83333333333333337</v>
      </c>
      <c r="AP483" s="1">
        <f t="shared" si="53"/>
        <v>0.5</v>
      </c>
      <c r="AQ483" s="1">
        <f t="shared" si="54"/>
        <v>0.5</v>
      </c>
    </row>
    <row r="484" spans="1:43"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49"/>
        <v>OK</v>
      </c>
      <c r="AK484" t="str">
        <f t="shared" si="55"/>
        <v>OK</v>
      </c>
      <c r="AL484" t="str">
        <f t="shared" si="50"/>
        <v>OK</v>
      </c>
      <c r="AM484" t="str">
        <f t="shared" si="51"/>
        <v>OK</v>
      </c>
      <c r="AN484" s="1">
        <f>IF(AF484=0,0,AH484/AF484)</f>
        <v>0.33333333333333331</v>
      </c>
      <c r="AO484" s="1">
        <f t="shared" si="52"/>
        <v>0.33333333333333331</v>
      </c>
      <c r="AP484" s="1">
        <f t="shared" si="53"/>
        <v>0.66666666666666663</v>
      </c>
      <c r="AQ484" s="1">
        <f t="shared" si="54"/>
        <v>0.66666666666666663</v>
      </c>
    </row>
    <row r="485" spans="1:43"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49"/>
        <v>OK</v>
      </c>
      <c r="AK485" t="str">
        <f t="shared" si="55"/>
        <v>OK</v>
      </c>
      <c r="AL485" t="str">
        <f t="shared" si="50"/>
        <v>OK</v>
      </c>
      <c r="AM485" t="str">
        <f t="shared" si="51"/>
        <v>OK</v>
      </c>
      <c r="AN485" s="1">
        <f>IF(AF485=0,0,AH485/AF485)</f>
        <v>0</v>
      </c>
      <c r="AO485" s="1">
        <f t="shared" si="52"/>
        <v>0.66666666666666663</v>
      </c>
      <c r="AP485" s="1">
        <f t="shared" si="53"/>
        <v>1</v>
      </c>
      <c r="AQ485" s="1">
        <f t="shared" si="54"/>
        <v>0.66666666666666663</v>
      </c>
    </row>
    <row r="486" spans="1:43"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49"/>
        <v>OK</v>
      </c>
      <c r="AK486" t="str">
        <f t="shared" si="55"/>
        <v>OK</v>
      </c>
      <c r="AL486" t="str">
        <f t="shared" si="50"/>
        <v>OK</v>
      </c>
      <c r="AM486" t="str">
        <f t="shared" si="51"/>
        <v>OK</v>
      </c>
      <c r="AN486" s="1">
        <f>IF(AF486=0,0,AH486/AF486)</f>
        <v>0.7142857142857143</v>
      </c>
      <c r="AO486" s="1">
        <f t="shared" si="52"/>
        <v>1</v>
      </c>
      <c r="AP486" s="1">
        <f t="shared" si="53"/>
        <v>0.5714285714285714</v>
      </c>
      <c r="AQ486" s="1">
        <f t="shared" si="54"/>
        <v>1</v>
      </c>
    </row>
    <row r="487" spans="1:43"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49"/>
        <v>OK</v>
      </c>
      <c r="AK487" t="str">
        <f t="shared" si="55"/>
        <v>OK</v>
      </c>
      <c r="AL487" t="str">
        <f t="shared" si="50"/>
        <v>OK</v>
      </c>
      <c r="AM487" t="str">
        <f t="shared" si="51"/>
        <v>OK</v>
      </c>
      <c r="AN487" s="1">
        <f>IF(AF487=0,0,AH487/AF487)</f>
        <v>0</v>
      </c>
      <c r="AO487" s="1">
        <f t="shared" si="52"/>
        <v>0.6</v>
      </c>
      <c r="AP487" s="1">
        <f t="shared" si="53"/>
        <v>1</v>
      </c>
      <c r="AQ487" s="1">
        <f t="shared" si="54"/>
        <v>0.6</v>
      </c>
    </row>
    <row r="488" spans="1:43"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49"/>
        <v>OK</v>
      </c>
      <c r="AK488" t="str">
        <f t="shared" si="55"/>
        <v>OK</v>
      </c>
      <c r="AL488" t="str">
        <f t="shared" si="50"/>
        <v>OK</v>
      </c>
      <c r="AM488" t="str">
        <f t="shared" si="51"/>
        <v>OK</v>
      </c>
      <c r="AN488" s="1">
        <f>IF(AF488=0,0,AH488/AF488)</f>
        <v>0.33333333333333331</v>
      </c>
      <c r="AO488" s="1">
        <f t="shared" si="52"/>
        <v>0</v>
      </c>
      <c r="AP488" s="1">
        <f t="shared" si="53"/>
        <v>1</v>
      </c>
      <c r="AQ488" s="1">
        <f t="shared" si="54"/>
        <v>0</v>
      </c>
    </row>
    <row r="489" spans="1:43"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49"/>
        <v>OK</v>
      </c>
      <c r="AK489" t="str">
        <f t="shared" si="55"/>
        <v>OK</v>
      </c>
      <c r="AL489" t="str">
        <f t="shared" si="50"/>
        <v>OK</v>
      </c>
      <c r="AM489" t="str">
        <f t="shared" si="51"/>
        <v>OK</v>
      </c>
      <c r="AN489" s="1">
        <f>IF(AF489=0,0,AH489/AF489)</f>
        <v>0</v>
      </c>
      <c r="AO489" s="1">
        <f t="shared" si="52"/>
        <v>0</v>
      </c>
      <c r="AP489" s="1">
        <f t="shared" si="53"/>
        <v>0</v>
      </c>
      <c r="AQ489" s="1">
        <f t="shared" si="54"/>
        <v>0</v>
      </c>
    </row>
    <row r="490" spans="1:43"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49"/>
        <v>OK</v>
      </c>
      <c r="AK490" t="str">
        <f t="shared" si="55"/>
        <v>OK</v>
      </c>
      <c r="AL490" t="str">
        <f t="shared" si="50"/>
        <v>OK</v>
      </c>
      <c r="AM490" t="str">
        <f t="shared" si="51"/>
        <v>OK</v>
      </c>
      <c r="AN490" s="1">
        <f>IF(AF490=0,0,AH490/AF490)</f>
        <v>0.2</v>
      </c>
      <c r="AO490" s="1">
        <f t="shared" si="52"/>
        <v>0.2</v>
      </c>
      <c r="AP490" s="1">
        <f t="shared" si="53"/>
        <v>0.4</v>
      </c>
      <c r="AQ490" s="1">
        <f t="shared" si="54"/>
        <v>0.2</v>
      </c>
    </row>
    <row r="491" spans="1:43"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49"/>
        <v>OK</v>
      </c>
      <c r="AK491" t="str">
        <f t="shared" si="55"/>
        <v>OK</v>
      </c>
      <c r="AL491" t="str">
        <f t="shared" si="50"/>
        <v>OK</v>
      </c>
      <c r="AM491" t="str">
        <f t="shared" si="51"/>
        <v>OK</v>
      </c>
      <c r="AN491" s="1">
        <f>IF(AF491=0,0,AH491/AF491)</f>
        <v>0</v>
      </c>
      <c r="AO491" s="1">
        <f t="shared" si="52"/>
        <v>0</v>
      </c>
      <c r="AP491" s="1">
        <f t="shared" si="53"/>
        <v>3</v>
      </c>
      <c r="AQ491" s="1">
        <f t="shared" si="54"/>
        <v>0</v>
      </c>
    </row>
    <row r="492" spans="1:43"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49"/>
        <v>OK</v>
      </c>
      <c r="AK492" t="str">
        <f t="shared" si="55"/>
        <v>OK</v>
      </c>
      <c r="AL492" t="str">
        <f t="shared" si="50"/>
        <v>OK</v>
      </c>
      <c r="AM492" t="str">
        <f t="shared" si="51"/>
        <v>OK</v>
      </c>
      <c r="AN492" s="1">
        <f>IF(AF492=0,0,AH492/AF492)</f>
        <v>0</v>
      </c>
      <c r="AO492" s="1">
        <f t="shared" si="52"/>
        <v>0</v>
      </c>
      <c r="AP492" s="1">
        <f t="shared" si="53"/>
        <v>0</v>
      </c>
      <c r="AQ492" s="1">
        <f t="shared" si="54"/>
        <v>0</v>
      </c>
    </row>
    <row r="493" spans="1:43"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49"/>
        <v>OK</v>
      </c>
      <c r="AK493" t="str">
        <f t="shared" si="55"/>
        <v>OK</v>
      </c>
      <c r="AL493" t="str">
        <f t="shared" si="50"/>
        <v>OK</v>
      </c>
      <c r="AM493" t="str">
        <f t="shared" si="51"/>
        <v>OK</v>
      </c>
      <c r="AN493" s="1">
        <f>IF(AF493=0,0,AH493/AF493)</f>
        <v>0.5</v>
      </c>
      <c r="AO493" s="1">
        <f t="shared" si="52"/>
        <v>0.875</v>
      </c>
      <c r="AP493" s="1">
        <f t="shared" si="53"/>
        <v>0.375</v>
      </c>
      <c r="AQ493" s="1">
        <f t="shared" si="54"/>
        <v>0.875</v>
      </c>
    </row>
    <row r="494" spans="1:43"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49"/>
        <v>OK</v>
      </c>
      <c r="AK494" t="str">
        <f t="shared" si="55"/>
        <v>OK</v>
      </c>
      <c r="AL494" t="str">
        <f t="shared" si="50"/>
        <v>OK</v>
      </c>
      <c r="AM494" t="str">
        <f t="shared" si="51"/>
        <v>OK</v>
      </c>
      <c r="AN494" s="1">
        <f>IF(AF494=0,0,AH494/AF494)</f>
        <v>0</v>
      </c>
      <c r="AO494" s="1">
        <f t="shared" si="52"/>
        <v>0.66666666666666663</v>
      </c>
      <c r="AP494" s="1">
        <f t="shared" si="53"/>
        <v>1</v>
      </c>
      <c r="AQ494" s="1">
        <f t="shared" si="54"/>
        <v>0.66666666666666663</v>
      </c>
    </row>
    <row r="495" spans="1:43"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49"/>
        <v>OK</v>
      </c>
      <c r="AK495" t="str">
        <f t="shared" si="55"/>
        <v>OK</v>
      </c>
      <c r="AL495" t="str">
        <f t="shared" si="50"/>
        <v>OK</v>
      </c>
      <c r="AM495" t="str">
        <f t="shared" si="51"/>
        <v>OK</v>
      </c>
      <c r="AN495" s="1">
        <f>IF(AF495=0,0,AH495/AF495)</f>
        <v>0</v>
      </c>
      <c r="AO495" s="1">
        <f t="shared" si="52"/>
        <v>1</v>
      </c>
      <c r="AP495" s="1">
        <f t="shared" si="53"/>
        <v>0.5</v>
      </c>
      <c r="AQ495" s="1">
        <f t="shared" si="54"/>
        <v>1</v>
      </c>
    </row>
    <row r="496" spans="1:43"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49"/>
        <v>OK</v>
      </c>
      <c r="AK496" t="str">
        <f t="shared" si="55"/>
        <v>OK</v>
      </c>
      <c r="AL496" t="str">
        <f t="shared" si="50"/>
        <v>OK</v>
      </c>
      <c r="AM496" t="str">
        <f t="shared" si="51"/>
        <v>OK</v>
      </c>
      <c r="AN496" s="1">
        <f>IF(AF496=0,0,AH496/AF496)</f>
        <v>0</v>
      </c>
      <c r="AO496" s="1">
        <f t="shared" si="52"/>
        <v>0.25</v>
      </c>
      <c r="AP496" s="1">
        <f t="shared" si="53"/>
        <v>0.375</v>
      </c>
      <c r="AQ496" s="1">
        <f t="shared" si="54"/>
        <v>0.75</v>
      </c>
    </row>
    <row r="497" spans="1:43"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49"/>
        <v>OK</v>
      </c>
      <c r="AK497" t="str">
        <f t="shared" si="55"/>
        <v>OK</v>
      </c>
      <c r="AL497" t="str">
        <f t="shared" si="50"/>
        <v>OK</v>
      </c>
      <c r="AM497" t="str">
        <f t="shared" si="51"/>
        <v>OK</v>
      </c>
      <c r="AN497" s="1">
        <f>IF(AF497=0,0,AH497/AF497)</f>
        <v>0</v>
      </c>
      <c r="AO497" s="1">
        <f t="shared" si="52"/>
        <v>0.75</v>
      </c>
      <c r="AP497" s="1">
        <f t="shared" si="53"/>
        <v>0.75</v>
      </c>
      <c r="AQ497" s="1">
        <f t="shared" si="54"/>
        <v>0.5</v>
      </c>
    </row>
    <row r="498" spans="1:43"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49"/>
        <v>OK</v>
      </c>
      <c r="AK498" t="str">
        <f t="shared" si="55"/>
        <v>OK</v>
      </c>
      <c r="AL498" t="str">
        <f t="shared" si="50"/>
        <v>OK</v>
      </c>
      <c r="AM498" t="str">
        <f t="shared" si="51"/>
        <v>OK</v>
      </c>
      <c r="AN498" s="1">
        <f>IF(AF498=0,0,AH498/AF498)</f>
        <v>0.33333333333333331</v>
      </c>
      <c r="AO498" s="1">
        <f t="shared" si="52"/>
        <v>0.66666666666666663</v>
      </c>
      <c r="AP498" s="1">
        <f t="shared" si="53"/>
        <v>0.66666666666666663</v>
      </c>
      <c r="AQ498" s="1">
        <f t="shared" si="54"/>
        <v>0.66666666666666663</v>
      </c>
    </row>
    <row r="499" spans="1:43"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49"/>
        <v>OK</v>
      </c>
      <c r="AK499" t="str">
        <f t="shared" si="55"/>
        <v>OK</v>
      </c>
      <c r="AL499" t="str">
        <f t="shared" si="50"/>
        <v>OK</v>
      </c>
      <c r="AM499" t="str">
        <f t="shared" si="51"/>
        <v>OK</v>
      </c>
      <c r="AN499" s="1">
        <f>IF(AF499=0,0,AH499/AF499)</f>
        <v>0</v>
      </c>
      <c r="AO499" s="1">
        <f t="shared" si="52"/>
        <v>1</v>
      </c>
      <c r="AP499" s="1">
        <f t="shared" si="53"/>
        <v>1</v>
      </c>
      <c r="AQ499" s="1">
        <f t="shared" si="54"/>
        <v>0.5</v>
      </c>
    </row>
    <row r="500" spans="1:43"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49"/>
        <v>OK</v>
      </c>
      <c r="AK500" t="str">
        <f t="shared" si="55"/>
        <v>OK</v>
      </c>
      <c r="AL500" t="str">
        <f t="shared" si="50"/>
        <v>OK</v>
      </c>
      <c r="AM500" t="str">
        <f t="shared" si="51"/>
        <v>OK</v>
      </c>
      <c r="AN500" s="1">
        <f>IF(AF500=0,0,AH500/AF500)</f>
        <v>1</v>
      </c>
      <c r="AO500" s="1">
        <f t="shared" si="52"/>
        <v>1</v>
      </c>
      <c r="AP500" s="1">
        <f t="shared" si="53"/>
        <v>1.5</v>
      </c>
      <c r="AQ500" s="1">
        <f t="shared" si="54"/>
        <v>1</v>
      </c>
    </row>
    <row r="501" spans="1:43"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49"/>
        <v>OK</v>
      </c>
      <c r="AK501" t="str">
        <f t="shared" si="55"/>
        <v>OK</v>
      </c>
      <c r="AL501" t="str">
        <f t="shared" si="50"/>
        <v>OK</v>
      </c>
      <c r="AM501" t="str">
        <f t="shared" si="51"/>
        <v>OK</v>
      </c>
      <c r="AN501" s="1">
        <f>IF(AF501=0,0,AH501/AF501)</f>
        <v>0.2</v>
      </c>
      <c r="AO501" s="1">
        <f t="shared" si="52"/>
        <v>0</v>
      </c>
      <c r="AP501" s="1">
        <f t="shared" si="53"/>
        <v>0.6</v>
      </c>
      <c r="AQ501" s="1">
        <f t="shared" si="54"/>
        <v>0.4</v>
      </c>
    </row>
    <row r="502" spans="1:43"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49"/>
        <v>OK</v>
      </c>
      <c r="AK502" t="str">
        <f t="shared" si="55"/>
        <v>OK</v>
      </c>
      <c r="AL502" t="str">
        <f t="shared" si="50"/>
        <v>OK</v>
      </c>
      <c r="AM502" t="str">
        <f t="shared" si="51"/>
        <v>OK</v>
      </c>
      <c r="AN502" s="1">
        <f>IF(AF502=0,0,AH502/AF502)</f>
        <v>0</v>
      </c>
      <c r="AO502" s="1">
        <f t="shared" si="52"/>
        <v>0.66666666666666663</v>
      </c>
      <c r="AP502" s="1">
        <f t="shared" si="53"/>
        <v>0.33333333333333331</v>
      </c>
      <c r="AQ502" s="1">
        <f t="shared" si="54"/>
        <v>0.83333333333333337</v>
      </c>
    </row>
    <row r="503" spans="1:43"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49"/>
        <v>OK</v>
      </c>
      <c r="AK503" t="str">
        <f t="shared" si="55"/>
        <v>OK</v>
      </c>
      <c r="AL503" t="str">
        <f t="shared" si="50"/>
        <v>OK</v>
      </c>
      <c r="AM503" t="str">
        <f t="shared" si="51"/>
        <v>OK</v>
      </c>
      <c r="AN503" s="1">
        <f>IF(AF503=0,0,AH503/AF503)</f>
        <v>0</v>
      </c>
      <c r="AO503" s="1">
        <f t="shared" si="52"/>
        <v>0</v>
      </c>
      <c r="AP503" s="1">
        <f t="shared" si="53"/>
        <v>2</v>
      </c>
      <c r="AQ503" s="1">
        <f t="shared" si="54"/>
        <v>0</v>
      </c>
    </row>
    <row r="504" spans="1:43"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49"/>
        <v>OK</v>
      </c>
      <c r="AK504" t="str">
        <f t="shared" si="55"/>
        <v>OK</v>
      </c>
      <c r="AL504" t="str">
        <f t="shared" si="50"/>
        <v>OK</v>
      </c>
      <c r="AM504" t="str">
        <f t="shared" si="51"/>
        <v>OK</v>
      </c>
      <c r="AN504" s="1">
        <f>IF(AF504=0,0,AH504/AF504)</f>
        <v>0.5714285714285714</v>
      </c>
      <c r="AO504" s="1">
        <f t="shared" si="52"/>
        <v>0.5</v>
      </c>
      <c r="AP504" s="1">
        <f t="shared" si="53"/>
        <v>0.14285714285714285</v>
      </c>
      <c r="AQ504" s="1">
        <f t="shared" si="54"/>
        <v>0.7142857142857143</v>
      </c>
    </row>
    <row r="505" spans="1:43"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49"/>
        <v>OK</v>
      </c>
      <c r="AK505" t="str">
        <f t="shared" si="55"/>
        <v>OK</v>
      </c>
      <c r="AL505" t="str">
        <f t="shared" si="50"/>
        <v>OK</v>
      </c>
      <c r="AM505" t="str">
        <f t="shared" si="51"/>
        <v>OK</v>
      </c>
      <c r="AN505" s="1">
        <f>IF(AF505=0,0,AH505/AF505)</f>
        <v>0.8</v>
      </c>
      <c r="AO505" s="1">
        <f t="shared" si="52"/>
        <v>0.9</v>
      </c>
      <c r="AP505" s="1">
        <f t="shared" si="53"/>
        <v>0.4</v>
      </c>
      <c r="AQ505" s="1">
        <f t="shared" si="54"/>
        <v>0.8</v>
      </c>
    </row>
    <row r="506" spans="1:43"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49"/>
        <v>OK</v>
      </c>
      <c r="AK506" t="str">
        <f t="shared" si="55"/>
        <v>OK</v>
      </c>
      <c r="AL506" t="str">
        <f t="shared" si="50"/>
        <v>OK</v>
      </c>
      <c r="AM506" t="str">
        <f t="shared" si="51"/>
        <v>OK</v>
      </c>
      <c r="AN506" s="1">
        <f>IF(AF506=0,0,AH506/AF506)</f>
        <v>0</v>
      </c>
      <c r="AO506" s="1">
        <f t="shared" si="52"/>
        <v>1</v>
      </c>
      <c r="AP506" s="1">
        <f t="shared" si="53"/>
        <v>4</v>
      </c>
      <c r="AQ506" s="1">
        <f t="shared" si="54"/>
        <v>0</v>
      </c>
    </row>
    <row r="507" spans="1:43"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49"/>
        <v>OK</v>
      </c>
      <c r="AK507" t="str">
        <f t="shared" si="55"/>
        <v>OK</v>
      </c>
      <c r="AL507" t="str">
        <f t="shared" si="50"/>
        <v>OK</v>
      </c>
      <c r="AM507" t="str">
        <f t="shared" si="51"/>
        <v>OK</v>
      </c>
      <c r="AN507" s="1">
        <f>IF(AF507=0,0,AH507/AF507)</f>
        <v>0</v>
      </c>
      <c r="AO507" s="1">
        <f t="shared" si="52"/>
        <v>0.66666666666666663</v>
      </c>
      <c r="AP507" s="1">
        <f t="shared" si="53"/>
        <v>0.66666666666666663</v>
      </c>
      <c r="AQ507" s="1">
        <f t="shared" si="54"/>
        <v>0.66666666666666663</v>
      </c>
    </row>
    <row r="508" spans="1:43"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49"/>
        <v>OK</v>
      </c>
      <c r="AK508" t="str">
        <f t="shared" si="55"/>
        <v>OK</v>
      </c>
      <c r="AL508" t="str">
        <f t="shared" si="50"/>
        <v>OK</v>
      </c>
      <c r="AM508" t="str">
        <f t="shared" si="51"/>
        <v>OK</v>
      </c>
      <c r="AN508" s="1">
        <f>IF(AF508=0,0,AH508/AF508)</f>
        <v>0.7</v>
      </c>
      <c r="AO508" s="1">
        <f t="shared" si="52"/>
        <v>0.7</v>
      </c>
      <c r="AP508" s="1">
        <f t="shared" si="53"/>
        <v>0.2</v>
      </c>
      <c r="AQ508" s="1">
        <f t="shared" si="54"/>
        <v>0.8</v>
      </c>
    </row>
    <row r="509" spans="1:43"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49"/>
        <v>OK</v>
      </c>
      <c r="AK509" t="str">
        <f t="shared" si="55"/>
        <v>OK</v>
      </c>
      <c r="AL509" t="str">
        <f t="shared" si="50"/>
        <v>OK</v>
      </c>
      <c r="AM509" t="str">
        <f t="shared" si="51"/>
        <v>OK</v>
      </c>
      <c r="AN509" s="1">
        <f>IF(AF509=0,0,AH509/AF509)</f>
        <v>0.16666666666666666</v>
      </c>
      <c r="AO509" s="1">
        <f t="shared" si="52"/>
        <v>0</v>
      </c>
      <c r="AP509" s="1">
        <f t="shared" si="53"/>
        <v>0.83333333333333337</v>
      </c>
      <c r="AQ509" s="1">
        <f t="shared" si="54"/>
        <v>0.33333333333333331</v>
      </c>
    </row>
    <row r="510" spans="1:43"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49"/>
        <v>OK</v>
      </c>
      <c r="AK510" t="str">
        <f t="shared" si="55"/>
        <v>OK</v>
      </c>
      <c r="AL510" t="str">
        <f t="shared" si="50"/>
        <v>OK</v>
      </c>
      <c r="AM510" t="str">
        <f t="shared" si="51"/>
        <v>OK</v>
      </c>
      <c r="AN510" s="1">
        <f>IF(AF510=0,0,AH510/AF510)</f>
        <v>0.6470588235294118</v>
      </c>
      <c r="AO510" s="1">
        <f t="shared" si="52"/>
        <v>0.6470588235294118</v>
      </c>
      <c r="AP510" s="1">
        <f t="shared" si="53"/>
        <v>0.17647058823529413</v>
      </c>
      <c r="AQ510" s="1">
        <f t="shared" si="54"/>
        <v>0.47058823529411764</v>
      </c>
    </row>
    <row r="511" spans="1:43"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49"/>
        <v>OK</v>
      </c>
      <c r="AK511" t="str">
        <f t="shared" si="55"/>
        <v>OK</v>
      </c>
      <c r="AL511" t="str">
        <f t="shared" si="50"/>
        <v>OK</v>
      </c>
      <c r="AM511" t="str">
        <f t="shared" si="51"/>
        <v>OK</v>
      </c>
      <c r="AN511" s="1">
        <f>IF(AF511=0,0,AH511/AF511)</f>
        <v>0.30769230769230771</v>
      </c>
      <c r="AO511" s="1">
        <f t="shared" si="52"/>
        <v>0.84615384615384615</v>
      </c>
      <c r="AP511" s="1">
        <f t="shared" si="53"/>
        <v>0.15384615384615385</v>
      </c>
      <c r="AQ511" s="1">
        <f t="shared" si="54"/>
        <v>0.53846153846153844</v>
      </c>
    </row>
    <row r="512" spans="1:43"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49"/>
        <v>OK</v>
      </c>
      <c r="AK512" t="str">
        <f t="shared" si="55"/>
        <v>OK</v>
      </c>
      <c r="AL512" t="str">
        <f t="shared" si="50"/>
        <v>OK</v>
      </c>
      <c r="AM512" t="str">
        <f t="shared" si="51"/>
        <v>OK</v>
      </c>
      <c r="AN512" s="1">
        <f>IF(AF512=0,0,AH512/AF512)</f>
        <v>0.77777777777777779</v>
      </c>
      <c r="AO512" s="1">
        <f t="shared" si="52"/>
        <v>0.77777777777777779</v>
      </c>
      <c r="AP512" s="1">
        <f t="shared" si="53"/>
        <v>0.1111111111111111</v>
      </c>
      <c r="AQ512" s="1">
        <f t="shared" si="54"/>
        <v>0.1111111111111111</v>
      </c>
    </row>
    <row r="513" spans="1:43"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49"/>
        <v>OK</v>
      </c>
      <c r="AK513" t="str">
        <f t="shared" si="55"/>
        <v>OK</v>
      </c>
      <c r="AL513" t="str">
        <f t="shared" si="50"/>
        <v>OK</v>
      </c>
      <c r="AM513" t="str">
        <f t="shared" si="51"/>
        <v>OK</v>
      </c>
      <c r="AN513" s="1">
        <f>IF(AF513=0,0,AH513/AF513)</f>
        <v>0</v>
      </c>
      <c r="AO513" s="1">
        <f t="shared" si="52"/>
        <v>0.66666666666666663</v>
      </c>
      <c r="AP513" s="1">
        <f t="shared" si="53"/>
        <v>0.66666666666666663</v>
      </c>
      <c r="AQ513" s="1">
        <f t="shared" si="54"/>
        <v>0.66666666666666663</v>
      </c>
    </row>
    <row r="514" spans="1:43"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si="49"/>
        <v>OK</v>
      </c>
      <c r="AK514" t="str">
        <f t="shared" si="55"/>
        <v>OK</v>
      </c>
      <c r="AL514" t="str">
        <f t="shared" si="50"/>
        <v>OK</v>
      </c>
      <c r="AM514" t="str">
        <f t="shared" si="51"/>
        <v>OK</v>
      </c>
      <c r="AN514" s="1">
        <f>IF(AF514=0,0,AH514/AF514)</f>
        <v>0.25</v>
      </c>
      <c r="AO514" s="1">
        <f t="shared" si="52"/>
        <v>0.5</v>
      </c>
      <c r="AP514" s="1">
        <f t="shared" si="53"/>
        <v>0</v>
      </c>
      <c r="AQ514" s="1">
        <f t="shared" si="54"/>
        <v>0.25</v>
      </c>
    </row>
    <row r="515" spans="1:43"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ref="AJ515:AJ578" si="56">IF(AF515&lt;=AC515, "OK", "ERROR")</f>
        <v>OK</v>
      </c>
      <c r="AK515" t="str">
        <f t="shared" si="55"/>
        <v>OK</v>
      </c>
      <c r="AL515" t="str">
        <f t="shared" ref="AL515:AL578" si="57">IF(AG515&lt;=AF515,"OK","ERROR")</f>
        <v>OK</v>
      </c>
      <c r="AM515" t="str">
        <f t="shared" ref="AM515:AM578" si="58">IF(AI515&lt;=AF515,"OK","ERROR")</f>
        <v>OK</v>
      </c>
      <c r="AN515" s="1">
        <f>IF(AF515=0,0,AH515/AF515)</f>
        <v>1</v>
      </c>
      <c r="AO515" s="1">
        <f t="shared" ref="AO515:AO578" si="59">IF(AF515=0,0,AG515/AF515)</f>
        <v>0</v>
      </c>
      <c r="AP515" s="1">
        <f t="shared" ref="AP515:AP578" si="60">IF(AF515=0,0,AD515/AF515)</f>
        <v>5</v>
      </c>
      <c r="AQ515" s="1">
        <f t="shared" ref="AQ515:AQ578" si="61">IF(AF515=0,0,AI515/AF515)</f>
        <v>1</v>
      </c>
    </row>
    <row r="516" spans="1:43"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56"/>
        <v>OK</v>
      </c>
      <c r="AK516" t="str">
        <f t="shared" ref="AK516:AK579" si="62">IF(AH516&lt;=AF516,"OK", "ERROR")</f>
        <v>OK</v>
      </c>
      <c r="AL516" t="str">
        <f t="shared" si="57"/>
        <v>OK</v>
      </c>
      <c r="AM516" t="str">
        <f t="shared" si="58"/>
        <v>OK</v>
      </c>
      <c r="AN516" s="1">
        <f>IF(AF516=0,0,AH516/AF516)</f>
        <v>0.9</v>
      </c>
      <c r="AO516" s="1">
        <f t="shared" si="59"/>
        <v>0.8</v>
      </c>
      <c r="AP516" s="1">
        <f t="shared" si="60"/>
        <v>0.3</v>
      </c>
      <c r="AQ516" s="1">
        <f t="shared" si="61"/>
        <v>0.7</v>
      </c>
    </row>
    <row r="517" spans="1:43"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56"/>
        <v>OK</v>
      </c>
      <c r="AK517" t="str">
        <f t="shared" si="62"/>
        <v>OK</v>
      </c>
      <c r="AL517" t="str">
        <f t="shared" si="57"/>
        <v>OK</v>
      </c>
      <c r="AM517" t="str">
        <f t="shared" si="58"/>
        <v>OK</v>
      </c>
      <c r="AN517" s="1">
        <f>IF(AF517=0,0,AH517/AF517)</f>
        <v>0</v>
      </c>
      <c r="AO517" s="1">
        <f t="shared" si="59"/>
        <v>0</v>
      </c>
      <c r="AP517" s="1">
        <f t="shared" si="60"/>
        <v>3</v>
      </c>
      <c r="AQ517" s="1">
        <f t="shared" si="61"/>
        <v>0</v>
      </c>
    </row>
    <row r="518" spans="1:43"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56"/>
        <v>OK</v>
      </c>
      <c r="AK518" t="str">
        <f t="shared" si="62"/>
        <v>OK</v>
      </c>
      <c r="AL518" t="str">
        <f t="shared" si="57"/>
        <v>OK</v>
      </c>
      <c r="AM518" t="str">
        <f t="shared" si="58"/>
        <v>OK</v>
      </c>
      <c r="AN518" s="1">
        <f>IF(AF518=0,0,AH518/AF518)</f>
        <v>0</v>
      </c>
      <c r="AO518" s="1">
        <f t="shared" si="59"/>
        <v>0.66666666666666663</v>
      </c>
      <c r="AP518" s="1">
        <f t="shared" si="60"/>
        <v>1</v>
      </c>
      <c r="AQ518" s="1">
        <f t="shared" si="61"/>
        <v>0.66666666666666663</v>
      </c>
    </row>
    <row r="519" spans="1:43"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56"/>
        <v>OK</v>
      </c>
      <c r="AK519" t="str">
        <f t="shared" si="62"/>
        <v>OK</v>
      </c>
      <c r="AL519" t="str">
        <f t="shared" si="57"/>
        <v>OK</v>
      </c>
      <c r="AM519" t="str">
        <f t="shared" si="58"/>
        <v>OK</v>
      </c>
      <c r="AN519" s="1">
        <f>IF(AF519=0,0,AH519/AF519)</f>
        <v>0.33333333333333331</v>
      </c>
      <c r="AO519" s="1">
        <f t="shared" si="59"/>
        <v>0.66666666666666663</v>
      </c>
      <c r="AP519" s="1">
        <f t="shared" si="60"/>
        <v>1.3333333333333333</v>
      </c>
      <c r="AQ519" s="1">
        <f t="shared" si="61"/>
        <v>0.66666666666666663</v>
      </c>
    </row>
    <row r="520" spans="1:43"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56"/>
        <v>OK</v>
      </c>
      <c r="AK520" t="str">
        <f t="shared" si="62"/>
        <v>OK</v>
      </c>
      <c r="AL520" t="str">
        <f t="shared" si="57"/>
        <v>OK</v>
      </c>
      <c r="AM520" t="str">
        <f t="shared" si="58"/>
        <v>OK</v>
      </c>
      <c r="AN520" s="1">
        <f>IF(AF520=0,0,AH520/AF520)</f>
        <v>0</v>
      </c>
      <c r="AO520" s="1">
        <f t="shared" si="59"/>
        <v>1</v>
      </c>
      <c r="AP520" s="1">
        <f t="shared" si="60"/>
        <v>0.2857142857142857</v>
      </c>
      <c r="AQ520" s="1">
        <f t="shared" si="61"/>
        <v>0.7142857142857143</v>
      </c>
    </row>
    <row r="521" spans="1:43"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56"/>
        <v>OK</v>
      </c>
      <c r="AK521" t="str">
        <f t="shared" si="62"/>
        <v>OK</v>
      </c>
      <c r="AL521" t="str">
        <f t="shared" si="57"/>
        <v>OK</v>
      </c>
      <c r="AM521" t="str">
        <f t="shared" si="58"/>
        <v>OK</v>
      </c>
      <c r="AN521" s="1">
        <f>IF(AF521=0,0,AH521/AF521)</f>
        <v>0.2</v>
      </c>
      <c r="AO521" s="1">
        <f t="shared" si="59"/>
        <v>0.7</v>
      </c>
      <c r="AP521" s="1">
        <f t="shared" si="60"/>
        <v>0.5</v>
      </c>
      <c r="AQ521" s="1">
        <f t="shared" si="61"/>
        <v>0.8</v>
      </c>
    </row>
    <row r="522" spans="1:43"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56"/>
        <v>OK</v>
      </c>
      <c r="AK522" t="str">
        <f t="shared" si="62"/>
        <v>OK</v>
      </c>
      <c r="AL522" t="str">
        <f t="shared" si="57"/>
        <v>OK</v>
      </c>
      <c r="AM522" t="str">
        <f t="shared" si="58"/>
        <v>OK</v>
      </c>
      <c r="AN522" s="1">
        <f>IF(AF522=0,0,AH522/AF522)</f>
        <v>1</v>
      </c>
      <c r="AO522" s="1">
        <f t="shared" si="59"/>
        <v>1</v>
      </c>
      <c r="AP522" s="1">
        <f t="shared" si="60"/>
        <v>1.5</v>
      </c>
      <c r="AQ522" s="1">
        <f t="shared" si="61"/>
        <v>1</v>
      </c>
    </row>
    <row r="523" spans="1:43"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56"/>
        <v>OK</v>
      </c>
      <c r="AK523" t="str">
        <f t="shared" si="62"/>
        <v>OK</v>
      </c>
      <c r="AL523" t="str">
        <f t="shared" si="57"/>
        <v>OK</v>
      </c>
      <c r="AM523" t="str">
        <f t="shared" si="58"/>
        <v>OK</v>
      </c>
      <c r="AN523" s="1">
        <f>IF(AF523=0,0,AH523/AF523)</f>
        <v>0</v>
      </c>
      <c r="AO523" s="1">
        <f t="shared" si="59"/>
        <v>0.83333333333333337</v>
      </c>
      <c r="AP523" s="1">
        <f t="shared" si="60"/>
        <v>0.5</v>
      </c>
      <c r="AQ523" s="1">
        <f t="shared" si="61"/>
        <v>0.66666666666666663</v>
      </c>
    </row>
    <row r="524" spans="1:43"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56"/>
        <v>OK</v>
      </c>
      <c r="AK524" t="str">
        <f t="shared" si="62"/>
        <v>OK</v>
      </c>
      <c r="AL524" t="str">
        <f t="shared" si="57"/>
        <v>OK</v>
      </c>
      <c r="AM524" t="str">
        <f t="shared" si="58"/>
        <v>OK</v>
      </c>
      <c r="AN524" s="1">
        <f>IF(AF524=0,0,AH524/AF524)</f>
        <v>0</v>
      </c>
      <c r="AO524" s="1">
        <f t="shared" si="59"/>
        <v>0</v>
      </c>
      <c r="AP524" s="1">
        <f t="shared" si="60"/>
        <v>2</v>
      </c>
      <c r="AQ524" s="1">
        <f t="shared" si="61"/>
        <v>0</v>
      </c>
    </row>
    <row r="525" spans="1:43"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56"/>
        <v>OK</v>
      </c>
      <c r="AK525" t="str">
        <f t="shared" si="62"/>
        <v>OK</v>
      </c>
      <c r="AL525" t="str">
        <f t="shared" si="57"/>
        <v>OK</v>
      </c>
      <c r="AM525" t="str">
        <f t="shared" si="58"/>
        <v>OK</v>
      </c>
      <c r="AN525" s="1">
        <f>IF(AF525=0,0,AH525/AF525)</f>
        <v>0.15</v>
      </c>
      <c r="AO525" s="1">
        <f t="shared" si="59"/>
        <v>0.4</v>
      </c>
      <c r="AP525" s="1">
        <f t="shared" si="60"/>
        <v>0.15</v>
      </c>
      <c r="AQ525" s="1">
        <f t="shared" si="61"/>
        <v>0.4</v>
      </c>
    </row>
    <row r="526" spans="1:43"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56"/>
        <v>OK</v>
      </c>
      <c r="AK526" t="str">
        <f t="shared" si="62"/>
        <v>OK</v>
      </c>
      <c r="AL526" t="str">
        <f t="shared" si="57"/>
        <v>OK</v>
      </c>
      <c r="AM526" t="str">
        <f t="shared" si="58"/>
        <v>OK</v>
      </c>
      <c r="AN526" s="1">
        <f>IF(AF526=0,0,AH526/AF526)</f>
        <v>0.875</v>
      </c>
      <c r="AO526" s="1">
        <f t="shared" si="59"/>
        <v>0.875</v>
      </c>
      <c r="AP526" s="1">
        <f t="shared" si="60"/>
        <v>0.375</v>
      </c>
      <c r="AQ526" s="1">
        <f t="shared" si="61"/>
        <v>0.875</v>
      </c>
    </row>
    <row r="527" spans="1:43"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56"/>
        <v>OK</v>
      </c>
      <c r="AK527" t="str">
        <f t="shared" si="62"/>
        <v>OK</v>
      </c>
      <c r="AL527" t="str">
        <f t="shared" si="57"/>
        <v>OK</v>
      </c>
      <c r="AM527" t="str">
        <f t="shared" si="58"/>
        <v>OK</v>
      </c>
      <c r="AN527" s="1">
        <f>IF(AF527=0,0,AH527/AF527)</f>
        <v>1</v>
      </c>
      <c r="AO527" s="1">
        <f t="shared" si="59"/>
        <v>1</v>
      </c>
      <c r="AP527" s="1">
        <f t="shared" si="60"/>
        <v>1.5</v>
      </c>
      <c r="AQ527" s="1">
        <f t="shared" si="61"/>
        <v>0</v>
      </c>
    </row>
    <row r="528" spans="1:43"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56"/>
        <v>OK</v>
      </c>
      <c r="AK528" t="str">
        <f t="shared" si="62"/>
        <v>OK</v>
      </c>
      <c r="AL528" t="str">
        <f t="shared" si="57"/>
        <v>OK</v>
      </c>
      <c r="AM528" t="str">
        <f t="shared" si="58"/>
        <v>OK</v>
      </c>
      <c r="AN528" s="1">
        <f>IF(AF528=0,0,AH528/AF528)</f>
        <v>0.55000000000000004</v>
      </c>
      <c r="AO528" s="1">
        <f t="shared" si="59"/>
        <v>0.35</v>
      </c>
      <c r="AP528" s="1">
        <f t="shared" si="60"/>
        <v>0.2</v>
      </c>
      <c r="AQ528" s="1">
        <f t="shared" si="61"/>
        <v>0.5</v>
      </c>
    </row>
    <row r="529" spans="1:43"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56"/>
        <v>OK</v>
      </c>
      <c r="AK529" t="str">
        <f t="shared" si="62"/>
        <v>OK</v>
      </c>
      <c r="AL529" t="str">
        <f t="shared" si="57"/>
        <v>OK</v>
      </c>
      <c r="AM529" t="str">
        <f t="shared" si="58"/>
        <v>OK</v>
      </c>
      <c r="AN529" s="1">
        <f>IF(AF529=0,0,AH529/AF529)</f>
        <v>0</v>
      </c>
      <c r="AO529" s="1">
        <f t="shared" si="59"/>
        <v>0.7</v>
      </c>
      <c r="AP529" s="1">
        <f t="shared" si="60"/>
        <v>0.2</v>
      </c>
      <c r="AQ529" s="1">
        <f t="shared" si="61"/>
        <v>0.8</v>
      </c>
    </row>
    <row r="530" spans="1:43"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56"/>
        <v>OK</v>
      </c>
      <c r="AK530" t="str">
        <f t="shared" si="62"/>
        <v>OK</v>
      </c>
      <c r="AL530" t="str">
        <f t="shared" si="57"/>
        <v>OK</v>
      </c>
      <c r="AM530" t="str">
        <f t="shared" si="58"/>
        <v>OK</v>
      </c>
      <c r="AN530" s="1">
        <f>IF(AF530=0,0,AH530/AF530)</f>
        <v>0.25</v>
      </c>
      <c r="AO530" s="1">
        <f t="shared" si="59"/>
        <v>0.75</v>
      </c>
      <c r="AP530" s="1">
        <f t="shared" si="60"/>
        <v>1</v>
      </c>
      <c r="AQ530" s="1">
        <f t="shared" si="61"/>
        <v>0.75</v>
      </c>
    </row>
    <row r="531" spans="1:43"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56"/>
        <v>OK</v>
      </c>
      <c r="AK531" t="str">
        <f t="shared" si="62"/>
        <v>OK</v>
      </c>
      <c r="AL531" t="str">
        <f t="shared" si="57"/>
        <v>OK</v>
      </c>
      <c r="AM531" t="str">
        <f t="shared" si="58"/>
        <v>OK</v>
      </c>
      <c r="AN531" s="1">
        <f>IF(AF531=0,0,AH531/AF531)</f>
        <v>0.1111111111111111</v>
      </c>
      <c r="AO531" s="1">
        <f t="shared" si="59"/>
        <v>0.77777777777777779</v>
      </c>
      <c r="AP531" s="1">
        <f t="shared" si="60"/>
        <v>0.44444444444444442</v>
      </c>
      <c r="AQ531" s="1">
        <f t="shared" si="61"/>
        <v>0.88888888888888884</v>
      </c>
    </row>
    <row r="532" spans="1:43"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56"/>
        <v>OK</v>
      </c>
      <c r="AK532" t="str">
        <f t="shared" si="62"/>
        <v>OK</v>
      </c>
      <c r="AL532" t="str">
        <f t="shared" si="57"/>
        <v>OK</v>
      </c>
      <c r="AM532" t="str">
        <f t="shared" si="58"/>
        <v>OK</v>
      </c>
      <c r="AN532" s="1">
        <f>IF(AF532=0,0,AH532/AF532)</f>
        <v>0</v>
      </c>
      <c r="AO532" s="1">
        <f t="shared" si="59"/>
        <v>0.77777777777777779</v>
      </c>
      <c r="AP532" s="1">
        <f t="shared" si="60"/>
        <v>0.33333333333333331</v>
      </c>
      <c r="AQ532" s="1">
        <f t="shared" si="61"/>
        <v>0.77777777777777779</v>
      </c>
    </row>
    <row r="533" spans="1:43"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56"/>
        <v>OK</v>
      </c>
      <c r="AK533" t="str">
        <f t="shared" si="62"/>
        <v>OK</v>
      </c>
      <c r="AL533" t="str">
        <f t="shared" si="57"/>
        <v>OK</v>
      </c>
      <c r="AM533" t="str">
        <f t="shared" si="58"/>
        <v>OK</v>
      </c>
      <c r="AN533" s="1">
        <f>IF(AF533=0,0,AH533/AF533)</f>
        <v>1</v>
      </c>
      <c r="AO533" s="1">
        <f t="shared" si="59"/>
        <v>1</v>
      </c>
      <c r="AP533" s="1">
        <f t="shared" si="60"/>
        <v>0.8571428571428571</v>
      </c>
      <c r="AQ533" s="1">
        <f t="shared" si="61"/>
        <v>1</v>
      </c>
    </row>
    <row r="534" spans="1:43"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56"/>
        <v>OK</v>
      </c>
      <c r="AK534" t="str">
        <f t="shared" si="62"/>
        <v>OK</v>
      </c>
      <c r="AL534" t="str">
        <f t="shared" si="57"/>
        <v>OK</v>
      </c>
      <c r="AM534" t="str">
        <f t="shared" si="58"/>
        <v>OK</v>
      </c>
      <c r="AN534" s="1">
        <f>IF(AF534=0,0,AH534/AF534)</f>
        <v>0.14285714285714285</v>
      </c>
      <c r="AO534" s="1">
        <f t="shared" si="59"/>
        <v>1</v>
      </c>
      <c r="AP534" s="1">
        <f t="shared" si="60"/>
        <v>0.2857142857142857</v>
      </c>
      <c r="AQ534" s="1">
        <f t="shared" si="61"/>
        <v>1</v>
      </c>
    </row>
    <row r="535" spans="1:43"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56"/>
        <v>OK</v>
      </c>
      <c r="AK535" t="str">
        <f t="shared" si="62"/>
        <v>OK</v>
      </c>
      <c r="AL535" t="str">
        <f t="shared" si="57"/>
        <v>OK</v>
      </c>
      <c r="AM535" t="str">
        <f t="shared" si="58"/>
        <v>OK</v>
      </c>
      <c r="AN535" s="1">
        <f>IF(AF535=0,0,AH535/AF535)</f>
        <v>5.5555555555555552E-2</v>
      </c>
      <c r="AO535" s="1">
        <f t="shared" si="59"/>
        <v>0.72222222222222221</v>
      </c>
      <c r="AP535" s="1">
        <f t="shared" si="60"/>
        <v>0.1111111111111111</v>
      </c>
      <c r="AQ535" s="1">
        <f t="shared" si="61"/>
        <v>0.66666666666666663</v>
      </c>
    </row>
    <row r="536" spans="1:43"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56"/>
        <v>OK</v>
      </c>
      <c r="AK536" t="str">
        <f t="shared" si="62"/>
        <v>OK</v>
      </c>
      <c r="AL536" t="str">
        <f t="shared" si="57"/>
        <v>OK</v>
      </c>
      <c r="AM536" t="str">
        <f t="shared" si="58"/>
        <v>OK</v>
      </c>
      <c r="AN536" s="1">
        <f>IF(AF536=0,0,AH536/AF536)</f>
        <v>0.2</v>
      </c>
      <c r="AO536" s="1">
        <f t="shared" si="59"/>
        <v>0.2</v>
      </c>
      <c r="AP536" s="1">
        <f t="shared" si="60"/>
        <v>0.6</v>
      </c>
      <c r="AQ536" s="1">
        <f t="shared" si="61"/>
        <v>0.6</v>
      </c>
    </row>
    <row r="537" spans="1:43"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56"/>
        <v>OK</v>
      </c>
      <c r="AK537" t="str">
        <f t="shared" si="62"/>
        <v>OK</v>
      </c>
      <c r="AL537" t="str">
        <f t="shared" si="57"/>
        <v>OK</v>
      </c>
      <c r="AM537" t="str">
        <f t="shared" si="58"/>
        <v>OK</v>
      </c>
      <c r="AN537" s="1">
        <f>IF(AF537=0,0,AH537/AF537)</f>
        <v>0.5714285714285714</v>
      </c>
      <c r="AO537" s="1">
        <f t="shared" si="59"/>
        <v>0.2857142857142857</v>
      </c>
      <c r="AP537" s="1">
        <f t="shared" si="60"/>
        <v>9.5238095238095233E-2</v>
      </c>
      <c r="AQ537" s="1">
        <f t="shared" si="61"/>
        <v>0.2857142857142857</v>
      </c>
    </row>
    <row r="538" spans="1:43"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56"/>
        <v>OK</v>
      </c>
      <c r="AK538" t="str">
        <f t="shared" si="62"/>
        <v>OK</v>
      </c>
      <c r="AL538" t="str">
        <f t="shared" si="57"/>
        <v>OK</v>
      </c>
      <c r="AM538" t="str">
        <f t="shared" si="58"/>
        <v>OK</v>
      </c>
      <c r="AN538" s="1">
        <f>IF(AF538=0,0,AH538/AF538)</f>
        <v>1</v>
      </c>
      <c r="AO538" s="1">
        <f t="shared" si="59"/>
        <v>1</v>
      </c>
      <c r="AP538" s="1">
        <f t="shared" si="60"/>
        <v>0.5</v>
      </c>
      <c r="AQ538" s="1">
        <f t="shared" si="61"/>
        <v>1</v>
      </c>
    </row>
    <row r="539" spans="1:43"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56"/>
        <v>OK</v>
      </c>
      <c r="AK539" t="str">
        <f t="shared" si="62"/>
        <v>OK</v>
      </c>
      <c r="AL539" t="str">
        <f t="shared" si="57"/>
        <v>OK</v>
      </c>
      <c r="AM539" t="str">
        <f t="shared" si="58"/>
        <v>OK</v>
      </c>
      <c r="AN539" s="1">
        <f>IF(AF539=0,0,AH539/AF539)</f>
        <v>0.1111111111111111</v>
      </c>
      <c r="AO539" s="1">
        <f t="shared" si="59"/>
        <v>0.77777777777777779</v>
      </c>
      <c r="AP539" s="1">
        <f t="shared" si="60"/>
        <v>0.44444444444444442</v>
      </c>
      <c r="AQ539" s="1">
        <f t="shared" si="61"/>
        <v>0.77777777777777779</v>
      </c>
    </row>
    <row r="540" spans="1:43"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56"/>
        <v>OK</v>
      </c>
      <c r="AK540" t="str">
        <f t="shared" si="62"/>
        <v>OK</v>
      </c>
      <c r="AL540" t="str">
        <f t="shared" si="57"/>
        <v>OK</v>
      </c>
      <c r="AM540" t="str">
        <f t="shared" si="58"/>
        <v>OK</v>
      </c>
      <c r="AN540" s="1">
        <f>IF(AF540=0,0,AH540/AF540)</f>
        <v>9.0909090909090912E-2</v>
      </c>
      <c r="AO540" s="1">
        <f t="shared" si="59"/>
        <v>0.31818181818181818</v>
      </c>
      <c r="AP540" s="1">
        <f t="shared" si="60"/>
        <v>0.13636363636363635</v>
      </c>
      <c r="AQ540" s="1">
        <f t="shared" si="61"/>
        <v>0.45454545454545453</v>
      </c>
    </row>
    <row r="541" spans="1:43"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56"/>
        <v>OK</v>
      </c>
      <c r="AK541" t="str">
        <f t="shared" si="62"/>
        <v>OK</v>
      </c>
      <c r="AL541" t="str">
        <f t="shared" si="57"/>
        <v>OK</v>
      </c>
      <c r="AM541" t="str">
        <f t="shared" si="58"/>
        <v>OK</v>
      </c>
      <c r="AN541" s="1">
        <f>IF(AF541=0,0,AH541/AF541)</f>
        <v>1</v>
      </c>
      <c r="AO541" s="1">
        <f t="shared" si="59"/>
        <v>1</v>
      </c>
      <c r="AP541" s="1">
        <f t="shared" si="60"/>
        <v>1</v>
      </c>
      <c r="AQ541" s="1">
        <f t="shared" si="61"/>
        <v>1</v>
      </c>
    </row>
    <row r="542" spans="1:43"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56"/>
        <v>OK</v>
      </c>
      <c r="AK542" t="str">
        <f t="shared" si="62"/>
        <v>OK</v>
      </c>
      <c r="AL542" t="str">
        <f t="shared" si="57"/>
        <v>OK</v>
      </c>
      <c r="AM542" t="str">
        <f t="shared" si="58"/>
        <v>OK</v>
      </c>
      <c r="AN542" s="1">
        <f>IF(AF542=0,0,AH542/AF542)</f>
        <v>0.42857142857142855</v>
      </c>
      <c r="AO542" s="1">
        <f t="shared" si="59"/>
        <v>1</v>
      </c>
      <c r="AP542" s="1">
        <f t="shared" si="60"/>
        <v>0.5714285714285714</v>
      </c>
      <c r="AQ542" s="1">
        <f t="shared" si="61"/>
        <v>1</v>
      </c>
    </row>
    <row r="543" spans="1:43"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56"/>
        <v>OK</v>
      </c>
      <c r="AK543" t="str">
        <f t="shared" si="62"/>
        <v>OK</v>
      </c>
      <c r="AL543" t="str">
        <f t="shared" si="57"/>
        <v>OK</v>
      </c>
      <c r="AM543" t="str">
        <f t="shared" si="58"/>
        <v>OK</v>
      </c>
      <c r="AN543" s="1">
        <f>IF(AF543=0,0,AH543/AF543)</f>
        <v>0</v>
      </c>
      <c r="AO543" s="1">
        <f t="shared" si="59"/>
        <v>0.875</v>
      </c>
      <c r="AP543" s="1">
        <f t="shared" si="60"/>
        <v>0.25</v>
      </c>
      <c r="AQ543" s="1">
        <f t="shared" si="61"/>
        <v>0.625</v>
      </c>
    </row>
    <row r="544" spans="1:43"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56"/>
        <v>OK</v>
      </c>
      <c r="AK544" t="str">
        <f t="shared" si="62"/>
        <v>OK</v>
      </c>
      <c r="AL544" t="str">
        <f t="shared" si="57"/>
        <v>OK</v>
      </c>
      <c r="AM544" t="str">
        <f t="shared" si="58"/>
        <v>OK</v>
      </c>
      <c r="AN544" s="1">
        <f>IF(AF544=0,0,AH544/AF544)</f>
        <v>0</v>
      </c>
      <c r="AO544" s="1">
        <f t="shared" si="59"/>
        <v>0</v>
      </c>
      <c r="AP544" s="1">
        <f t="shared" si="60"/>
        <v>4</v>
      </c>
      <c r="AQ544" s="1">
        <f t="shared" si="61"/>
        <v>0</v>
      </c>
    </row>
    <row r="545" spans="1:43"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56"/>
        <v>OK</v>
      </c>
      <c r="AK545" t="str">
        <f t="shared" si="62"/>
        <v>OK</v>
      </c>
      <c r="AL545" t="str">
        <f t="shared" si="57"/>
        <v>OK</v>
      </c>
      <c r="AM545" t="str">
        <f t="shared" si="58"/>
        <v>OK</v>
      </c>
      <c r="AN545" s="1">
        <f>IF(AF545=0,0,AH545/AF545)</f>
        <v>0.2</v>
      </c>
      <c r="AO545" s="1">
        <f t="shared" si="59"/>
        <v>0.4</v>
      </c>
      <c r="AP545" s="1">
        <f t="shared" si="60"/>
        <v>1</v>
      </c>
      <c r="AQ545" s="1">
        <f t="shared" si="61"/>
        <v>0.8</v>
      </c>
    </row>
    <row r="546" spans="1:43"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56"/>
        <v>OK</v>
      </c>
      <c r="AK546" t="str">
        <f t="shared" si="62"/>
        <v>OK</v>
      </c>
      <c r="AL546" t="str">
        <f t="shared" si="57"/>
        <v>OK</v>
      </c>
      <c r="AM546" t="str">
        <f t="shared" si="58"/>
        <v>OK</v>
      </c>
      <c r="AN546" s="1">
        <f>IF(AF546=0,0,AH546/AF546)</f>
        <v>0.5</v>
      </c>
      <c r="AO546" s="1">
        <f t="shared" si="59"/>
        <v>9.0909090909090912E-2</v>
      </c>
      <c r="AP546" s="1">
        <f t="shared" si="60"/>
        <v>9.0909090909090912E-2</v>
      </c>
      <c r="AQ546" s="1">
        <f t="shared" si="61"/>
        <v>0.59090909090909094</v>
      </c>
    </row>
    <row r="547" spans="1:43"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56"/>
        <v>OK</v>
      </c>
      <c r="AK547" t="str">
        <f t="shared" si="62"/>
        <v>OK</v>
      </c>
      <c r="AL547" t="str">
        <f t="shared" si="57"/>
        <v>OK</v>
      </c>
      <c r="AM547" t="str">
        <f t="shared" si="58"/>
        <v>OK</v>
      </c>
      <c r="AN547" s="1">
        <f>IF(AF547=0,0,AH547/AF547)</f>
        <v>0.875</v>
      </c>
      <c r="AO547" s="1">
        <f t="shared" si="59"/>
        <v>0.875</v>
      </c>
      <c r="AP547" s="1">
        <f t="shared" si="60"/>
        <v>0.25</v>
      </c>
      <c r="AQ547" s="1">
        <f t="shared" si="61"/>
        <v>0.875</v>
      </c>
    </row>
    <row r="548" spans="1:43"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56"/>
        <v>OK</v>
      </c>
      <c r="AK548" t="str">
        <f t="shared" si="62"/>
        <v>OK</v>
      </c>
      <c r="AL548" t="str">
        <f t="shared" si="57"/>
        <v>OK</v>
      </c>
      <c r="AM548" t="str">
        <f t="shared" si="58"/>
        <v>OK</v>
      </c>
      <c r="AN548" s="1">
        <f>IF(AF548=0,0,AH548/AF548)</f>
        <v>0</v>
      </c>
      <c r="AO548" s="1">
        <f t="shared" si="59"/>
        <v>0</v>
      </c>
      <c r="AP548" s="1">
        <f t="shared" si="60"/>
        <v>6</v>
      </c>
      <c r="AQ548" s="1">
        <f t="shared" si="61"/>
        <v>0</v>
      </c>
    </row>
    <row r="549" spans="1:43"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56"/>
        <v>OK</v>
      </c>
      <c r="AK549" t="str">
        <f t="shared" si="62"/>
        <v>OK</v>
      </c>
      <c r="AL549" t="str">
        <f t="shared" si="57"/>
        <v>OK</v>
      </c>
      <c r="AM549" t="str">
        <f t="shared" si="58"/>
        <v>OK</v>
      </c>
      <c r="AN549" s="1">
        <f>IF(AF549=0,0,AH549/AF549)</f>
        <v>1</v>
      </c>
      <c r="AO549" s="1">
        <f t="shared" si="59"/>
        <v>1</v>
      </c>
      <c r="AP549" s="1">
        <f t="shared" si="60"/>
        <v>1</v>
      </c>
      <c r="AQ549" s="1">
        <f t="shared" si="61"/>
        <v>1</v>
      </c>
    </row>
    <row r="550" spans="1:43"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56"/>
        <v>OK</v>
      </c>
      <c r="AK550" t="str">
        <f t="shared" si="62"/>
        <v>OK</v>
      </c>
      <c r="AL550" t="str">
        <f t="shared" si="57"/>
        <v>OK</v>
      </c>
      <c r="AM550" t="str">
        <f t="shared" si="58"/>
        <v>OK</v>
      </c>
      <c r="AN550" s="1">
        <f>IF(AF550=0,0,AH550/AF550)</f>
        <v>1</v>
      </c>
      <c r="AO550" s="1">
        <f t="shared" si="59"/>
        <v>1</v>
      </c>
      <c r="AP550" s="1">
        <f t="shared" si="60"/>
        <v>2.5</v>
      </c>
      <c r="AQ550" s="1">
        <f t="shared" si="61"/>
        <v>1</v>
      </c>
    </row>
    <row r="551" spans="1:43"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56"/>
        <v>OK</v>
      </c>
      <c r="AK551" t="str">
        <f t="shared" si="62"/>
        <v>OK</v>
      </c>
      <c r="AL551" t="str">
        <f t="shared" si="57"/>
        <v>OK</v>
      </c>
      <c r="AM551" t="str">
        <f t="shared" si="58"/>
        <v>OK</v>
      </c>
      <c r="AN551" s="1">
        <f>IF(AF551=0,0,AH551/AF551)</f>
        <v>0.8</v>
      </c>
      <c r="AO551" s="1">
        <f t="shared" si="59"/>
        <v>0.2</v>
      </c>
      <c r="AP551" s="1">
        <f t="shared" si="60"/>
        <v>0.4</v>
      </c>
      <c r="AQ551" s="1">
        <f t="shared" si="61"/>
        <v>0.6</v>
      </c>
    </row>
    <row r="552" spans="1:43"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56"/>
        <v>OK</v>
      </c>
      <c r="AK552" t="str">
        <f t="shared" si="62"/>
        <v>OK</v>
      </c>
      <c r="AL552" t="str">
        <f t="shared" si="57"/>
        <v>OK</v>
      </c>
      <c r="AM552" t="str">
        <f t="shared" si="58"/>
        <v>OK</v>
      </c>
      <c r="AN552" s="1">
        <f>IF(AF552=0,0,AH552/AF552)</f>
        <v>0</v>
      </c>
      <c r="AO552" s="1">
        <f t="shared" si="59"/>
        <v>0.75</v>
      </c>
      <c r="AP552" s="1">
        <f t="shared" si="60"/>
        <v>0.5</v>
      </c>
      <c r="AQ552" s="1">
        <f t="shared" si="61"/>
        <v>0.5</v>
      </c>
    </row>
    <row r="553" spans="1:43"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56"/>
        <v>OK</v>
      </c>
      <c r="AK553" t="str">
        <f t="shared" si="62"/>
        <v>OK</v>
      </c>
      <c r="AL553" t="str">
        <f t="shared" si="57"/>
        <v>OK</v>
      </c>
      <c r="AM553" t="str">
        <f t="shared" si="58"/>
        <v>OK</v>
      </c>
      <c r="AN553" s="1">
        <f>IF(AF553=0,0,AH553/AF553)</f>
        <v>0.375</v>
      </c>
      <c r="AO553" s="1">
        <f t="shared" si="59"/>
        <v>0.375</v>
      </c>
      <c r="AP553" s="1">
        <f t="shared" si="60"/>
        <v>0.375</v>
      </c>
      <c r="AQ553" s="1">
        <f t="shared" si="61"/>
        <v>0.75</v>
      </c>
    </row>
    <row r="554" spans="1:43"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56"/>
        <v>OK</v>
      </c>
      <c r="AK554" t="str">
        <f t="shared" si="62"/>
        <v>OK</v>
      </c>
      <c r="AL554" t="str">
        <f t="shared" si="57"/>
        <v>OK</v>
      </c>
      <c r="AM554" t="str">
        <f t="shared" si="58"/>
        <v>OK</v>
      </c>
      <c r="AN554" s="1">
        <f>IF(AF554=0,0,AH554/AF554)</f>
        <v>0.1</v>
      </c>
      <c r="AO554" s="1">
        <f t="shared" si="59"/>
        <v>0.7</v>
      </c>
      <c r="AP554" s="1">
        <f t="shared" si="60"/>
        <v>0.1</v>
      </c>
      <c r="AQ554" s="1">
        <f t="shared" si="61"/>
        <v>0.1</v>
      </c>
    </row>
    <row r="555" spans="1:43"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56"/>
        <v>OK</v>
      </c>
      <c r="AK555" t="str">
        <f t="shared" si="62"/>
        <v>OK</v>
      </c>
      <c r="AL555" t="str">
        <f t="shared" si="57"/>
        <v>OK</v>
      </c>
      <c r="AM555" t="str">
        <f t="shared" si="58"/>
        <v>OK</v>
      </c>
      <c r="AN555" s="1">
        <f>IF(AF555=0,0,AH555/AF555)</f>
        <v>0.5</v>
      </c>
      <c r="AO555" s="1">
        <f t="shared" si="59"/>
        <v>0.5</v>
      </c>
      <c r="AP555" s="1">
        <f t="shared" si="60"/>
        <v>0.5</v>
      </c>
      <c r="AQ555" s="1">
        <f t="shared" si="61"/>
        <v>0.75</v>
      </c>
    </row>
    <row r="556" spans="1:43"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56"/>
        <v>OK</v>
      </c>
      <c r="AK556" t="str">
        <f t="shared" si="62"/>
        <v>OK</v>
      </c>
      <c r="AL556" t="str">
        <f t="shared" si="57"/>
        <v>OK</v>
      </c>
      <c r="AM556" t="str">
        <f t="shared" si="58"/>
        <v>OK</v>
      </c>
      <c r="AN556" s="1">
        <f>IF(AF556=0,0,AH556/AF556)</f>
        <v>0</v>
      </c>
      <c r="AO556" s="1">
        <f t="shared" si="59"/>
        <v>0.8571428571428571</v>
      </c>
      <c r="AP556" s="1">
        <f t="shared" si="60"/>
        <v>0.2857142857142857</v>
      </c>
      <c r="AQ556" s="1">
        <f t="shared" si="61"/>
        <v>1</v>
      </c>
    </row>
    <row r="557" spans="1:43"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56"/>
        <v>OK</v>
      </c>
      <c r="AK557" t="str">
        <f t="shared" si="62"/>
        <v>OK</v>
      </c>
      <c r="AL557" t="str">
        <f t="shared" si="57"/>
        <v>OK</v>
      </c>
      <c r="AM557" t="str">
        <f t="shared" si="58"/>
        <v>OK</v>
      </c>
      <c r="AN557" s="1">
        <f>IF(AF557=0,0,AH557/AF557)</f>
        <v>1</v>
      </c>
      <c r="AO557" s="1">
        <f t="shared" si="59"/>
        <v>1</v>
      </c>
      <c r="AP557" s="1">
        <f t="shared" si="60"/>
        <v>1</v>
      </c>
      <c r="AQ557" s="1">
        <f t="shared" si="61"/>
        <v>1</v>
      </c>
    </row>
    <row r="558" spans="1:43"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56"/>
        <v>OK</v>
      </c>
      <c r="AK558" t="str">
        <f t="shared" si="62"/>
        <v>OK</v>
      </c>
      <c r="AL558" t="str">
        <f t="shared" si="57"/>
        <v>OK</v>
      </c>
      <c r="AM558" t="str">
        <f t="shared" si="58"/>
        <v>OK</v>
      </c>
      <c r="AN558" s="1">
        <f>IF(AF558=0,0,AH558/AF558)</f>
        <v>1</v>
      </c>
      <c r="AO558" s="1">
        <f t="shared" si="59"/>
        <v>1</v>
      </c>
      <c r="AP558" s="1">
        <f t="shared" si="60"/>
        <v>2</v>
      </c>
      <c r="AQ558" s="1">
        <f t="shared" si="61"/>
        <v>1</v>
      </c>
    </row>
    <row r="559" spans="1:43"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56"/>
        <v>OK</v>
      </c>
      <c r="AK559" t="str">
        <f t="shared" si="62"/>
        <v>OK</v>
      </c>
      <c r="AL559" t="str">
        <f t="shared" si="57"/>
        <v>OK</v>
      </c>
      <c r="AM559" t="str">
        <f t="shared" si="58"/>
        <v>OK</v>
      </c>
      <c r="AN559" s="1">
        <f>IF(AF559=0,0,AH559/AF559)</f>
        <v>0</v>
      </c>
      <c r="AO559" s="1">
        <f t="shared" si="59"/>
        <v>0</v>
      </c>
      <c r="AP559" s="1">
        <f t="shared" si="60"/>
        <v>2</v>
      </c>
      <c r="AQ559" s="1">
        <f t="shared" si="61"/>
        <v>0</v>
      </c>
    </row>
    <row r="560" spans="1:43"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56"/>
        <v>OK</v>
      </c>
      <c r="AK560" t="str">
        <f t="shared" si="62"/>
        <v>OK</v>
      </c>
      <c r="AL560" t="str">
        <f t="shared" si="57"/>
        <v>OK</v>
      </c>
      <c r="AM560" t="str">
        <f t="shared" si="58"/>
        <v>OK</v>
      </c>
      <c r="AN560" s="1">
        <f>IF(AF560=0,0,AH560/AF560)</f>
        <v>0.4</v>
      </c>
      <c r="AO560" s="1">
        <f t="shared" si="59"/>
        <v>0.8</v>
      </c>
      <c r="AP560" s="1">
        <f t="shared" si="60"/>
        <v>0.2</v>
      </c>
      <c r="AQ560" s="1">
        <f t="shared" si="61"/>
        <v>0.7</v>
      </c>
    </row>
    <row r="561" spans="1:43"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56"/>
        <v>OK</v>
      </c>
      <c r="AK561" t="str">
        <f t="shared" si="62"/>
        <v>OK</v>
      </c>
      <c r="AL561" t="str">
        <f t="shared" si="57"/>
        <v>OK</v>
      </c>
      <c r="AM561" t="str">
        <f t="shared" si="58"/>
        <v>OK</v>
      </c>
      <c r="AN561" s="1">
        <f>IF(AF561=0,0,AH561/AF561)</f>
        <v>0</v>
      </c>
      <c r="AO561" s="1">
        <f t="shared" si="59"/>
        <v>0</v>
      </c>
      <c r="AP561" s="1">
        <f t="shared" si="60"/>
        <v>0</v>
      </c>
      <c r="AQ561" s="1">
        <f t="shared" si="61"/>
        <v>1</v>
      </c>
    </row>
    <row r="562" spans="1:43"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56"/>
        <v>OK</v>
      </c>
      <c r="AK562" t="str">
        <f t="shared" si="62"/>
        <v>OK</v>
      </c>
      <c r="AL562" t="str">
        <f t="shared" si="57"/>
        <v>OK</v>
      </c>
      <c r="AM562" t="str">
        <f t="shared" si="58"/>
        <v>OK</v>
      </c>
      <c r="AN562" s="1">
        <f>IF(AF562=0,0,AH562/AF562)</f>
        <v>0</v>
      </c>
      <c r="AO562" s="1">
        <f t="shared" si="59"/>
        <v>0</v>
      </c>
      <c r="AP562" s="1">
        <f t="shared" si="60"/>
        <v>0</v>
      </c>
      <c r="AQ562" s="1">
        <f t="shared" si="61"/>
        <v>0</v>
      </c>
    </row>
    <row r="563" spans="1:43"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56"/>
        <v>OK</v>
      </c>
      <c r="AK563" t="str">
        <f t="shared" si="62"/>
        <v>OK</v>
      </c>
      <c r="AL563" t="str">
        <f t="shared" si="57"/>
        <v>OK</v>
      </c>
      <c r="AM563" t="str">
        <f t="shared" si="58"/>
        <v>OK</v>
      </c>
      <c r="AN563" s="1">
        <f>IF(AF563=0,0,AH563/AF563)</f>
        <v>2.9411764705882353E-2</v>
      </c>
      <c r="AO563" s="1">
        <f t="shared" si="59"/>
        <v>0.17647058823529413</v>
      </c>
      <c r="AP563" s="1">
        <f t="shared" si="60"/>
        <v>8.8235294117647065E-2</v>
      </c>
      <c r="AQ563" s="1">
        <f t="shared" si="61"/>
        <v>0.47058823529411764</v>
      </c>
    </row>
    <row r="564" spans="1:43"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56"/>
        <v>OK</v>
      </c>
      <c r="AK564" t="str">
        <f t="shared" si="62"/>
        <v>OK</v>
      </c>
      <c r="AL564" t="str">
        <f t="shared" si="57"/>
        <v>OK</v>
      </c>
      <c r="AM564" t="str">
        <f t="shared" si="58"/>
        <v>OK</v>
      </c>
      <c r="AN564" s="1">
        <f>IF(AF564=0,0,AH564/AF564)</f>
        <v>0.7</v>
      </c>
      <c r="AO564" s="1">
        <f t="shared" si="59"/>
        <v>0.9</v>
      </c>
      <c r="AP564" s="1">
        <f t="shared" si="60"/>
        <v>0.2</v>
      </c>
      <c r="AQ564" s="1">
        <f t="shared" si="61"/>
        <v>0.8</v>
      </c>
    </row>
    <row r="565" spans="1:43"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56"/>
        <v>OK</v>
      </c>
      <c r="AK565" t="str">
        <f t="shared" si="62"/>
        <v>OK</v>
      </c>
      <c r="AL565" t="str">
        <f t="shared" si="57"/>
        <v>OK</v>
      </c>
      <c r="AM565" t="str">
        <f t="shared" si="58"/>
        <v>OK</v>
      </c>
      <c r="AN565" s="1">
        <f>IF(AF565=0,0,AH565/AF565)</f>
        <v>0.16666666666666666</v>
      </c>
      <c r="AO565" s="1">
        <f t="shared" si="59"/>
        <v>0.83333333333333337</v>
      </c>
      <c r="AP565" s="1">
        <f t="shared" si="60"/>
        <v>0.83333333333333337</v>
      </c>
      <c r="AQ565" s="1">
        <f t="shared" si="61"/>
        <v>0.66666666666666663</v>
      </c>
    </row>
    <row r="566" spans="1:43"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56"/>
        <v>OK</v>
      </c>
      <c r="AK566" t="str">
        <f t="shared" si="62"/>
        <v>OK</v>
      </c>
      <c r="AL566" t="str">
        <f t="shared" si="57"/>
        <v>OK</v>
      </c>
      <c r="AM566" t="str">
        <f t="shared" si="58"/>
        <v>OK</v>
      </c>
      <c r="AN566" s="1">
        <f>IF(AF566=0,0,AH566/AF566)</f>
        <v>0.375</v>
      </c>
      <c r="AO566" s="1">
        <f t="shared" si="59"/>
        <v>0.875</v>
      </c>
      <c r="AP566" s="1">
        <f t="shared" si="60"/>
        <v>0.375</v>
      </c>
      <c r="AQ566" s="1">
        <f t="shared" si="61"/>
        <v>0.125</v>
      </c>
    </row>
    <row r="567" spans="1:43"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56"/>
        <v>OK</v>
      </c>
      <c r="AK567" t="str">
        <f t="shared" si="62"/>
        <v>OK</v>
      </c>
      <c r="AL567" t="str">
        <f t="shared" si="57"/>
        <v>OK</v>
      </c>
      <c r="AM567" t="str">
        <f t="shared" si="58"/>
        <v>OK</v>
      </c>
      <c r="AN567" s="1">
        <f>IF(AF567=0,0,AH567/AF567)</f>
        <v>0</v>
      </c>
      <c r="AO567" s="1">
        <f t="shared" si="59"/>
        <v>1</v>
      </c>
      <c r="AP567" s="1">
        <f t="shared" si="60"/>
        <v>1.5</v>
      </c>
      <c r="AQ567" s="1">
        <f t="shared" si="61"/>
        <v>1</v>
      </c>
    </row>
    <row r="568" spans="1:43"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56"/>
        <v>OK</v>
      </c>
      <c r="AK568" t="str">
        <f t="shared" si="62"/>
        <v>OK</v>
      </c>
      <c r="AL568" t="str">
        <f t="shared" si="57"/>
        <v>OK</v>
      </c>
      <c r="AM568" t="str">
        <f t="shared" si="58"/>
        <v>OK</v>
      </c>
      <c r="AN568" s="1">
        <f>IF(AF568=0,0,AH568/AF568)</f>
        <v>0.2</v>
      </c>
      <c r="AO568" s="1">
        <f t="shared" si="59"/>
        <v>0.8</v>
      </c>
      <c r="AP568" s="1">
        <f t="shared" si="60"/>
        <v>0.4</v>
      </c>
      <c r="AQ568" s="1">
        <f t="shared" si="61"/>
        <v>0.6</v>
      </c>
    </row>
    <row r="569" spans="1:43"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56"/>
        <v>OK</v>
      </c>
      <c r="AK569" t="str">
        <f t="shared" si="62"/>
        <v>OK</v>
      </c>
      <c r="AL569" t="str">
        <f t="shared" si="57"/>
        <v>OK</v>
      </c>
      <c r="AM569" t="str">
        <f t="shared" si="58"/>
        <v>OK</v>
      </c>
      <c r="AN569" s="1">
        <f>IF(AF569=0,0,AH569/AF569)</f>
        <v>0.16666666666666666</v>
      </c>
      <c r="AO569" s="1">
        <f t="shared" si="59"/>
        <v>0.83333333333333337</v>
      </c>
      <c r="AP569" s="1">
        <f t="shared" si="60"/>
        <v>0.83333333333333337</v>
      </c>
      <c r="AQ569" s="1">
        <f t="shared" si="61"/>
        <v>0.66666666666666663</v>
      </c>
    </row>
    <row r="570" spans="1:43"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56"/>
        <v>OK</v>
      </c>
      <c r="AK570" t="str">
        <f t="shared" si="62"/>
        <v>OK</v>
      </c>
      <c r="AL570" t="str">
        <f t="shared" si="57"/>
        <v>OK</v>
      </c>
      <c r="AM570" t="str">
        <f t="shared" si="58"/>
        <v>OK</v>
      </c>
      <c r="AN570" s="1">
        <f>IF(AF570=0,0,AH570/AF570)</f>
        <v>0.2</v>
      </c>
      <c r="AO570" s="1">
        <f t="shared" si="59"/>
        <v>0.4</v>
      </c>
      <c r="AP570" s="1">
        <f t="shared" si="60"/>
        <v>0.4</v>
      </c>
      <c r="AQ570" s="1">
        <f t="shared" si="61"/>
        <v>0.8</v>
      </c>
    </row>
    <row r="571" spans="1:43"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56"/>
        <v>OK</v>
      </c>
      <c r="AK571" t="str">
        <f t="shared" si="62"/>
        <v>OK</v>
      </c>
      <c r="AL571" t="str">
        <f t="shared" si="57"/>
        <v>OK</v>
      </c>
      <c r="AM571" t="str">
        <f t="shared" si="58"/>
        <v>OK</v>
      </c>
      <c r="AN571" s="1">
        <f>IF(AF571=0,0,AH571/AF571)</f>
        <v>0</v>
      </c>
      <c r="AO571" s="1">
        <f t="shared" si="59"/>
        <v>0.7</v>
      </c>
      <c r="AP571" s="1">
        <f t="shared" si="60"/>
        <v>0.1</v>
      </c>
      <c r="AQ571" s="1">
        <f t="shared" si="61"/>
        <v>0.9</v>
      </c>
    </row>
    <row r="572" spans="1:43"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56"/>
        <v>OK</v>
      </c>
      <c r="AK572" t="str">
        <f t="shared" si="62"/>
        <v>OK</v>
      </c>
      <c r="AL572" t="str">
        <f t="shared" si="57"/>
        <v>OK</v>
      </c>
      <c r="AM572" t="str">
        <f t="shared" si="58"/>
        <v>OK</v>
      </c>
      <c r="AN572" s="1">
        <f>IF(AF572=0,0,AH572/AF572)</f>
        <v>0.25</v>
      </c>
      <c r="AO572" s="1">
        <f t="shared" si="59"/>
        <v>0.75</v>
      </c>
      <c r="AP572" s="1">
        <f t="shared" si="60"/>
        <v>0.75</v>
      </c>
      <c r="AQ572" s="1">
        <f t="shared" si="61"/>
        <v>0.5</v>
      </c>
    </row>
    <row r="573" spans="1:43"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56"/>
        <v>OK</v>
      </c>
      <c r="AK573" t="str">
        <f t="shared" si="62"/>
        <v>OK</v>
      </c>
      <c r="AL573" t="str">
        <f t="shared" si="57"/>
        <v>OK</v>
      </c>
      <c r="AM573" t="str">
        <f t="shared" si="58"/>
        <v>OK</v>
      </c>
      <c r="AN573" s="1">
        <f>IF(AF573=0,0,AH573/AF573)</f>
        <v>1</v>
      </c>
      <c r="AO573" s="1">
        <f t="shared" si="59"/>
        <v>1</v>
      </c>
      <c r="AP573" s="1">
        <f t="shared" si="60"/>
        <v>1</v>
      </c>
      <c r="AQ573" s="1">
        <f t="shared" si="61"/>
        <v>0</v>
      </c>
    </row>
    <row r="574" spans="1:43"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56"/>
        <v>OK</v>
      </c>
      <c r="AK574" t="str">
        <f t="shared" si="62"/>
        <v>OK</v>
      </c>
      <c r="AL574" t="str">
        <f t="shared" si="57"/>
        <v>OK</v>
      </c>
      <c r="AM574" t="str">
        <f t="shared" si="58"/>
        <v>OK</v>
      </c>
      <c r="AN574" s="1">
        <f>IF(AF574=0,0,AH574/AF574)</f>
        <v>0.125</v>
      </c>
      <c r="AO574" s="1">
        <f t="shared" si="59"/>
        <v>0.875</v>
      </c>
      <c r="AP574" s="1">
        <f t="shared" si="60"/>
        <v>0.375</v>
      </c>
      <c r="AQ574" s="1">
        <f t="shared" si="61"/>
        <v>0.125</v>
      </c>
    </row>
    <row r="575" spans="1:43"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56"/>
        <v>OK</v>
      </c>
      <c r="AK575" t="str">
        <f t="shared" si="62"/>
        <v>OK</v>
      </c>
      <c r="AL575" t="str">
        <f t="shared" si="57"/>
        <v>OK</v>
      </c>
      <c r="AM575" t="str">
        <f t="shared" si="58"/>
        <v>OK</v>
      </c>
      <c r="AN575" s="1">
        <f>IF(AF575=0,0,AH575/AF575)</f>
        <v>0.25</v>
      </c>
      <c r="AO575" s="1">
        <f t="shared" si="59"/>
        <v>0.75</v>
      </c>
      <c r="AP575" s="1">
        <f t="shared" si="60"/>
        <v>0.5</v>
      </c>
      <c r="AQ575" s="1">
        <f t="shared" si="61"/>
        <v>0.5</v>
      </c>
    </row>
    <row r="576" spans="1:43"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56"/>
        <v>OK</v>
      </c>
      <c r="AK576" t="str">
        <f t="shared" si="62"/>
        <v>OK</v>
      </c>
      <c r="AL576" t="str">
        <f t="shared" si="57"/>
        <v>OK</v>
      </c>
      <c r="AM576" t="str">
        <f t="shared" si="58"/>
        <v>OK</v>
      </c>
      <c r="AN576" s="1">
        <f>IF(AF576=0,0,AH576/AF576)</f>
        <v>0.25</v>
      </c>
      <c r="AO576" s="1">
        <f t="shared" si="59"/>
        <v>0.5</v>
      </c>
      <c r="AP576" s="1">
        <f t="shared" si="60"/>
        <v>0.5</v>
      </c>
      <c r="AQ576" s="1">
        <f t="shared" si="61"/>
        <v>0.75</v>
      </c>
    </row>
    <row r="577" spans="1:43"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56"/>
        <v>OK</v>
      </c>
      <c r="AK577" t="str">
        <f t="shared" si="62"/>
        <v>OK</v>
      </c>
      <c r="AL577" t="str">
        <f t="shared" si="57"/>
        <v>OK</v>
      </c>
      <c r="AM577" t="str">
        <f t="shared" si="58"/>
        <v>OK</v>
      </c>
      <c r="AN577" s="1">
        <f>IF(AF577=0,0,AH577/AF577)</f>
        <v>0.2</v>
      </c>
      <c r="AO577" s="1">
        <f t="shared" si="59"/>
        <v>0.6</v>
      </c>
      <c r="AP577" s="1">
        <f t="shared" si="60"/>
        <v>0.8</v>
      </c>
      <c r="AQ577" s="1">
        <f t="shared" si="61"/>
        <v>0.8</v>
      </c>
    </row>
    <row r="578" spans="1:43"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si="56"/>
        <v>OK</v>
      </c>
      <c r="AK578" t="str">
        <f t="shared" si="62"/>
        <v>OK</v>
      </c>
      <c r="AL578" t="str">
        <f t="shared" si="57"/>
        <v>OK</v>
      </c>
      <c r="AM578" t="str">
        <f t="shared" si="58"/>
        <v>OK</v>
      </c>
      <c r="AN578" s="1">
        <f>IF(AF578=0,0,AH578/AF578)</f>
        <v>0.25</v>
      </c>
      <c r="AO578" s="1">
        <f t="shared" si="59"/>
        <v>0.5</v>
      </c>
      <c r="AP578" s="1">
        <f t="shared" si="60"/>
        <v>0.75</v>
      </c>
      <c r="AQ578" s="1">
        <f t="shared" si="61"/>
        <v>0.25</v>
      </c>
    </row>
    <row r="579" spans="1:43"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ref="AJ579:AJ642" si="63">IF(AF579&lt;=AC579, "OK", "ERROR")</f>
        <v>OK</v>
      </c>
      <c r="AK579" t="str">
        <f t="shared" si="62"/>
        <v>OK</v>
      </c>
      <c r="AL579" t="str">
        <f t="shared" ref="AL579:AL642" si="64">IF(AG579&lt;=AF579,"OK","ERROR")</f>
        <v>OK</v>
      </c>
      <c r="AM579" t="str">
        <f t="shared" ref="AM579:AM642" si="65">IF(AI579&lt;=AF579,"OK","ERROR")</f>
        <v>OK</v>
      </c>
      <c r="AN579" s="1">
        <f>IF(AF579=0,0,AH579/AF579)</f>
        <v>0.8</v>
      </c>
      <c r="AO579" s="1">
        <f t="shared" ref="AO579:AO642" si="66">IF(AF579=0,0,AG579/AF579)</f>
        <v>0.6</v>
      </c>
      <c r="AP579" s="1">
        <f t="shared" ref="AP579:AP642" si="67">IF(AF579=0,0,AD579/AF579)</f>
        <v>0.6</v>
      </c>
      <c r="AQ579" s="1">
        <f t="shared" ref="AQ579:AQ642" si="68">IF(AF579=0,0,AI579/AF579)</f>
        <v>0.6</v>
      </c>
    </row>
    <row r="580" spans="1:43"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63"/>
        <v>OK</v>
      </c>
      <c r="AK580" t="str">
        <f t="shared" ref="AK580:AK643" si="69">IF(AH580&lt;=AF580,"OK", "ERROR")</f>
        <v>OK</v>
      </c>
      <c r="AL580" t="str">
        <f t="shared" si="64"/>
        <v>OK</v>
      </c>
      <c r="AM580" t="str">
        <f t="shared" si="65"/>
        <v>OK</v>
      </c>
      <c r="AN580" s="1">
        <f>IF(AF580=0,0,AH580/AF580)</f>
        <v>0.26666666666666666</v>
      </c>
      <c r="AO580" s="1">
        <f t="shared" si="66"/>
        <v>0.46666666666666667</v>
      </c>
      <c r="AP580" s="1">
        <f t="shared" si="67"/>
        <v>0.13333333333333333</v>
      </c>
      <c r="AQ580" s="1">
        <f t="shared" si="68"/>
        <v>0.8</v>
      </c>
    </row>
    <row r="581" spans="1:43"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63"/>
        <v>OK</v>
      </c>
      <c r="AK581" t="str">
        <f t="shared" si="69"/>
        <v>OK</v>
      </c>
      <c r="AL581" t="str">
        <f t="shared" si="64"/>
        <v>OK</v>
      </c>
      <c r="AM581" t="str">
        <f t="shared" si="65"/>
        <v>OK</v>
      </c>
      <c r="AN581" s="1">
        <f>IF(AF581=0,0,AH581/AF581)</f>
        <v>0.16666666666666666</v>
      </c>
      <c r="AO581" s="1">
        <f t="shared" si="66"/>
        <v>0.83333333333333337</v>
      </c>
      <c r="AP581" s="1">
        <f t="shared" si="67"/>
        <v>0.5</v>
      </c>
      <c r="AQ581" s="1">
        <f t="shared" si="68"/>
        <v>0.5</v>
      </c>
    </row>
    <row r="582" spans="1:43"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63"/>
        <v>OK</v>
      </c>
      <c r="AK582" t="str">
        <f t="shared" si="69"/>
        <v>OK</v>
      </c>
      <c r="AL582" t="str">
        <f t="shared" si="64"/>
        <v>OK</v>
      </c>
      <c r="AM582" t="str">
        <f t="shared" si="65"/>
        <v>OK</v>
      </c>
      <c r="AN582" s="1">
        <f>IF(AF582=0,0,AH582/AF582)</f>
        <v>0</v>
      </c>
      <c r="AO582" s="1">
        <f t="shared" si="66"/>
        <v>0.66666666666666663</v>
      </c>
      <c r="AP582" s="1">
        <f t="shared" si="67"/>
        <v>0.33333333333333331</v>
      </c>
      <c r="AQ582" s="1">
        <f t="shared" si="68"/>
        <v>0.66666666666666663</v>
      </c>
    </row>
    <row r="583" spans="1:43"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63"/>
        <v>OK</v>
      </c>
      <c r="AK583" t="str">
        <f t="shared" si="69"/>
        <v>OK</v>
      </c>
      <c r="AL583" t="str">
        <f t="shared" si="64"/>
        <v>OK</v>
      </c>
      <c r="AM583" t="str">
        <f t="shared" si="65"/>
        <v>OK</v>
      </c>
      <c r="AN583" s="1">
        <f>IF(AF583=0,0,AH583/AF583)</f>
        <v>0</v>
      </c>
      <c r="AO583" s="1">
        <f t="shared" si="66"/>
        <v>1</v>
      </c>
      <c r="AP583" s="1">
        <f t="shared" si="67"/>
        <v>1</v>
      </c>
      <c r="AQ583" s="1">
        <f t="shared" si="68"/>
        <v>1</v>
      </c>
    </row>
    <row r="584" spans="1:43"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63"/>
        <v>OK</v>
      </c>
      <c r="AK584" t="str">
        <f t="shared" si="69"/>
        <v>OK</v>
      </c>
      <c r="AL584" t="str">
        <f t="shared" si="64"/>
        <v>OK</v>
      </c>
      <c r="AM584" t="str">
        <f t="shared" si="65"/>
        <v>OK</v>
      </c>
      <c r="AN584" s="1">
        <f>IF(AF584=0,0,AH584/AF584)</f>
        <v>0.375</v>
      </c>
      <c r="AO584" s="1">
        <f t="shared" si="66"/>
        <v>0.875</v>
      </c>
      <c r="AP584" s="1">
        <f t="shared" si="67"/>
        <v>0.25</v>
      </c>
      <c r="AQ584" s="1">
        <f t="shared" si="68"/>
        <v>0.875</v>
      </c>
    </row>
    <row r="585" spans="1:43"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63"/>
        <v>OK</v>
      </c>
      <c r="AK585" t="str">
        <f t="shared" si="69"/>
        <v>OK</v>
      </c>
      <c r="AL585" t="str">
        <f t="shared" si="64"/>
        <v>OK</v>
      </c>
      <c r="AM585" t="str">
        <f t="shared" si="65"/>
        <v>OK</v>
      </c>
      <c r="AN585" s="1">
        <f>IF(AF585=0,0,AH585/AF585)</f>
        <v>0.33333333333333331</v>
      </c>
      <c r="AO585" s="1">
        <f t="shared" si="66"/>
        <v>0.66666666666666663</v>
      </c>
      <c r="AP585" s="1">
        <f t="shared" si="67"/>
        <v>0.33333333333333331</v>
      </c>
      <c r="AQ585" s="1">
        <f t="shared" si="68"/>
        <v>0.66666666666666663</v>
      </c>
    </row>
    <row r="586" spans="1:43"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63"/>
        <v>OK</v>
      </c>
      <c r="AK586" t="str">
        <f t="shared" si="69"/>
        <v>OK</v>
      </c>
      <c r="AL586" t="str">
        <f t="shared" si="64"/>
        <v>OK</v>
      </c>
      <c r="AM586" t="str">
        <f t="shared" si="65"/>
        <v>OK</v>
      </c>
      <c r="AN586" s="1">
        <f>IF(AF586=0,0,AH586/AF586)</f>
        <v>0.58333333333333337</v>
      </c>
      <c r="AO586" s="1">
        <f t="shared" si="66"/>
        <v>0.29166666666666669</v>
      </c>
      <c r="AP586" s="1">
        <f t="shared" si="67"/>
        <v>0.16666666666666666</v>
      </c>
      <c r="AQ586" s="1">
        <f t="shared" si="68"/>
        <v>0.375</v>
      </c>
    </row>
    <row r="587" spans="1:43"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63"/>
        <v>OK</v>
      </c>
      <c r="AK587" t="str">
        <f t="shared" si="69"/>
        <v>OK</v>
      </c>
      <c r="AL587" t="str">
        <f t="shared" si="64"/>
        <v>OK</v>
      </c>
      <c r="AM587" t="str">
        <f t="shared" si="65"/>
        <v>OK</v>
      </c>
      <c r="AN587" s="1">
        <f>IF(AF587=0,0,AH587/AF587)</f>
        <v>0</v>
      </c>
      <c r="AO587" s="1">
        <f t="shared" si="66"/>
        <v>0</v>
      </c>
      <c r="AP587" s="1">
        <f t="shared" si="67"/>
        <v>0</v>
      </c>
      <c r="AQ587" s="1">
        <f t="shared" si="68"/>
        <v>0</v>
      </c>
    </row>
    <row r="588" spans="1:43"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63"/>
        <v>OK</v>
      </c>
      <c r="AK588" t="str">
        <f t="shared" si="69"/>
        <v>OK</v>
      </c>
      <c r="AL588" t="str">
        <f t="shared" si="64"/>
        <v>OK</v>
      </c>
      <c r="AM588" t="str">
        <f t="shared" si="65"/>
        <v>OK</v>
      </c>
      <c r="AN588" s="1">
        <f>IF(AF588=0,0,AH588/AF588)</f>
        <v>0</v>
      </c>
      <c r="AO588" s="1">
        <f t="shared" si="66"/>
        <v>0</v>
      </c>
      <c r="AP588" s="1">
        <f t="shared" si="67"/>
        <v>4</v>
      </c>
      <c r="AQ588" s="1">
        <f t="shared" si="68"/>
        <v>0</v>
      </c>
    </row>
    <row r="589" spans="1:43"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63"/>
        <v>OK</v>
      </c>
      <c r="AK589" t="str">
        <f t="shared" si="69"/>
        <v>OK</v>
      </c>
      <c r="AL589" t="str">
        <f t="shared" si="64"/>
        <v>OK</v>
      </c>
      <c r="AM589" t="str">
        <f t="shared" si="65"/>
        <v>OK</v>
      </c>
      <c r="AN589" s="1">
        <f>IF(AF589=0,0,AH589/AF589)</f>
        <v>0.2</v>
      </c>
      <c r="AO589" s="1">
        <f t="shared" si="66"/>
        <v>0.4</v>
      </c>
      <c r="AP589" s="1">
        <f t="shared" si="67"/>
        <v>0.6</v>
      </c>
      <c r="AQ589" s="1">
        <f t="shared" si="68"/>
        <v>0.8</v>
      </c>
    </row>
    <row r="590" spans="1:43"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63"/>
        <v>OK</v>
      </c>
      <c r="AK590" t="str">
        <f t="shared" si="69"/>
        <v>OK</v>
      </c>
      <c r="AL590" t="str">
        <f t="shared" si="64"/>
        <v>OK</v>
      </c>
      <c r="AM590" t="str">
        <f t="shared" si="65"/>
        <v>OK</v>
      </c>
      <c r="AN590" s="1">
        <f>IF(AF590=0,0,AH590/AF590)</f>
        <v>0</v>
      </c>
      <c r="AO590" s="1">
        <f t="shared" si="66"/>
        <v>0.75</v>
      </c>
      <c r="AP590" s="1">
        <f t="shared" si="67"/>
        <v>0.75</v>
      </c>
      <c r="AQ590" s="1">
        <f t="shared" si="68"/>
        <v>0.75</v>
      </c>
    </row>
    <row r="591" spans="1:43"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63"/>
        <v>OK</v>
      </c>
      <c r="AK591" t="str">
        <f t="shared" si="69"/>
        <v>OK</v>
      </c>
      <c r="AL591" t="str">
        <f t="shared" si="64"/>
        <v>OK</v>
      </c>
      <c r="AM591" t="str">
        <f t="shared" si="65"/>
        <v>OK</v>
      </c>
      <c r="AN591" s="1">
        <f>IF(AF591=0,0,AH591/AF591)</f>
        <v>0</v>
      </c>
      <c r="AO591" s="1">
        <f t="shared" si="66"/>
        <v>0</v>
      </c>
      <c r="AP591" s="1">
        <f t="shared" si="67"/>
        <v>1</v>
      </c>
      <c r="AQ591" s="1">
        <f t="shared" si="68"/>
        <v>0</v>
      </c>
    </row>
    <row r="592" spans="1:43"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63"/>
        <v>OK</v>
      </c>
      <c r="AK592" t="str">
        <f t="shared" si="69"/>
        <v>OK</v>
      </c>
      <c r="AL592" t="str">
        <f t="shared" si="64"/>
        <v>OK</v>
      </c>
      <c r="AM592" t="str">
        <f t="shared" si="65"/>
        <v>OK</v>
      </c>
      <c r="AN592" s="1">
        <f>IF(AF592=0,0,AH592/AF592)</f>
        <v>0.23076923076923078</v>
      </c>
      <c r="AO592" s="1">
        <f t="shared" si="66"/>
        <v>0.69230769230769229</v>
      </c>
      <c r="AP592" s="1">
        <f t="shared" si="67"/>
        <v>0.23076923076923078</v>
      </c>
      <c r="AQ592" s="1">
        <f t="shared" si="68"/>
        <v>0.53846153846153844</v>
      </c>
    </row>
    <row r="593" spans="1:43"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63"/>
        <v>OK</v>
      </c>
      <c r="AK593" t="str">
        <f t="shared" si="69"/>
        <v>OK</v>
      </c>
      <c r="AL593" t="str">
        <f t="shared" si="64"/>
        <v>OK</v>
      </c>
      <c r="AM593" t="str">
        <f t="shared" si="65"/>
        <v>OK</v>
      </c>
      <c r="AN593" s="1">
        <f>IF(AF593=0,0,AH593/AF593)</f>
        <v>0</v>
      </c>
      <c r="AO593" s="1">
        <f t="shared" si="66"/>
        <v>0.66666666666666663</v>
      </c>
      <c r="AP593" s="1">
        <f t="shared" si="67"/>
        <v>1</v>
      </c>
      <c r="AQ593" s="1">
        <f t="shared" si="68"/>
        <v>0.66666666666666663</v>
      </c>
    </row>
    <row r="594" spans="1:43"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63"/>
        <v>OK</v>
      </c>
      <c r="AK594" t="str">
        <f t="shared" si="69"/>
        <v>OK</v>
      </c>
      <c r="AL594" t="str">
        <f t="shared" si="64"/>
        <v>OK</v>
      </c>
      <c r="AM594" t="str">
        <f t="shared" si="65"/>
        <v>OK</v>
      </c>
      <c r="AN594" s="1">
        <f>IF(AF594=0,0,AH594/AF594)</f>
        <v>0.11538461538461539</v>
      </c>
      <c r="AO594" s="1">
        <f t="shared" si="66"/>
        <v>0.53846153846153844</v>
      </c>
      <c r="AP594" s="1">
        <f t="shared" si="67"/>
        <v>0.11538461538461539</v>
      </c>
      <c r="AQ594" s="1">
        <f t="shared" si="68"/>
        <v>0</v>
      </c>
    </row>
    <row r="595" spans="1:43"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63"/>
        <v>OK</v>
      </c>
      <c r="AK595" t="str">
        <f t="shared" si="69"/>
        <v>OK</v>
      </c>
      <c r="AL595" t="str">
        <f t="shared" si="64"/>
        <v>OK</v>
      </c>
      <c r="AM595" t="str">
        <f t="shared" si="65"/>
        <v>OK</v>
      </c>
      <c r="AN595" s="1">
        <f>IF(AF595=0,0,AH595/AF595)</f>
        <v>0</v>
      </c>
      <c r="AO595" s="1">
        <f t="shared" si="66"/>
        <v>0.77777777777777779</v>
      </c>
      <c r="AP595" s="1">
        <f t="shared" si="67"/>
        <v>0.22222222222222221</v>
      </c>
      <c r="AQ595" s="1">
        <f t="shared" si="68"/>
        <v>0.55555555555555558</v>
      </c>
    </row>
    <row r="596" spans="1:43"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63"/>
        <v>OK</v>
      </c>
      <c r="AK596" t="str">
        <f t="shared" si="69"/>
        <v>OK</v>
      </c>
      <c r="AL596" t="str">
        <f t="shared" si="64"/>
        <v>OK</v>
      </c>
      <c r="AM596" t="str">
        <f t="shared" si="65"/>
        <v>OK</v>
      </c>
      <c r="AN596" s="1">
        <f>IF(AF596=0,0,AH596/AF596)</f>
        <v>0</v>
      </c>
      <c r="AO596" s="1">
        <f t="shared" si="66"/>
        <v>0.7</v>
      </c>
      <c r="AP596" s="1">
        <f t="shared" si="67"/>
        <v>0.3</v>
      </c>
      <c r="AQ596" s="1">
        <f t="shared" si="68"/>
        <v>0.7</v>
      </c>
    </row>
    <row r="597" spans="1:43"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63"/>
        <v>OK</v>
      </c>
      <c r="AK597" t="str">
        <f t="shared" si="69"/>
        <v>OK</v>
      </c>
      <c r="AL597" t="str">
        <f t="shared" si="64"/>
        <v>OK</v>
      </c>
      <c r="AM597" t="str">
        <f t="shared" si="65"/>
        <v>OK</v>
      </c>
      <c r="AN597" s="1">
        <f>IF(AF597=0,0,AH597/AF597)</f>
        <v>0.41935483870967744</v>
      </c>
      <c r="AO597" s="1">
        <f t="shared" si="66"/>
        <v>0.4838709677419355</v>
      </c>
      <c r="AP597" s="1">
        <f t="shared" si="67"/>
        <v>6.4516129032258063E-2</v>
      </c>
      <c r="AQ597" s="1">
        <f t="shared" si="68"/>
        <v>0.25806451612903225</v>
      </c>
    </row>
    <row r="598" spans="1:43"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63"/>
        <v>OK</v>
      </c>
      <c r="AK598" t="str">
        <f t="shared" si="69"/>
        <v>OK</v>
      </c>
      <c r="AL598" t="str">
        <f t="shared" si="64"/>
        <v>OK</v>
      </c>
      <c r="AM598" t="str">
        <f t="shared" si="65"/>
        <v>OK</v>
      </c>
      <c r="AN598" s="1">
        <f>IF(AF598=0,0,AH598/AF598)</f>
        <v>1</v>
      </c>
      <c r="AO598" s="1">
        <f t="shared" si="66"/>
        <v>1</v>
      </c>
      <c r="AP598" s="1">
        <f t="shared" si="67"/>
        <v>0</v>
      </c>
      <c r="AQ598" s="1">
        <f t="shared" si="68"/>
        <v>1</v>
      </c>
    </row>
    <row r="599" spans="1:43"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63"/>
        <v>OK</v>
      </c>
      <c r="AK599" t="str">
        <f t="shared" si="69"/>
        <v>OK</v>
      </c>
      <c r="AL599" t="str">
        <f t="shared" si="64"/>
        <v>OK</v>
      </c>
      <c r="AM599" t="str">
        <f t="shared" si="65"/>
        <v>OK</v>
      </c>
      <c r="AN599" s="1">
        <f>IF(AF599=0,0,AH599/AF599)</f>
        <v>0</v>
      </c>
      <c r="AO599" s="1">
        <f t="shared" si="66"/>
        <v>0.75</v>
      </c>
      <c r="AP599" s="1">
        <f t="shared" si="67"/>
        <v>1</v>
      </c>
      <c r="AQ599" s="1">
        <f t="shared" si="68"/>
        <v>0.5</v>
      </c>
    </row>
    <row r="600" spans="1:43"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63"/>
        <v>OK</v>
      </c>
      <c r="AK600" t="str">
        <f t="shared" si="69"/>
        <v>OK</v>
      </c>
      <c r="AL600" t="str">
        <f t="shared" si="64"/>
        <v>OK</v>
      </c>
      <c r="AM600" t="str">
        <f t="shared" si="65"/>
        <v>OK</v>
      </c>
      <c r="AN600" s="1">
        <f>IF(AF600=0,0,AH600/AF600)</f>
        <v>1</v>
      </c>
      <c r="AO600" s="1">
        <f t="shared" si="66"/>
        <v>1</v>
      </c>
      <c r="AP600" s="1">
        <f t="shared" si="67"/>
        <v>1.5</v>
      </c>
      <c r="AQ600" s="1">
        <f t="shared" si="68"/>
        <v>0.5</v>
      </c>
    </row>
    <row r="601" spans="1:43"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63"/>
        <v>OK</v>
      </c>
      <c r="AK601" t="str">
        <f t="shared" si="69"/>
        <v>OK</v>
      </c>
      <c r="AL601" t="str">
        <f t="shared" si="64"/>
        <v>OK</v>
      </c>
      <c r="AM601" t="str">
        <f t="shared" si="65"/>
        <v>OK</v>
      </c>
      <c r="AN601" s="1">
        <f>IF(AF601=0,0,AH601/AF601)</f>
        <v>0</v>
      </c>
      <c r="AO601" s="1">
        <f t="shared" si="66"/>
        <v>0.4</v>
      </c>
      <c r="AP601" s="1">
        <f t="shared" si="67"/>
        <v>0.4</v>
      </c>
      <c r="AQ601" s="1">
        <f t="shared" si="68"/>
        <v>0.8</v>
      </c>
    </row>
    <row r="602" spans="1:43"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63"/>
        <v>OK</v>
      </c>
      <c r="AK602" t="str">
        <f t="shared" si="69"/>
        <v>OK</v>
      </c>
      <c r="AL602" t="str">
        <f t="shared" si="64"/>
        <v>OK</v>
      </c>
      <c r="AM602" t="str">
        <f t="shared" si="65"/>
        <v>OK</v>
      </c>
      <c r="AN602" s="1">
        <f>IF(AF602=0,0,AH602/AF602)</f>
        <v>0.42857142857142855</v>
      </c>
      <c r="AO602" s="1">
        <f t="shared" si="66"/>
        <v>0.9285714285714286</v>
      </c>
      <c r="AP602" s="1">
        <f t="shared" si="67"/>
        <v>0.21428571428571427</v>
      </c>
      <c r="AQ602" s="1">
        <f t="shared" si="68"/>
        <v>0.5714285714285714</v>
      </c>
    </row>
    <row r="603" spans="1:43"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63"/>
        <v>OK</v>
      </c>
      <c r="AK603" t="str">
        <f t="shared" si="69"/>
        <v>OK</v>
      </c>
      <c r="AL603" t="str">
        <f t="shared" si="64"/>
        <v>OK</v>
      </c>
      <c r="AM603" t="str">
        <f t="shared" si="65"/>
        <v>OK</v>
      </c>
      <c r="AN603" s="1">
        <f>IF(AF603=0,0,AH603/AF603)</f>
        <v>0</v>
      </c>
      <c r="AO603" s="1">
        <f t="shared" si="66"/>
        <v>0</v>
      </c>
      <c r="AP603" s="1">
        <f t="shared" si="67"/>
        <v>6</v>
      </c>
      <c r="AQ603" s="1">
        <f t="shared" si="68"/>
        <v>0</v>
      </c>
    </row>
    <row r="604" spans="1:43"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63"/>
        <v>OK</v>
      </c>
      <c r="AK604" t="str">
        <f t="shared" si="69"/>
        <v>OK</v>
      </c>
      <c r="AL604" t="str">
        <f t="shared" si="64"/>
        <v>OK</v>
      </c>
      <c r="AM604" t="str">
        <f t="shared" si="65"/>
        <v>OK</v>
      </c>
      <c r="AN604" s="1">
        <f>IF(AF604=0,0,AH604/AF604)</f>
        <v>0</v>
      </c>
      <c r="AO604" s="1">
        <f t="shared" si="66"/>
        <v>0</v>
      </c>
      <c r="AP604" s="1">
        <f t="shared" si="67"/>
        <v>0</v>
      </c>
      <c r="AQ604" s="1">
        <f t="shared" si="68"/>
        <v>0</v>
      </c>
    </row>
    <row r="605" spans="1:43"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63"/>
        <v>OK</v>
      </c>
      <c r="AK605" t="str">
        <f t="shared" si="69"/>
        <v>OK</v>
      </c>
      <c r="AL605" t="str">
        <f t="shared" si="64"/>
        <v>OK</v>
      </c>
      <c r="AM605" t="str">
        <f t="shared" si="65"/>
        <v>OK</v>
      </c>
      <c r="AN605" s="1">
        <f>IF(AF605=0,0,AH605/AF605)</f>
        <v>0</v>
      </c>
      <c r="AO605" s="1">
        <f t="shared" si="66"/>
        <v>0</v>
      </c>
      <c r="AP605" s="1">
        <f t="shared" si="67"/>
        <v>3</v>
      </c>
      <c r="AQ605" s="1">
        <f t="shared" si="68"/>
        <v>0</v>
      </c>
    </row>
    <row r="606" spans="1:43"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63"/>
        <v>OK</v>
      </c>
      <c r="AK606" t="str">
        <f t="shared" si="69"/>
        <v>OK</v>
      </c>
      <c r="AL606" t="str">
        <f t="shared" si="64"/>
        <v>OK</v>
      </c>
      <c r="AM606" t="str">
        <f t="shared" si="65"/>
        <v>OK</v>
      </c>
      <c r="AN606" s="1">
        <f>IF(AF606=0,0,AH606/AF606)</f>
        <v>0.77777777777777779</v>
      </c>
      <c r="AO606" s="1">
        <f t="shared" si="66"/>
        <v>0.88888888888888884</v>
      </c>
      <c r="AP606" s="1">
        <f t="shared" si="67"/>
        <v>0.33333333333333331</v>
      </c>
      <c r="AQ606" s="1">
        <f t="shared" si="68"/>
        <v>0.88888888888888884</v>
      </c>
    </row>
    <row r="607" spans="1:43"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63"/>
        <v>OK</v>
      </c>
      <c r="AK607" t="str">
        <f t="shared" si="69"/>
        <v>OK</v>
      </c>
      <c r="AL607" t="str">
        <f t="shared" si="64"/>
        <v>OK</v>
      </c>
      <c r="AM607" t="str">
        <f t="shared" si="65"/>
        <v>OK</v>
      </c>
      <c r="AN607" s="1">
        <f>IF(AF607=0,0,AH607/AF607)</f>
        <v>0.25</v>
      </c>
      <c r="AO607" s="1">
        <f t="shared" si="66"/>
        <v>0.75</v>
      </c>
      <c r="AP607" s="1">
        <f t="shared" si="67"/>
        <v>0.75</v>
      </c>
      <c r="AQ607" s="1">
        <f t="shared" si="68"/>
        <v>0.5</v>
      </c>
    </row>
    <row r="608" spans="1:43"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63"/>
        <v>OK</v>
      </c>
      <c r="AK608" t="str">
        <f t="shared" si="69"/>
        <v>OK</v>
      </c>
      <c r="AL608" t="str">
        <f t="shared" si="64"/>
        <v>OK</v>
      </c>
      <c r="AM608" t="str">
        <f t="shared" si="65"/>
        <v>OK</v>
      </c>
      <c r="AN608" s="1">
        <f>IF(AF608=0,0,AH608/AF608)</f>
        <v>0.2</v>
      </c>
      <c r="AO608" s="1">
        <f t="shared" si="66"/>
        <v>0.4</v>
      </c>
      <c r="AP608" s="1">
        <f t="shared" si="67"/>
        <v>0.6</v>
      </c>
      <c r="AQ608" s="1">
        <f t="shared" si="68"/>
        <v>0.6</v>
      </c>
    </row>
    <row r="609" spans="1:43"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63"/>
        <v>OK</v>
      </c>
      <c r="AK609" t="str">
        <f t="shared" si="69"/>
        <v>OK</v>
      </c>
      <c r="AL609" t="str">
        <f t="shared" si="64"/>
        <v>OK</v>
      </c>
      <c r="AM609" t="str">
        <f t="shared" si="65"/>
        <v>OK</v>
      </c>
      <c r="AN609" s="1">
        <f>IF(AF609=0,0,AH609/AF609)</f>
        <v>0.77777777777777779</v>
      </c>
      <c r="AO609" s="1">
        <f t="shared" si="66"/>
        <v>0.88888888888888884</v>
      </c>
      <c r="AP609" s="1">
        <f t="shared" si="67"/>
        <v>0.33333333333333331</v>
      </c>
      <c r="AQ609" s="1">
        <f t="shared" si="68"/>
        <v>0.77777777777777779</v>
      </c>
    </row>
    <row r="610" spans="1:43"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63"/>
        <v>OK</v>
      </c>
      <c r="AK610" t="str">
        <f t="shared" si="69"/>
        <v>OK</v>
      </c>
      <c r="AL610" t="str">
        <f t="shared" si="64"/>
        <v>OK</v>
      </c>
      <c r="AM610" t="str">
        <f t="shared" si="65"/>
        <v>OK</v>
      </c>
      <c r="AN610" s="1">
        <f>IF(AF610=0,0,AH610/AF610)</f>
        <v>0.77777777777777779</v>
      </c>
      <c r="AO610" s="1">
        <f t="shared" si="66"/>
        <v>0.77777777777777779</v>
      </c>
      <c r="AP610" s="1">
        <f t="shared" si="67"/>
        <v>0.33333333333333331</v>
      </c>
      <c r="AQ610" s="1">
        <f t="shared" si="68"/>
        <v>0.33333333333333331</v>
      </c>
    </row>
    <row r="611" spans="1:43"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63"/>
        <v>OK</v>
      </c>
      <c r="AK611" t="str">
        <f t="shared" si="69"/>
        <v>OK</v>
      </c>
      <c r="AL611" t="str">
        <f t="shared" si="64"/>
        <v>OK</v>
      </c>
      <c r="AM611" t="str">
        <f t="shared" si="65"/>
        <v>OK</v>
      </c>
      <c r="AN611" s="1">
        <f>IF(AF611=0,0,AH611/AF611)</f>
        <v>0.25</v>
      </c>
      <c r="AO611" s="1">
        <f t="shared" si="66"/>
        <v>0.25</v>
      </c>
      <c r="AP611" s="1">
        <f t="shared" si="67"/>
        <v>0.75</v>
      </c>
      <c r="AQ611" s="1">
        <f t="shared" si="68"/>
        <v>0</v>
      </c>
    </row>
    <row r="612" spans="1:43"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63"/>
        <v>OK</v>
      </c>
      <c r="AK612" t="str">
        <f t="shared" si="69"/>
        <v>OK</v>
      </c>
      <c r="AL612" t="str">
        <f t="shared" si="64"/>
        <v>OK</v>
      </c>
      <c r="AM612" t="str">
        <f t="shared" si="65"/>
        <v>OK</v>
      </c>
      <c r="AN612" s="1">
        <f>IF(AF612=0,0,AH612/AF612)</f>
        <v>0</v>
      </c>
      <c r="AO612" s="1">
        <f t="shared" si="66"/>
        <v>0.88888888888888884</v>
      </c>
      <c r="AP612" s="1">
        <f t="shared" si="67"/>
        <v>0.33333333333333331</v>
      </c>
      <c r="AQ612" s="1">
        <f t="shared" si="68"/>
        <v>0.88888888888888884</v>
      </c>
    </row>
    <row r="613" spans="1:43"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63"/>
        <v>OK</v>
      </c>
      <c r="AK613" t="str">
        <f t="shared" si="69"/>
        <v>OK</v>
      </c>
      <c r="AL613" t="str">
        <f t="shared" si="64"/>
        <v>OK</v>
      </c>
      <c r="AM613" t="str">
        <f t="shared" si="65"/>
        <v>OK</v>
      </c>
      <c r="AN613" s="1">
        <f>IF(AF613=0,0,AH613/AF613)</f>
        <v>0.125</v>
      </c>
      <c r="AO613" s="1">
        <f t="shared" si="66"/>
        <v>0.625</v>
      </c>
      <c r="AP613" s="1">
        <f t="shared" si="67"/>
        <v>0.375</v>
      </c>
      <c r="AQ613" s="1">
        <f t="shared" si="68"/>
        <v>0.75</v>
      </c>
    </row>
    <row r="614" spans="1:43"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63"/>
        <v>OK</v>
      </c>
      <c r="AK614" t="str">
        <f t="shared" si="69"/>
        <v>OK</v>
      </c>
      <c r="AL614" t="str">
        <f t="shared" si="64"/>
        <v>OK</v>
      </c>
      <c r="AM614" t="str">
        <f t="shared" si="65"/>
        <v>OK</v>
      </c>
      <c r="AN614" s="1">
        <f>IF(AF614=0,0,AH614/AF614)</f>
        <v>0.875</v>
      </c>
      <c r="AO614" s="1">
        <f t="shared" si="66"/>
        <v>0.875</v>
      </c>
      <c r="AP614" s="1">
        <f t="shared" si="67"/>
        <v>0.25</v>
      </c>
      <c r="AQ614" s="1">
        <f t="shared" si="68"/>
        <v>0.625</v>
      </c>
    </row>
    <row r="615" spans="1:43"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63"/>
        <v>OK</v>
      </c>
      <c r="AK615" t="str">
        <f t="shared" si="69"/>
        <v>OK</v>
      </c>
      <c r="AL615" t="str">
        <f t="shared" si="64"/>
        <v>OK</v>
      </c>
      <c r="AM615" t="str">
        <f t="shared" si="65"/>
        <v>OK</v>
      </c>
      <c r="AN615" s="1">
        <f>IF(AF615=0,0,AH615/AF615)</f>
        <v>0</v>
      </c>
      <c r="AO615" s="1">
        <f t="shared" si="66"/>
        <v>0.66666666666666663</v>
      </c>
      <c r="AP615" s="1">
        <f t="shared" si="67"/>
        <v>0.33333333333333331</v>
      </c>
      <c r="AQ615" s="1">
        <f t="shared" si="68"/>
        <v>0.66666666666666663</v>
      </c>
    </row>
    <row r="616" spans="1:43"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63"/>
        <v>OK</v>
      </c>
      <c r="AK616" t="str">
        <f t="shared" si="69"/>
        <v>OK</v>
      </c>
      <c r="AL616" t="str">
        <f t="shared" si="64"/>
        <v>OK</v>
      </c>
      <c r="AM616" t="str">
        <f t="shared" si="65"/>
        <v>OK</v>
      </c>
      <c r="AN616" s="1">
        <f>IF(AF616=0,0,AH616/AF616)</f>
        <v>0.125</v>
      </c>
      <c r="AO616" s="1">
        <f t="shared" si="66"/>
        <v>0.875</v>
      </c>
      <c r="AP616" s="1">
        <f t="shared" si="67"/>
        <v>0.25</v>
      </c>
      <c r="AQ616" s="1">
        <f t="shared" si="68"/>
        <v>0.875</v>
      </c>
    </row>
    <row r="617" spans="1:43"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63"/>
        <v>OK</v>
      </c>
      <c r="AK617" t="str">
        <f t="shared" si="69"/>
        <v>OK</v>
      </c>
      <c r="AL617" t="str">
        <f t="shared" si="64"/>
        <v>OK</v>
      </c>
      <c r="AM617" t="str">
        <f t="shared" si="65"/>
        <v>OK</v>
      </c>
      <c r="AN617" s="1">
        <f>IF(AF617=0,0,AH617/AF617)</f>
        <v>0</v>
      </c>
      <c r="AO617" s="1">
        <f t="shared" si="66"/>
        <v>0</v>
      </c>
      <c r="AP617" s="1">
        <f t="shared" si="67"/>
        <v>0</v>
      </c>
      <c r="AQ617" s="1">
        <f t="shared" si="68"/>
        <v>0</v>
      </c>
    </row>
    <row r="618" spans="1:43"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63"/>
        <v>OK</v>
      </c>
      <c r="AK618" t="str">
        <f t="shared" si="69"/>
        <v>OK</v>
      </c>
      <c r="AL618" t="str">
        <f t="shared" si="64"/>
        <v>OK</v>
      </c>
      <c r="AM618" t="str">
        <f t="shared" si="65"/>
        <v>OK</v>
      </c>
      <c r="AN618" s="1">
        <f>IF(AF618=0,0,AH618/AF618)</f>
        <v>0.2</v>
      </c>
      <c r="AO618" s="1">
        <f t="shared" si="66"/>
        <v>0.3</v>
      </c>
      <c r="AP618" s="1">
        <f t="shared" si="67"/>
        <v>0.1</v>
      </c>
      <c r="AQ618" s="1">
        <f t="shared" si="68"/>
        <v>0.85</v>
      </c>
    </row>
    <row r="619" spans="1:43"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63"/>
        <v>OK</v>
      </c>
      <c r="AK619" t="str">
        <f t="shared" si="69"/>
        <v>OK</v>
      </c>
      <c r="AL619" t="str">
        <f t="shared" si="64"/>
        <v>OK</v>
      </c>
      <c r="AM619" t="str">
        <f t="shared" si="65"/>
        <v>OK</v>
      </c>
      <c r="AN619" s="1">
        <f>IF(AF619=0,0,AH619/AF619)</f>
        <v>0.4</v>
      </c>
      <c r="AO619" s="1">
        <f t="shared" si="66"/>
        <v>0.4</v>
      </c>
      <c r="AP619" s="1">
        <f t="shared" si="67"/>
        <v>0.4</v>
      </c>
      <c r="AQ619" s="1">
        <f t="shared" si="68"/>
        <v>0.6</v>
      </c>
    </row>
    <row r="620" spans="1:43"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63"/>
        <v>OK</v>
      </c>
      <c r="AK620" t="str">
        <f t="shared" si="69"/>
        <v>OK</v>
      </c>
      <c r="AL620" t="str">
        <f t="shared" si="64"/>
        <v>OK</v>
      </c>
      <c r="AM620" t="str">
        <f t="shared" si="65"/>
        <v>OK</v>
      </c>
      <c r="AN620" s="1">
        <f>IF(AF620=0,0,AH620/AF620)</f>
        <v>0</v>
      </c>
      <c r="AO620" s="1">
        <f t="shared" si="66"/>
        <v>0.75</v>
      </c>
      <c r="AP620" s="1">
        <f t="shared" si="67"/>
        <v>0.75</v>
      </c>
      <c r="AQ620" s="1">
        <f t="shared" si="68"/>
        <v>0.25</v>
      </c>
    </row>
    <row r="621" spans="1:43"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63"/>
        <v>OK</v>
      </c>
      <c r="AK621" t="str">
        <f t="shared" si="69"/>
        <v>OK</v>
      </c>
      <c r="AL621" t="str">
        <f t="shared" si="64"/>
        <v>OK</v>
      </c>
      <c r="AM621" t="str">
        <f t="shared" si="65"/>
        <v>OK</v>
      </c>
      <c r="AN621" s="1">
        <f>IF(AF621=0,0,AH621/AF621)</f>
        <v>0</v>
      </c>
      <c r="AO621" s="1">
        <f t="shared" si="66"/>
        <v>0.88888888888888884</v>
      </c>
      <c r="AP621" s="1">
        <f t="shared" si="67"/>
        <v>0.55555555555555558</v>
      </c>
      <c r="AQ621" s="1">
        <f t="shared" si="68"/>
        <v>0.88888888888888884</v>
      </c>
    </row>
    <row r="622" spans="1:43"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63"/>
        <v>OK</v>
      </c>
      <c r="AK622" t="str">
        <f t="shared" si="69"/>
        <v>OK</v>
      </c>
      <c r="AL622" t="str">
        <f t="shared" si="64"/>
        <v>OK</v>
      </c>
      <c r="AM622" t="str">
        <f t="shared" si="65"/>
        <v>OK</v>
      </c>
      <c r="AN622" s="1">
        <f>IF(AF622=0,0,AH622/AF622)</f>
        <v>0.16666666666666666</v>
      </c>
      <c r="AO622" s="1">
        <f t="shared" si="66"/>
        <v>0.83333333333333337</v>
      </c>
      <c r="AP622" s="1">
        <f t="shared" si="67"/>
        <v>0.5</v>
      </c>
      <c r="AQ622" s="1">
        <f t="shared" si="68"/>
        <v>0.16666666666666666</v>
      </c>
    </row>
    <row r="623" spans="1:43"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63"/>
        <v>OK</v>
      </c>
      <c r="AK623" t="str">
        <f t="shared" si="69"/>
        <v>OK</v>
      </c>
      <c r="AL623" t="str">
        <f t="shared" si="64"/>
        <v>OK</v>
      </c>
      <c r="AM623" t="str">
        <f t="shared" si="65"/>
        <v>OK</v>
      </c>
      <c r="AN623" s="1">
        <f>IF(AF623=0,0,AH623/AF623)</f>
        <v>0.22222222222222221</v>
      </c>
      <c r="AO623" s="1">
        <f t="shared" si="66"/>
        <v>0.77777777777777779</v>
      </c>
      <c r="AP623" s="1">
        <f t="shared" si="67"/>
        <v>5.5555555555555552E-2</v>
      </c>
      <c r="AQ623" s="1">
        <f t="shared" si="68"/>
        <v>0.61111111111111116</v>
      </c>
    </row>
    <row r="624" spans="1:43"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63"/>
        <v>OK</v>
      </c>
      <c r="AK624" t="str">
        <f t="shared" si="69"/>
        <v>OK</v>
      </c>
      <c r="AL624" t="str">
        <f t="shared" si="64"/>
        <v>OK</v>
      </c>
      <c r="AM624" t="str">
        <f t="shared" si="65"/>
        <v>OK</v>
      </c>
      <c r="AN624" s="1">
        <f>IF(AF624=0,0,AH624/AF624)</f>
        <v>0</v>
      </c>
      <c r="AO624" s="1">
        <f t="shared" si="66"/>
        <v>0.4</v>
      </c>
      <c r="AP624" s="1">
        <f t="shared" si="67"/>
        <v>0.6</v>
      </c>
      <c r="AQ624" s="1">
        <f t="shared" si="68"/>
        <v>0.6</v>
      </c>
    </row>
    <row r="625" spans="1:43"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63"/>
        <v>OK</v>
      </c>
      <c r="AK625" t="str">
        <f t="shared" si="69"/>
        <v>OK</v>
      </c>
      <c r="AL625" t="str">
        <f t="shared" si="64"/>
        <v>OK</v>
      </c>
      <c r="AM625" t="str">
        <f t="shared" si="65"/>
        <v>OK</v>
      </c>
      <c r="AN625" s="1">
        <f>IF(AF625=0,0,AH625/AF625)</f>
        <v>0</v>
      </c>
      <c r="AO625" s="1">
        <f t="shared" si="66"/>
        <v>0.8</v>
      </c>
      <c r="AP625" s="1">
        <f t="shared" si="67"/>
        <v>0.6</v>
      </c>
      <c r="AQ625" s="1">
        <f t="shared" si="68"/>
        <v>0.6</v>
      </c>
    </row>
    <row r="626" spans="1:43"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63"/>
        <v>OK</v>
      </c>
      <c r="AK626" t="str">
        <f t="shared" si="69"/>
        <v>OK</v>
      </c>
      <c r="AL626" t="str">
        <f t="shared" si="64"/>
        <v>OK</v>
      </c>
      <c r="AM626" t="str">
        <f t="shared" si="65"/>
        <v>OK</v>
      </c>
      <c r="AN626" s="1">
        <f>IF(AF626=0,0,AH626/AF626)</f>
        <v>0</v>
      </c>
      <c r="AO626" s="1">
        <f t="shared" si="66"/>
        <v>0.4</v>
      </c>
      <c r="AP626" s="1">
        <f t="shared" si="67"/>
        <v>0.6</v>
      </c>
      <c r="AQ626" s="1">
        <f t="shared" si="68"/>
        <v>0.8</v>
      </c>
    </row>
    <row r="627" spans="1:43"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63"/>
        <v>OK</v>
      </c>
      <c r="AK627" t="str">
        <f t="shared" si="69"/>
        <v>OK</v>
      </c>
      <c r="AL627" t="str">
        <f t="shared" si="64"/>
        <v>OK</v>
      </c>
      <c r="AM627" t="str">
        <f t="shared" si="65"/>
        <v>OK</v>
      </c>
      <c r="AN627" s="1">
        <f>IF(AF627=0,0,AH627/AF627)</f>
        <v>0</v>
      </c>
      <c r="AO627" s="1">
        <f t="shared" si="66"/>
        <v>0.8</v>
      </c>
      <c r="AP627" s="1">
        <f t="shared" si="67"/>
        <v>0.4</v>
      </c>
      <c r="AQ627" s="1">
        <f t="shared" si="68"/>
        <v>0.4</v>
      </c>
    </row>
    <row r="628" spans="1:43"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63"/>
        <v>OK</v>
      </c>
      <c r="AK628" t="str">
        <f t="shared" si="69"/>
        <v>OK</v>
      </c>
      <c r="AL628" t="str">
        <f t="shared" si="64"/>
        <v>OK</v>
      </c>
      <c r="AM628" t="str">
        <f t="shared" si="65"/>
        <v>OK</v>
      </c>
      <c r="AN628" s="1">
        <f>IF(AF628=0,0,AH628/AF628)</f>
        <v>0.2</v>
      </c>
      <c r="AO628" s="1">
        <f t="shared" si="66"/>
        <v>0.6</v>
      </c>
      <c r="AP628" s="1">
        <f t="shared" si="67"/>
        <v>0.6</v>
      </c>
      <c r="AQ628" s="1">
        <f t="shared" si="68"/>
        <v>0.6</v>
      </c>
    </row>
    <row r="629" spans="1:43"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63"/>
        <v>OK</v>
      </c>
      <c r="AK629" t="str">
        <f t="shared" si="69"/>
        <v>OK</v>
      </c>
      <c r="AL629" t="str">
        <f t="shared" si="64"/>
        <v>OK</v>
      </c>
      <c r="AM629" t="str">
        <f t="shared" si="65"/>
        <v>OK</v>
      </c>
      <c r="AN629" s="1">
        <f>IF(AF629=0,0,AH629/AF629)</f>
        <v>0</v>
      </c>
      <c r="AO629" s="1">
        <f t="shared" si="66"/>
        <v>0.88888888888888884</v>
      </c>
      <c r="AP629" s="1">
        <f t="shared" si="67"/>
        <v>0.33333333333333331</v>
      </c>
      <c r="AQ629" s="1">
        <f t="shared" si="68"/>
        <v>0</v>
      </c>
    </row>
    <row r="630" spans="1:43"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63"/>
        <v>OK</v>
      </c>
      <c r="AK630" t="str">
        <f t="shared" si="69"/>
        <v>OK</v>
      </c>
      <c r="AL630" t="str">
        <f t="shared" si="64"/>
        <v>OK</v>
      </c>
      <c r="AM630" t="str">
        <f t="shared" si="65"/>
        <v>OK</v>
      </c>
      <c r="AN630" s="1">
        <f>IF(AF630=0,0,AH630/AF630)</f>
        <v>0</v>
      </c>
      <c r="AO630" s="1">
        <f t="shared" si="66"/>
        <v>0</v>
      </c>
      <c r="AP630" s="1">
        <f t="shared" si="67"/>
        <v>2</v>
      </c>
      <c r="AQ630" s="1">
        <f t="shared" si="68"/>
        <v>0</v>
      </c>
    </row>
    <row r="631" spans="1:43"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63"/>
        <v>OK</v>
      </c>
      <c r="AK631" t="str">
        <f t="shared" si="69"/>
        <v>OK</v>
      </c>
      <c r="AL631" t="str">
        <f t="shared" si="64"/>
        <v>OK</v>
      </c>
      <c r="AM631" t="str">
        <f t="shared" si="65"/>
        <v>OK</v>
      </c>
      <c r="AN631" s="1">
        <f>IF(AF631=0,0,AH631/AF631)</f>
        <v>0</v>
      </c>
      <c r="AO631" s="1">
        <f t="shared" si="66"/>
        <v>0.2</v>
      </c>
      <c r="AP631" s="1">
        <f t="shared" si="67"/>
        <v>1.2</v>
      </c>
      <c r="AQ631" s="1">
        <f t="shared" si="68"/>
        <v>0.8</v>
      </c>
    </row>
    <row r="632" spans="1:43"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63"/>
        <v>OK</v>
      </c>
      <c r="AK632" t="str">
        <f t="shared" si="69"/>
        <v>OK</v>
      </c>
      <c r="AL632" t="str">
        <f t="shared" si="64"/>
        <v>OK</v>
      </c>
      <c r="AM632" t="str">
        <f t="shared" si="65"/>
        <v>OK</v>
      </c>
      <c r="AN632" s="1">
        <f>IF(AF632=0,0,AH632/AF632)</f>
        <v>1</v>
      </c>
      <c r="AO632" s="1">
        <f t="shared" si="66"/>
        <v>1</v>
      </c>
      <c r="AP632" s="1">
        <f t="shared" si="67"/>
        <v>1</v>
      </c>
      <c r="AQ632" s="1">
        <f t="shared" si="68"/>
        <v>1</v>
      </c>
    </row>
    <row r="633" spans="1:43"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63"/>
        <v>OK</v>
      </c>
      <c r="AK633" t="str">
        <f t="shared" si="69"/>
        <v>OK</v>
      </c>
      <c r="AL633" t="str">
        <f t="shared" si="64"/>
        <v>OK</v>
      </c>
      <c r="AM633" t="str">
        <f t="shared" si="65"/>
        <v>OK</v>
      </c>
      <c r="AN633" s="1">
        <f>IF(AF633=0,0,AH633/AF633)</f>
        <v>0</v>
      </c>
      <c r="AO633" s="1">
        <f t="shared" si="66"/>
        <v>0.66666666666666663</v>
      </c>
      <c r="AP633" s="1">
        <f t="shared" si="67"/>
        <v>0.66666666666666663</v>
      </c>
      <c r="AQ633" s="1">
        <f t="shared" si="68"/>
        <v>0.66666666666666663</v>
      </c>
    </row>
    <row r="634" spans="1:43"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63"/>
        <v>OK</v>
      </c>
      <c r="AK634" t="str">
        <f t="shared" si="69"/>
        <v>OK</v>
      </c>
      <c r="AL634" t="str">
        <f t="shared" si="64"/>
        <v>OK</v>
      </c>
      <c r="AM634" t="str">
        <f t="shared" si="65"/>
        <v>OK</v>
      </c>
      <c r="AN634" s="1">
        <f>IF(AF634=0,0,AH634/AF634)</f>
        <v>1</v>
      </c>
      <c r="AO634" s="1">
        <f t="shared" si="66"/>
        <v>0.5</v>
      </c>
      <c r="AP634" s="1">
        <f t="shared" si="67"/>
        <v>1</v>
      </c>
      <c r="AQ634" s="1">
        <f t="shared" si="68"/>
        <v>1</v>
      </c>
    </row>
    <row r="635" spans="1:43"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63"/>
        <v>OK</v>
      </c>
      <c r="AK635" t="str">
        <f t="shared" si="69"/>
        <v>OK</v>
      </c>
      <c r="AL635" t="str">
        <f t="shared" si="64"/>
        <v>OK</v>
      </c>
      <c r="AM635" t="str">
        <f t="shared" si="65"/>
        <v>OK</v>
      </c>
      <c r="AN635" s="1">
        <f>IF(AF635=0,0,AH635/AF635)</f>
        <v>0</v>
      </c>
      <c r="AO635" s="1">
        <f t="shared" si="66"/>
        <v>0.8</v>
      </c>
      <c r="AP635" s="1">
        <f t="shared" si="67"/>
        <v>0.6</v>
      </c>
      <c r="AQ635" s="1">
        <f t="shared" si="68"/>
        <v>0.6</v>
      </c>
    </row>
    <row r="636" spans="1:43"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63"/>
        <v>OK</v>
      </c>
      <c r="AK636" t="str">
        <f t="shared" si="69"/>
        <v>OK</v>
      </c>
      <c r="AL636" t="str">
        <f t="shared" si="64"/>
        <v>OK</v>
      </c>
      <c r="AM636" t="str">
        <f t="shared" si="65"/>
        <v>OK</v>
      </c>
      <c r="AN636" s="1">
        <f>IF(AF636=0,0,AH636/AF636)</f>
        <v>0</v>
      </c>
      <c r="AO636" s="1">
        <f t="shared" si="66"/>
        <v>0.6</v>
      </c>
      <c r="AP636" s="1">
        <f t="shared" si="67"/>
        <v>0.6</v>
      </c>
      <c r="AQ636" s="1">
        <f t="shared" si="68"/>
        <v>0.6</v>
      </c>
    </row>
    <row r="637" spans="1:43"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63"/>
        <v>OK</v>
      </c>
      <c r="AK637" t="str">
        <f t="shared" si="69"/>
        <v>OK</v>
      </c>
      <c r="AL637" t="str">
        <f t="shared" si="64"/>
        <v>OK</v>
      </c>
      <c r="AM637" t="str">
        <f t="shared" si="65"/>
        <v>OK</v>
      </c>
      <c r="AN637" s="1">
        <f>IF(AF637=0,0,AH637/AF637)</f>
        <v>0.29411764705882354</v>
      </c>
      <c r="AO637" s="1">
        <f t="shared" si="66"/>
        <v>0.82352941176470584</v>
      </c>
      <c r="AP637" s="1">
        <f t="shared" si="67"/>
        <v>0.11764705882352941</v>
      </c>
      <c r="AQ637" s="1">
        <f t="shared" si="68"/>
        <v>0.88235294117647056</v>
      </c>
    </row>
    <row r="638" spans="1:43"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63"/>
        <v>OK</v>
      </c>
      <c r="AK638" t="str">
        <f t="shared" si="69"/>
        <v>OK</v>
      </c>
      <c r="AL638" t="str">
        <f t="shared" si="64"/>
        <v>OK</v>
      </c>
      <c r="AM638" t="str">
        <f t="shared" si="65"/>
        <v>OK</v>
      </c>
      <c r="AN638" s="1">
        <f>IF(AF638=0,0,AH638/AF638)</f>
        <v>0.7</v>
      </c>
      <c r="AO638" s="1">
        <f t="shared" si="66"/>
        <v>0.2</v>
      </c>
      <c r="AP638" s="1">
        <f t="shared" si="67"/>
        <v>0.3</v>
      </c>
      <c r="AQ638" s="1">
        <f t="shared" si="68"/>
        <v>0.8</v>
      </c>
    </row>
    <row r="639" spans="1:43"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63"/>
        <v>OK</v>
      </c>
      <c r="AK639" t="str">
        <f t="shared" si="69"/>
        <v>OK</v>
      </c>
      <c r="AL639" t="str">
        <f t="shared" si="64"/>
        <v>OK</v>
      </c>
      <c r="AM639" t="str">
        <f t="shared" si="65"/>
        <v>OK</v>
      </c>
      <c r="AN639" s="1">
        <f>IF(AF639=0,0,AH639/AF639)</f>
        <v>0</v>
      </c>
      <c r="AO639" s="1">
        <f t="shared" si="66"/>
        <v>0</v>
      </c>
      <c r="AP639" s="1">
        <f t="shared" si="67"/>
        <v>0.66666666666666663</v>
      </c>
      <c r="AQ639" s="1">
        <f t="shared" si="68"/>
        <v>0.66666666666666663</v>
      </c>
    </row>
    <row r="640" spans="1:43"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63"/>
        <v>OK</v>
      </c>
      <c r="AK640" t="str">
        <f t="shared" si="69"/>
        <v>OK</v>
      </c>
      <c r="AL640" t="str">
        <f t="shared" si="64"/>
        <v>OK</v>
      </c>
      <c r="AM640" t="str">
        <f t="shared" si="65"/>
        <v>OK</v>
      </c>
      <c r="AN640" s="1">
        <f>IF(AF640=0,0,AH640/AF640)</f>
        <v>0</v>
      </c>
      <c r="AO640" s="1">
        <f t="shared" si="66"/>
        <v>0.4</v>
      </c>
      <c r="AP640" s="1">
        <f t="shared" si="67"/>
        <v>0.2</v>
      </c>
      <c r="AQ640" s="1">
        <f t="shared" si="68"/>
        <v>0.6</v>
      </c>
    </row>
    <row r="641" spans="1:43"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63"/>
        <v>OK</v>
      </c>
      <c r="AK641" t="str">
        <f t="shared" si="69"/>
        <v>OK</v>
      </c>
      <c r="AL641" t="str">
        <f t="shared" si="64"/>
        <v>OK</v>
      </c>
      <c r="AM641" t="str">
        <f t="shared" si="65"/>
        <v>OK</v>
      </c>
      <c r="AN641" s="1">
        <f>IF(AF641=0,0,AH641/AF641)</f>
        <v>0</v>
      </c>
      <c r="AO641" s="1">
        <f t="shared" si="66"/>
        <v>0.5</v>
      </c>
      <c r="AP641" s="1">
        <f t="shared" si="67"/>
        <v>0.5</v>
      </c>
      <c r="AQ641" s="1">
        <f t="shared" si="68"/>
        <v>0.5</v>
      </c>
    </row>
    <row r="642" spans="1:43"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si="63"/>
        <v>OK</v>
      </c>
      <c r="AK642" t="str">
        <f t="shared" si="69"/>
        <v>OK</v>
      </c>
      <c r="AL642" t="str">
        <f t="shared" si="64"/>
        <v>OK</v>
      </c>
      <c r="AM642" t="str">
        <f t="shared" si="65"/>
        <v>OK</v>
      </c>
      <c r="AN642" s="1">
        <f>IF(AF642=0,0,AH642/AF642)</f>
        <v>0.6</v>
      </c>
      <c r="AO642" s="1">
        <f t="shared" si="66"/>
        <v>0.4</v>
      </c>
      <c r="AP642" s="1">
        <f t="shared" si="67"/>
        <v>0.4</v>
      </c>
      <c r="AQ642" s="1">
        <f t="shared" si="68"/>
        <v>0.8</v>
      </c>
    </row>
    <row r="643" spans="1:43"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ref="AJ643:AJ706" si="70">IF(AF643&lt;=AC643, "OK", "ERROR")</f>
        <v>OK</v>
      </c>
      <c r="AK643" t="str">
        <f t="shared" si="69"/>
        <v>OK</v>
      </c>
      <c r="AL643" t="str">
        <f t="shared" ref="AL643:AL706" si="71">IF(AG643&lt;=AF643,"OK","ERROR")</f>
        <v>OK</v>
      </c>
      <c r="AM643" t="str">
        <f t="shared" ref="AM643:AM706" si="72">IF(AI643&lt;=AF643,"OK","ERROR")</f>
        <v>OK</v>
      </c>
      <c r="AN643" s="1">
        <f>IF(AF643=0,0,AH643/AF643)</f>
        <v>0.5</v>
      </c>
      <c r="AO643" s="1">
        <f t="shared" ref="AO643:AO706" si="73">IF(AF643=0,0,AG643/AF643)</f>
        <v>0.8</v>
      </c>
      <c r="AP643" s="1">
        <f t="shared" ref="AP643:AP706" si="74">IF(AF643=0,0,AD643/AF643)</f>
        <v>0.3</v>
      </c>
      <c r="AQ643" s="1">
        <f t="shared" ref="AQ643:AQ706" si="75">IF(AF643=0,0,AI643/AF643)</f>
        <v>0.3</v>
      </c>
    </row>
    <row r="644" spans="1:43"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70"/>
        <v>OK</v>
      </c>
      <c r="AK644" t="str">
        <f t="shared" ref="AK644:AK707" si="76">IF(AH644&lt;=AF644,"OK", "ERROR")</f>
        <v>OK</v>
      </c>
      <c r="AL644" t="str">
        <f t="shared" si="71"/>
        <v>OK</v>
      </c>
      <c r="AM644" t="str">
        <f t="shared" si="72"/>
        <v>OK</v>
      </c>
      <c r="AN644" s="1">
        <f>IF(AF644=0,0,AH644/AF644)</f>
        <v>0.5</v>
      </c>
      <c r="AO644" s="1">
        <f t="shared" si="73"/>
        <v>1</v>
      </c>
      <c r="AP644" s="1">
        <f t="shared" si="74"/>
        <v>1.5</v>
      </c>
      <c r="AQ644" s="1">
        <f t="shared" si="75"/>
        <v>1</v>
      </c>
    </row>
    <row r="645" spans="1:43"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70"/>
        <v>OK</v>
      </c>
      <c r="AK645" t="str">
        <f t="shared" si="76"/>
        <v>OK</v>
      </c>
      <c r="AL645" t="str">
        <f t="shared" si="71"/>
        <v>OK</v>
      </c>
      <c r="AM645" t="str">
        <f t="shared" si="72"/>
        <v>OK</v>
      </c>
      <c r="AN645" s="1">
        <f>IF(AF645=0,0,AH645/AF645)</f>
        <v>0.2</v>
      </c>
      <c r="AO645" s="1">
        <f t="shared" si="73"/>
        <v>0.6</v>
      </c>
      <c r="AP645" s="1">
        <f t="shared" si="74"/>
        <v>0.2</v>
      </c>
      <c r="AQ645" s="1">
        <f t="shared" si="75"/>
        <v>0.6</v>
      </c>
    </row>
    <row r="646" spans="1:43"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70"/>
        <v>OK</v>
      </c>
      <c r="AK646" t="str">
        <f t="shared" si="76"/>
        <v>OK</v>
      </c>
      <c r="AL646" t="str">
        <f t="shared" si="71"/>
        <v>OK</v>
      </c>
      <c r="AM646" t="str">
        <f t="shared" si="72"/>
        <v>OK</v>
      </c>
      <c r="AN646" s="1">
        <f>IF(AF646=0,0,AH646/AF646)</f>
        <v>0</v>
      </c>
      <c r="AO646" s="1">
        <f t="shared" si="73"/>
        <v>0.66666666666666663</v>
      </c>
      <c r="AP646" s="1">
        <f t="shared" si="74"/>
        <v>0.33333333333333331</v>
      </c>
      <c r="AQ646" s="1">
        <f t="shared" si="75"/>
        <v>0.33333333333333331</v>
      </c>
    </row>
    <row r="647" spans="1:43"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70"/>
        <v>OK</v>
      </c>
      <c r="AK647" t="str">
        <f t="shared" si="76"/>
        <v>OK</v>
      </c>
      <c r="AL647" t="str">
        <f t="shared" si="71"/>
        <v>OK</v>
      </c>
      <c r="AM647" t="str">
        <f t="shared" si="72"/>
        <v>OK</v>
      </c>
      <c r="AN647" s="1">
        <f>IF(AF647=0,0,AH647/AF647)</f>
        <v>0</v>
      </c>
      <c r="AO647" s="1">
        <f t="shared" si="73"/>
        <v>0.66666666666666663</v>
      </c>
      <c r="AP647" s="1">
        <f t="shared" si="74"/>
        <v>1</v>
      </c>
      <c r="AQ647" s="1">
        <f t="shared" si="75"/>
        <v>0.66666666666666663</v>
      </c>
    </row>
    <row r="648" spans="1:43"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70"/>
        <v>OK</v>
      </c>
      <c r="AK648" t="str">
        <f t="shared" si="76"/>
        <v>OK</v>
      </c>
      <c r="AL648" t="str">
        <f t="shared" si="71"/>
        <v>OK</v>
      </c>
      <c r="AM648" t="str">
        <f t="shared" si="72"/>
        <v>OK</v>
      </c>
      <c r="AN648" s="1">
        <f>IF(AF648=0,0,AH648/AF648)</f>
        <v>1</v>
      </c>
      <c r="AO648" s="1">
        <f t="shared" si="73"/>
        <v>0</v>
      </c>
      <c r="AP648" s="1">
        <f t="shared" si="74"/>
        <v>1.5</v>
      </c>
      <c r="AQ648" s="1">
        <f t="shared" si="75"/>
        <v>1</v>
      </c>
    </row>
    <row r="649" spans="1:43"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70"/>
        <v>OK</v>
      </c>
      <c r="AK649" t="str">
        <f t="shared" si="76"/>
        <v>OK</v>
      </c>
      <c r="AL649" t="str">
        <f t="shared" si="71"/>
        <v>OK</v>
      </c>
      <c r="AM649" t="str">
        <f t="shared" si="72"/>
        <v>OK</v>
      </c>
      <c r="AN649" s="1">
        <f>IF(AF649=0,0,AH649/AF649)</f>
        <v>0.30769230769230771</v>
      </c>
      <c r="AO649" s="1">
        <f t="shared" si="73"/>
        <v>0.76923076923076927</v>
      </c>
      <c r="AP649" s="1">
        <f t="shared" si="74"/>
        <v>0.15384615384615385</v>
      </c>
      <c r="AQ649" s="1">
        <f t="shared" si="75"/>
        <v>0.61538461538461542</v>
      </c>
    </row>
    <row r="650" spans="1:43"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70"/>
        <v>OK</v>
      </c>
      <c r="AK650" t="str">
        <f t="shared" si="76"/>
        <v>OK</v>
      </c>
      <c r="AL650" t="str">
        <f t="shared" si="71"/>
        <v>OK</v>
      </c>
      <c r="AM650" t="str">
        <f t="shared" si="72"/>
        <v>OK</v>
      </c>
      <c r="AN650" s="1">
        <f>IF(AF650=0,0,AH650/AF650)</f>
        <v>0</v>
      </c>
      <c r="AO650" s="1">
        <f t="shared" si="73"/>
        <v>0.8</v>
      </c>
      <c r="AP650" s="1">
        <f t="shared" si="74"/>
        <v>0.6</v>
      </c>
      <c r="AQ650" s="1">
        <f t="shared" si="75"/>
        <v>0</v>
      </c>
    </row>
    <row r="651" spans="1:43"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70"/>
        <v>OK</v>
      </c>
      <c r="AK651" t="str">
        <f t="shared" si="76"/>
        <v>OK</v>
      </c>
      <c r="AL651" t="str">
        <f t="shared" si="71"/>
        <v>OK</v>
      </c>
      <c r="AM651" t="str">
        <f t="shared" si="72"/>
        <v>OK</v>
      </c>
      <c r="AN651" s="1">
        <f>IF(AF651=0,0,AH651/AF651)</f>
        <v>0.25</v>
      </c>
      <c r="AO651" s="1">
        <f t="shared" si="73"/>
        <v>0.75</v>
      </c>
      <c r="AP651" s="1">
        <f t="shared" si="74"/>
        <v>0</v>
      </c>
      <c r="AQ651" s="1">
        <f t="shared" si="75"/>
        <v>0.66666666666666663</v>
      </c>
    </row>
    <row r="652" spans="1:43"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70"/>
        <v>OK</v>
      </c>
      <c r="AK652" t="str">
        <f t="shared" si="76"/>
        <v>OK</v>
      </c>
      <c r="AL652" t="str">
        <f t="shared" si="71"/>
        <v>OK</v>
      </c>
      <c r="AM652" t="str">
        <f t="shared" si="72"/>
        <v>OK</v>
      </c>
      <c r="AN652" s="1">
        <f>IF(AF652=0,0,AH652/AF652)</f>
        <v>0.4</v>
      </c>
      <c r="AO652" s="1">
        <f t="shared" si="73"/>
        <v>0.4</v>
      </c>
      <c r="AP652" s="1">
        <f t="shared" si="74"/>
        <v>0.4</v>
      </c>
      <c r="AQ652" s="1">
        <f t="shared" si="75"/>
        <v>0.4</v>
      </c>
    </row>
    <row r="653" spans="1:43"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70"/>
        <v>OK</v>
      </c>
      <c r="AK653" t="str">
        <f t="shared" si="76"/>
        <v>OK</v>
      </c>
      <c r="AL653" t="str">
        <f t="shared" si="71"/>
        <v>OK</v>
      </c>
      <c r="AM653" t="str">
        <f t="shared" si="72"/>
        <v>OK</v>
      </c>
      <c r="AN653" s="1">
        <f>IF(AF653=0,0,AH653/AF653)</f>
        <v>1</v>
      </c>
      <c r="AO653" s="1">
        <f t="shared" si="73"/>
        <v>0.8571428571428571</v>
      </c>
      <c r="AP653" s="1">
        <f t="shared" si="74"/>
        <v>0.2857142857142857</v>
      </c>
      <c r="AQ653" s="1">
        <f t="shared" si="75"/>
        <v>1</v>
      </c>
    </row>
    <row r="654" spans="1:43"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70"/>
        <v>OK</v>
      </c>
      <c r="AK654" t="str">
        <f t="shared" si="76"/>
        <v>OK</v>
      </c>
      <c r="AL654" t="str">
        <f t="shared" si="71"/>
        <v>OK</v>
      </c>
      <c r="AM654" t="str">
        <f t="shared" si="72"/>
        <v>OK</v>
      </c>
      <c r="AN654" s="1">
        <f>IF(AF654=0,0,AH654/AF654)</f>
        <v>0</v>
      </c>
      <c r="AO654" s="1">
        <f t="shared" si="73"/>
        <v>0</v>
      </c>
      <c r="AP654" s="1">
        <f t="shared" si="74"/>
        <v>0.2</v>
      </c>
      <c r="AQ654" s="1">
        <f t="shared" si="75"/>
        <v>0.9</v>
      </c>
    </row>
    <row r="655" spans="1:43"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70"/>
        <v>OK</v>
      </c>
      <c r="AK655" t="str">
        <f t="shared" si="76"/>
        <v>OK</v>
      </c>
      <c r="AL655" t="str">
        <f t="shared" si="71"/>
        <v>OK</v>
      </c>
      <c r="AM655" t="str">
        <f t="shared" si="72"/>
        <v>OK</v>
      </c>
      <c r="AN655" s="1">
        <f>IF(AF655=0,0,AH655/AF655)</f>
        <v>0.45161290322580644</v>
      </c>
      <c r="AO655" s="1">
        <f t="shared" si="73"/>
        <v>0.19354838709677419</v>
      </c>
      <c r="AP655" s="1">
        <f t="shared" si="74"/>
        <v>9.6774193548387094E-2</v>
      </c>
      <c r="AQ655" s="1">
        <f t="shared" si="75"/>
        <v>0.22580645161290322</v>
      </c>
    </row>
    <row r="656" spans="1:43"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70"/>
        <v>OK</v>
      </c>
      <c r="AK656" t="str">
        <f t="shared" si="76"/>
        <v>OK</v>
      </c>
      <c r="AL656" t="str">
        <f t="shared" si="71"/>
        <v>OK</v>
      </c>
      <c r="AM656" t="str">
        <f t="shared" si="72"/>
        <v>OK</v>
      </c>
      <c r="AN656" s="1">
        <f>IF(AF656=0,0,AH656/AF656)</f>
        <v>0</v>
      </c>
      <c r="AO656" s="1">
        <f t="shared" si="73"/>
        <v>0.8</v>
      </c>
      <c r="AP656" s="1">
        <f t="shared" si="74"/>
        <v>0.4</v>
      </c>
      <c r="AQ656" s="1">
        <f t="shared" si="75"/>
        <v>0.8</v>
      </c>
    </row>
    <row r="657" spans="1:43"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70"/>
        <v>OK</v>
      </c>
      <c r="AK657" t="str">
        <f t="shared" si="76"/>
        <v>OK</v>
      </c>
      <c r="AL657" t="str">
        <f t="shared" si="71"/>
        <v>OK</v>
      </c>
      <c r="AM657" t="str">
        <f t="shared" si="72"/>
        <v>OK</v>
      </c>
      <c r="AN657" s="1">
        <f>IF(AF657=0,0,AH657/AF657)</f>
        <v>0</v>
      </c>
      <c r="AO657" s="1">
        <f t="shared" si="73"/>
        <v>0.75</v>
      </c>
      <c r="AP657" s="1">
        <f t="shared" si="74"/>
        <v>1</v>
      </c>
      <c r="AQ657" s="1">
        <f t="shared" si="75"/>
        <v>0.75</v>
      </c>
    </row>
    <row r="658" spans="1:43"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70"/>
        <v>OK</v>
      </c>
      <c r="AK658" t="str">
        <f t="shared" si="76"/>
        <v>OK</v>
      </c>
      <c r="AL658" t="str">
        <f t="shared" si="71"/>
        <v>OK</v>
      </c>
      <c r="AM658" t="str">
        <f t="shared" si="72"/>
        <v>OK</v>
      </c>
      <c r="AN658" s="1">
        <f>IF(AF658=0,0,AH658/AF658)</f>
        <v>0</v>
      </c>
      <c r="AO658" s="1">
        <f t="shared" si="73"/>
        <v>0</v>
      </c>
      <c r="AP658" s="1">
        <f t="shared" si="74"/>
        <v>2</v>
      </c>
      <c r="AQ658" s="1">
        <f t="shared" si="75"/>
        <v>1</v>
      </c>
    </row>
    <row r="659" spans="1:43"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70"/>
        <v>OK</v>
      </c>
      <c r="AK659" t="str">
        <f t="shared" si="76"/>
        <v>OK</v>
      </c>
      <c r="AL659" t="str">
        <f t="shared" si="71"/>
        <v>OK</v>
      </c>
      <c r="AM659" t="str">
        <f t="shared" si="72"/>
        <v>OK</v>
      </c>
      <c r="AN659" s="1">
        <f>IF(AF659=0,0,AH659/AF659)</f>
        <v>0</v>
      </c>
      <c r="AO659" s="1">
        <f t="shared" si="73"/>
        <v>0.75</v>
      </c>
      <c r="AP659" s="1">
        <f t="shared" si="74"/>
        <v>1.25</v>
      </c>
      <c r="AQ659" s="1">
        <f t="shared" si="75"/>
        <v>0.75</v>
      </c>
    </row>
    <row r="660" spans="1:43"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70"/>
        <v>OK</v>
      </c>
      <c r="AK660" t="str">
        <f t="shared" si="76"/>
        <v>OK</v>
      </c>
      <c r="AL660" t="str">
        <f t="shared" si="71"/>
        <v>OK</v>
      </c>
      <c r="AM660" t="str">
        <f t="shared" si="72"/>
        <v>OK</v>
      </c>
      <c r="AN660" s="1">
        <f>IF(AF660=0,0,AH660/AF660)</f>
        <v>0.875</v>
      </c>
      <c r="AO660" s="1">
        <f t="shared" si="73"/>
        <v>0.875</v>
      </c>
      <c r="AP660" s="1">
        <f t="shared" si="74"/>
        <v>0</v>
      </c>
      <c r="AQ660" s="1">
        <f t="shared" si="75"/>
        <v>0.125</v>
      </c>
    </row>
    <row r="661" spans="1:43"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70"/>
        <v>OK</v>
      </c>
      <c r="AK661" t="str">
        <f t="shared" si="76"/>
        <v>OK</v>
      </c>
      <c r="AL661" t="str">
        <f t="shared" si="71"/>
        <v>OK</v>
      </c>
      <c r="AM661" t="str">
        <f t="shared" si="72"/>
        <v>OK</v>
      </c>
      <c r="AN661" s="1">
        <f>IF(AF661=0,0,AH661/AF661)</f>
        <v>0</v>
      </c>
      <c r="AO661" s="1">
        <f t="shared" si="73"/>
        <v>0.5</v>
      </c>
      <c r="AP661" s="1">
        <f t="shared" si="74"/>
        <v>0.75</v>
      </c>
      <c r="AQ661" s="1">
        <f t="shared" si="75"/>
        <v>0.5</v>
      </c>
    </row>
    <row r="662" spans="1:43"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70"/>
        <v>OK</v>
      </c>
      <c r="AK662" t="str">
        <f t="shared" si="76"/>
        <v>OK</v>
      </c>
      <c r="AL662" t="str">
        <f t="shared" si="71"/>
        <v>OK</v>
      </c>
      <c r="AM662" t="str">
        <f t="shared" si="72"/>
        <v>OK</v>
      </c>
      <c r="AN662" s="1">
        <f>IF(AF662=0,0,AH662/AF662)</f>
        <v>0</v>
      </c>
      <c r="AO662" s="1">
        <f t="shared" si="73"/>
        <v>0</v>
      </c>
      <c r="AP662" s="1">
        <f t="shared" si="74"/>
        <v>3</v>
      </c>
      <c r="AQ662" s="1">
        <f t="shared" si="75"/>
        <v>0</v>
      </c>
    </row>
    <row r="663" spans="1:43"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70"/>
        <v>OK</v>
      </c>
      <c r="AK663" t="str">
        <f t="shared" si="76"/>
        <v>OK</v>
      </c>
      <c r="AL663" t="str">
        <f t="shared" si="71"/>
        <v>OK</v>
      </c>
      <c r="AM663" t="str">
        <f t="shared" si="72"/>
        <v>OK</v>
      </c>
      <c r="AN663" s="1">
        <f>IF(AF663=0,0,AH663/AF663)</f>
        <v>0</v>
      </c>
      <c r="AO663" s="1">
        <f t="shared" si="73"/>
        <v>0</v>
      </c>
      <c r="AP663" s="1">
        <f t="shared" si="74"/>
        <v>2</v>
      </c>
      <c r="AQ663" s="1">
        <f t="shared" si="75"/>
        <v>0</v>
      </c>
    </row>
    <row r="664" spans="1:43"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70"/>
        <v>OK</v>
      </c>
      <c r="AK664" t="str">
        <f t="shared" si="76"/>
        <v>OK</v>
      </c>
      <c r="AL664" t="str">
        <f t="shared" si="71"/>
        <v>OK</v>
      </c>
      <c r="AM664" t="str">
        <f t="shared" si="72"/>
        <v>OK</v>
      </c>
      <c r="AN664" s="1">
        <f>IF(AF664=0,0,AH664/AF664)</f>
        <v>0</v>
      </c>
      <c r="AO664" s="1">
        <f t="shared" si="73"/>
        <v>1</v>
      </c>
      <c r="AP664" s="1">
        <f t="shared" si="74"/>
        <v>1.5</v>
      </c>
      <c r="AQ664" s="1">
        <f t="shared" si="75"/>
        <v>1</v>
      </c>
    </row>
    <row r="665" spans="1:43"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70"/>
        <v>OK</v>
      </c>
      <c r="AK665" t="str">
        <f t="shared" si="76"/>
        <v>OK</v>
      </c>
      <c r="AL665" t="str">
        <f t="shared" si="71"/>
        <v>OK</v>
      </c>
      <c r="AM665" t="str">
        <f t="shared" si="72"/>
        <v>OK</v>
      </c>
      <c r="AN665" s="1">
        <f>IF(AF665=0,0,AH665/AF665)</f>
        <v>0</v>
      </c>
      <c r="AO665" s="1">
        <f t="shared" si="73"/>
        <v>0</v>
      </c>
      <c r="AP665" s="1">
        <f t="shared" si="74"/>
        <v>3</v>
      </c>
      <c r="AQ665" s="1">
        <f t="shared" si="75"/>
        <v>0</v>
      </c>
    </row>
    <row r="666" spans="1:43"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70"/>
        <v>OK</v>
      </c>
      <c r="AK666" t="str">
        <f t="shared" si="76"/>
        <v>OK</v>
      </c>
      <c r="AL666" t="str">
        <f t="shared" si="71"/>
        <v>OK</v>
      </c>
      <c r="AM666" t="str">
        <f t="shared" si="72"/>
        <v>OK</v>
      </c>
      <c r="AN666" s="1">
        <f>IF(AF666=0,0,AH666/AF666)</f>
        <v>0.25</v>
      </c>
      <c r="AO666" s="1">
        <f t="shared" si="73"/>
        <v>0.5</v>
      </c>
      <c r="AP666" s="1">
        <f t="shared" si="74"/>
        <v>0.125</v>
      </c>
      <c r="AQ666" s="1">
        <f t="shared" si="75"/>
        <v>0.6875</v>
      </c>
    </row>
    <row r="667" spans="1:43"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70"/>
        <v>OK</v>
      </c>
      <c r="AK667" t="str">
        <f t="shared" si="76"/>
        <v>OK</v>
      </c>
      <c r="AL667" t="str">
        <f t="shared" si="71"/>
        <v>OK</v>
      </c>
      <c r="AM667" t="str">
        <f t="shared" si="72"/>
        <v>OK</v>
      </c>
      <c r="AN667" s="1">
        <f>IF(AF667=0,0,AH667/AF667)</f>
        <v>0.33333333333333331</v>
      </c>
      <c r="AO667" s="1">
        <f t="shared" si="73"/>
        <v>0.66666666666666663</v>
      </c>
      <c r="AP667" s="1">
        <f t="shared" si="74"/>
        <v>1</v>
      </c>
      <c r="AQ667" s="1">
        <f t="shared" si="75"/>
        <v>0.66666666666666663</v>
      </c>
    </row>
    <row r="668" spans="1:43"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70"/>
        <v>OK</v>
      </c>
      <c r="AK668" t="str">
        <f t="shared" si="76"/>
        <v>OK</v>
      </c>
      <c r="AL668" t="str">
        <f t="shared" si="71"/>
        <v>OK</v>
      </c>
      <c r="AM668" t="str">
        <f t="shared" si="72"/>
        <v>OK</v>
      </c>
      <c r="AN668" s="1">
        <f>IF(AF668=0,0,AH668/AF668)</f>
        <v>0</v>
      </c>
      <c r="AO668" s="1">
        <f t="shared" si="73"/>
        <v>0.66666666666666663</v>
      </c>
      <c r="AP668" s="1">
        <f t="shared" si="74"/>
        <v>1</v>
      </c>
      <c r="AQ668" s="1">
        <f t="shared" si="75"/>
        <v>0.66666666666666663</v>
      </c>
    </row>
    <row r="669" spans="1:43"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70"/>
        <v>OK</v>
      </c>
      <c r="AK669" t="str">
        <f t="shared" si="76"/>
        <v>OK</v>
      </c>
      <c r="AL669" t="str">
        <f t="shared" si="71"/>
        <v>OK</v>
      </c>
      <c r="AM669" t="str">
        <f t="shared" si="72"/>
        <v>OK</v>
      </c>
      <c r="AN669" s="1">
        <f>IF(AF669=0,0,AH669/AF669)</f>
        <v>0.14285714285714285</v>
      </c>
      <c r="AO669" s="1">
        <f t="shared" si="73"/>
        <v>1</v>
      </c>
      <c r="AP669" s="1">
        <f t="shared" si="74"/>
        <v>0.14285714285714285</v>
      </c>
      <c r="AQ669" s="1">
        <f t="shared" si="75"/>
        <v>0</v>
      </c>
    </row>
    <row r="670" spans="1:43"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70"/>
        <v>OK</v>
      </c>
      <c r="AK670" t="str">
        <f t="shared" si="76"/>
        <v>OK</v>
      </c>
      <c r="AL670" t="str">
        <f t="shared" si="71"/>
        <v>OK</v>
      </c>
      <c r="AM670" t="str">
        <f t="shared" si="72"/>
        <v>OK</v>
      </c>
      <c r="AN670" s="1">
        <f>IF(AF670=0,0,AH670/AF670)</f>
        <v>1</v>
      </c>
      <c r="AO670" s="1">
        <f t="shared" si="73"/>
        <v>1</v>
      </c>
      <c r="AP670" s="1">
        <f t="shared" si="74"/>
        <v>1</v>
      </c>
      <c r="AQ670" s="1">
        <f t="shared" si="75"/>
        <v>1</v>
      </c>
    </row>
    <row r="671" spans="1:43"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70"/>
        <v>OK</v>
      </c>
      <c r="AK671" t="str">
        <f t="shared" si="76"/>
        <v>OK</v>
      </c>
      <c r="AL671" t="str">
        <f t="shared" si="71"/>
        <v>OK</v>
      </c>
      <c r="AM671" t="str">
        <f t="shared" si="72"/>
        <v>OK</v>
      </c>
      <c r="AN671" s="1">
        <f>IF(AF671=0,0,AH671/AF671)</f>
        <v>1</v>
      </c>
      <c r="AO671" s="1">
        <f t="shared" si="73"/>
        <v>1</v>
      </c>
      <c r="AP671" s="1">
        <f t="shared" si="74"/>
        <v>1</v>
      </c>
      <c r="AQ671" s="1">
        <f t="shared" si="75"/>
        <v>1</v>
      </c>
    </row>
    <row r="672" spans="1:43"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70"/>
        <v>OK</v>
      </c>
      <c r="AK672" t="str">
        <f t="shared" si="76"/>
        <v>OK</v>
      </c>
      <c r="AL672" t="str">
        <f t="shared" si="71"/>
        <v>OK</v>
      </c>
      <c r="AM672" t="str">
        <f t="shared" si="72"/>
        <v>OK</v>
      </c>
      <c r="AN672" s="1">
        <f>IF(AF672=0,0,AH672/AF672)</f>
        <v>0</v>
      </c>
      <c r="AO672" s="1">
        <f t="shared" si="73"/>
        <v>1</v>
      </c>
      <c r="AP672" s="1">
        <f t="shared" si="74"/>
        <v>2</v>
      </c>
      <c r="AQ672" s="1">
        <f t="shared" si="75"/>
        <v>0</v>
      </c>
    </row>
    <row r="673" spans="1:43"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70"/>
        <v>OK</v>
      </c>
      <c r="AK673" t="str">
        <f t="shared" si="76"/>
        <v>OK</v>
      </c>
      <c r="AL673" t="str">
        <f t="shared" si="71"/>
        <v>OK</v>
      </c>
      <c r="AM673" t="str">
        <f t="shared" si="72"/>
        <v>OK</v>
      </c>
      <c r="AN673" s="1">
        <f>IF(AF673=0,0,AH673/AF673)</f>
        <v>1</v>
      </c>
      <c r="AO673" s="1">
        <f t="shared" si="73"/>
        <v>0</v>
      </c>
      <c r="AP673" s="1">
        <f t="shared" si="74"/>
        <v>3</v>
      </c>
      <c r="AQ673" s="1">
        <f t="shared" si="75"/>
        <v>0</v>
      </c>
    </row>
    <row r="674" spans="1:43"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70"/>
        <v>OK</v>
      </c>
      <c r="AK674" t="str">
        <f t="shared" si="76"/>
        <v>OK</v>
      </c>
      <c r="AL674" t="str">
        <f t="shared" si="71"/>
        <v>OK</v>
      </c>
      <c r="AM674" t="str">
        <f t="shared" si="72"/>
        <v>OK</v>
      </c>
      <c r="AN674" s="1">
        <f>IF(AF674=0,0,AH674/AF674)</f>
        <v>0</v>
      </c>
      <c r="AO674" s="1">
        <f t="shared" si="73"/>
        <v>0.8</v>
      </c>
      <c r="AP674" s="1">
        <f t="shared" si="74"/>
        <v>1.2</v>
      </c>
      <c r="AQ674" s="1">
        <f t="shared" si="75"/>
        <v>0.6</v>
      </c>
    </row>
    <row r="675" spans="1:43"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70"/>
        <v>OK</v>
      </c>
      <c r="AK675" t="str">
        <f t="shared" si="76"/>
        <v>OK</v>
      </c>
      <c r="AL675" t="str">
        <f t="shared" si="71"/>
        <v>OK</v>
      </c>
      <c r="AM675" t="str">
        <f t="shared" si="72"/>
        <v>OK</v>
      </c>
      <c r="AN675" s="1">
        <f>IF(AF675=0,0,AH675/AF675)</f>
        <v>0</v>
      </c>
      <c r="AO675" s="1">
        <f t="shared" si="73"/>
        <v>0.66666666666666663</v>
      </c>
      <c r="AP675" s="1">
        <f t="shared" si="74"/>
        <v>0.33333333333333331</v>
      </c>
      <c r="AQ675" s="1">
        <f t="shared" si="75"/>
        <v>0.66666666666666663</v>
      </c>
    </row>
    <row r="676" spans="1:43"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70"/>
        <v>OK</v>
      </c>
      <c r="AK676" t="str">
        <f t="shared" si="76"/>
        <v>OK</v>
      </c>
      <c r="AL676" t="str">
        <f t="shared" si="71"/>
        <v>OK</v>
      </c>
      <c r="AM676" t="str">
        <f t="shared" si="72"/>
        <v>OK</v>
      </c>
      <c r="AN676" s="1">
        <f>IF(AF676=0,0,AH676/AF676)</f>
        <v>0</v>
      </c>
      <c r="AO676" s="1">
        <f t="shared" si="73"/>
        <v>0</v>
      </c>
      <c r="AP676" s="1">
        <f t="shared" si="74"/>
        <v>0.5</v>
      </c>
      <c r="AQ676" s="1">
        <f t="shared" si="75"/>
        <v>0.66666666666666663</v>
      </c>
    </row>
    <row r="677" spans="1:43"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70"/>
        <v>OK</v>
      </c>
      <c r="AK677" t="str">
        <f t="shared" si="76"/>
        <v>OK</v>
      </c>
      <c r="AL677" t="str">
        <f t="shared" si="71"/>
        <v>OK</v>
      </c>
      <c r="AM677" t="str">
        <f t="shared" si="72"/>
        <v>OK</v>
      </c>
      <c r="AN677" s="1">
        <f>IF(AF677=0,0,AH677/AF677)</f>
        <v>0.7142857142857143</v>
      </c>
      <c r="AO677" s="1">
        <f t="shared" si="73"/>
        <v>1</v>
      </c>
      <c r="AP677" s="1">
        <f t="shared" si="74"/>
        <v>0.2857142857142857</v>
      </c>
      <c r="AQ677" s="1">
        <f t="shared" si="75"/>
        <v>0.2857142857142857</v>
      </c>
    </row>
    <row r="678" spans="1:43"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70"/>
        <v>OK</v>
      </c>
      <c r="AK678" t="str">
        <f t="shared" si="76"/>
        <v>OK</v>
      </c>
      <c r="AL678" t="str">
        <f t="shared" si="71"/>
        <v>OK</v>
      </c>
      <c r="AM678" t="str">
        <f t="shared" si="72"/>
        <v>OK</v>
      </c>
      <c r="AN678" s="1">
        <f>IF(AF678=0,0,AH678/AF678)</f>
        <v>0</v>
      </c>
      <c r="AO678" s="1">
        <f t="shared" si="73"/>
        <v>0.6</v>
      </c>
      <c r="AP678" s="1">
        <f t="shared" si="74"/>
        <v>0.2</v>
      </c>
      <c r="AQ678" s="1">
        <f t="shared" si="75"/>
        <v>0.7</v>
      </c>
    </row>
    <row r="679" spans="1:43"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70"/>
        <v>OK</v>
      </c>
      <c r="AK679" t="str">
        <f t="shared" si="76"/>
        <v>OK</v>
      </c>
      <c r="AL679" t="str">
        <f t="shared" si="71"/>
        <v>OK</v>
      </c>
      <c r="AM679" t="str">
        <f t="shared" si="72"/>
        <v>OK</v>
      </c>
      <c r="AN679" s="1">
        <f>IF(AF679=0,0,AH679/AF679)</f>
        <v>3.8461538461538464E-2</v>
      </c>
      <c r="AO679" s="1">
        <f t="shared" si="73"/>
        <v>0.34615384615384615</v>
      </c>
      <c r="AP679" s="1">
        <f t="shared" si="74"/>
        <v>0.11538461538461539</v>
      </c>
      <c r="AQ679" s="1">
        <f t="shared" si="75"/>
        <v>0.26923076923076922</v>
      </c>
    </row>
    <row r="680" spans="1:43"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70"/>
        <v>OK</v>
      </c>
      <c r="AK680" t="str">
        <f t="shared" si="76"/>
        <v>OK</v>
      </c>
      <c r="AL680" t="str">
        <f t="shared" si="71"/>
        <v>OK</v>
      </c>
      <c r="AM680" t="str">
        <f t="shared" si="72"/>
        <v>OK</v>
      </c>
      <c r="AN680" s="1">
        <f>IF(AF680=0,0,AH680/AF680)</f>
        <v>0</v>
      </c>
      <c r="AO680" s="1">
        <f t="shared" si="73"/>
        <v>0</v>
      </c>
      <c r="AP680" s="1">
        <f t="shared" si="74"/>
        <v>0</v>
      </c>
      <c r="AQ680" s="1">
        <f t="shared" si="75"/>
        <v>0</v>
      </c>
    </row>
    <row r="681" spans="1:43"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70"/>
        <v>OK</v>
      </c>
      <c r="AK681" t="str">
        <f t="shared" si="76"/>
        <v>OK</v>
      </c>
      <c r="AL681" t="str">
        <f t="shared" si="71"/>
        <v>OK</v>
      </c>
      <c r="AM681" t="str">
        <f t="shared" si="72"/>
        <v>OK</v>
      </c>
      <c r="AN681" s="1">
        <f>IF(AF681=0,0,AH681/AF681)</f>
        <v>0</v>
      </c>
      <c r="AO681" s="1">
        <f t="shared" si="73"/>
        <v>0.88888888888888884</v>
      </c>
      <c r="AP681" s="1">
        <f t="shared" si="74"/>
        <v>0.22222222222222221</v>
      </c>
      <c r="AQ681" s="1">
        <f t="shared" si="75"/>
        <v>0</v>
      </c>
    </row>
    <row r="682" spans="1:43"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70"/>
        <v>OK</v>
      </c>
      <c r="AK682" t="str">
        <f t="shared" si="76"/>
        <v>OK</v>
      </c>
      <c r="AL682" t="str">
        <f t="shared" si="71"/>
        <v>OK</v>
      </c>
      <c r="AM682" t="str">
        <f t="shared" si="72"/>
        <v>OK</v>
      </c>
      <c r="AN682" s="1">
        <f>IF(AF682=0,0,AH682/AF682)</f>
        <v>0</v>
      </c>
      <c r="AO682" s="1">
        <f t="shared" si="73"/>
        <v>0.33333333333333331</v>
      </c>
      <c r="AP682" s="1">
        <f t="shared" si="74"/>
        <v>1</v>
      </c>
      <c r="AQ682" s="1">
        <f t="shared" si="75"/>
        <v>0.16666666666666666</v>
      </c>
    </row>
    <row r="683" spans="1:43"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70"/>
        <v>OK</v>
      </c>
      <c r="AK683" t="str">
        <f t="shared" si="76"/>
        <v>OK</v>
      </c>
      <c r="AL683" t="str">
        <f t="shared" si="71"/>
        <v>OK</v>
      </c>
      <c r="AM683" t="str">
        <f t="shared" si="72"/>
        <v>OK</v>
      </c>
      <c r="AN683" s="1">
        <f>IF(AF683=0,0,AH683/AF683)</f>
        <v>0.33333333333333331</v>
      </c>
      <c r="AO683" s="1">
        <f t="shared" si="73"/>
        <v>0.8</v>
      </c>
      <c r="AP683" s="1">
        <f t="shared" si="74"/>
        <v>0.2</v>
      </c>
      <c r="AQ683" s="1">
        <f t="shared" si="75"/>
        <v>0.73333333333333328</v>
      </c>
    </row>
    <row r="684" spans="1:43"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70"/>
        <v>OK</v>
      </c>
      <c r="AK684" t="str">
        <f t="shared" si="76"/>
        <v>OK</v>
      </c>
      <c r="AL684" t="str">
        <f t="shared" si="71"/>
        <v>OK</v>
      </c>
      <c r="AM684" t="str">
        <f t="shared" si="72"/>
        <v>OK</v>
      </c>
      <c r="AN684" s="1">
        <f>IF(AF684=0,0,AH684/AF684)</f>
        <v>0</v>
      </c>
      <c r="AO684" s="1">
        <f t="shared" si="73"/>
        <v>0</v>
      </c>
      <c r="AP684" s="1">
        <f t="shared" si="74"/>
        <v>1</v>
      </c>
      <c r="AQ684" s="1">
        <f t="shared" si="75"/>
        <v>0.66666666666666663</v>
      </c>
    </row>
    <row r="685" spans="1:43"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70"/>
        <v>OK</v>
      </c>
      <c r="AK685" t="str">
        <f t="shared" si="76"/>
        <v>OK</v>
      </c>
      <c r="AL685" t="str">
        <f t="shared" si="71"/>
        <v>OK</v>
      </c>
      <c r="AM685" t="str">
        <f t="shared" si="72"/>
        <v>OK</v>
      </c>
      <c r="AN685" s="1">
        <f>IF(AF685=0,0,AH685/AF685)</f>
        <v>0</v>
      </c>
      <c r="AO685" s="1">
        <f t="shared" si="73"/>
        <v>0</v>
      </c>
      <c r="AP685" s="1">
        <f t="shared" si="74"/>
        <v>2</v>
      </c>
      <c r="AQ685" s="1">
        <f t="shared" si="75"/>
        <v>0</v>
      </c>
    </row>
    <row r="686" spans="1:43"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70"/>
        <v>OK</v>
      </c>
      <c r="AK686" t="str">
        <f t="shared" si="76"/>
        <v>OK</v>
      </c>
      <c r="AL686" t="str">
        <f t="shared" si="71"/>
        <v>OK</v>
      </c>
      <c r="AM686" t="str">
        <f t="shared" si="72"/>
        <v>OK</v>
      </c>
      <c r="AN686" s="1">
        <f>IF(AF686=0,0,AH686/AF686)</f>
        <v>0</v>
      </c>
      <c r="AO686" s="1">
        <f t="shared" si="73"/>
        <v>0</v>
      </c>
      <c r="AP686" s="1">
        <f t="shared" si="74"/>
        <v>2</v>
      </c>
      <c r="AQ686" s="1">
        <f t="shared" si="75"/>
        <v>0</v>
      </c>
    </row>
    <row r="687" spans="1:43"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70"/>
        <v>OK</v>
      </c>
      <c r="AK687" t="str">
        <f t="shared" si="76"/>
        <v>OK</v>
      </c>
      <c r="AL687" t="str">
        <f t="shared" si="71"/>
        <v>OK</v>
      </c>
      <c r="AM687" t="str">
        <f t="shared" si="72"/>
        <v>OK</v>
      </c>
      <c r="AN687" s="1">
        <f>IF(AF687=0,0,AH687/AF687)</f>
        <v>0</v>
      </c>
      <c r="AO687" s="1">
        <f t="shared" si="73"/>
        <v>1</v>
      </c>
      <c r="AP687" s="1">
        <f t="shared" si="74"/>
        <v>0.2857142857142857</v>
      </c>
      <c r="AQ687" s="1">
        <f t="shared" si="75"/>
        <v>1</v>
      </c>
    </row>
    <row r="688" spans="1:43"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70"/>
        <v>OK</v>
      </c>
      <c r="AK688" t="str">
        <f t="shared" si="76"/>
        <v>OK</v>
      </c>
      <c r="AL688" t="str">
        <f t="shared" si="71"/>
        <v>OK</v>
      </c>
      <c r="AM688" t="str">
        <f t="shared" si="72"/>
        <v>OK</v>
      </c>
      <c r="AN688" s="1">
        <f>IF(AF688=0,0,AH688/AF688)</f>
        <v>0.1111111111111111</v>
      </c>
      <c r="AO688" s="1">
        <f t="shared" si="73"/>
        <v>0.72222222222222221</v>
      </c>
      <c r="AP688" s="1">
        <f t="shared" si="74"/>
        <v>0.16666666666666666</v>
      </c>
      <c r="AQ688" s="1">
        <f t="shared" si="75"/>
        <v>0.94444444444444442</v>
      </c>
    </row>
    <row r="689" spans="1:43"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70"/>
        <v>OK</v>
      </c>
      <c r="AK689" t="str">
        <f t="shared" si="76"/>
        <v>OK</v>
      </c>
      <c r="AL689" t="str">
        <f t="shared" si="71"/>
        <v>OK</v>
      </c>
      <c r="AM689" t="str">
        <f t="shared" si="72"/>
        <v>OK</v>
      </c>
      <c r="AN689" s="1">
        <f>IF(AF689=0,0,AH689/AF689)</f>
        <v>0.27272727272727271</v>
      </c>
      <c r="AO689" s="1">
        <f t="shared" si="73"/>
        <v>0.72727272727272729</v>
      </c>
      <c r="AP689" s="1">
        <f t="shared" si="74"/>
        <v>0.54545454545454541</v>
      </c>
      <c r="AQ689" s="1">
        <f t="shared" si="75"/>
        <v>0.81818181818181823</v>
      </c>
    </row>
    <row r="690" spans="1:43"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70"/>
        <v>OK</v>
      </c>
      <c r="AK690" t="str">
        <f t="shared" si="76"/>
        <v>OK</v>
      </c>
      <c r="AL690" t="str">
        <f t="shared" si="71"/>
        <v>OK</v>
      </c>
      <c r="AM690" t="str">
        <f t="shared" si="72"/>
        <v>OK</v>
      </c>
      <c r="AN690" s="1">
        <f>IF(AF690=0,0,AH690/AF690)</f>
        <v>0</v>
      </c>
      <c r="AO690" s="1">
        <f t="shared" si="73"/>
        <v>0</v>
      </c>
      <c r="AP690" s="1">
        <f t="shared" si="74"/>
        <v>3</v>
      </c>
      <c r="AQ690" s="1">
        <f t="shared" si="75"/>
        <v>0</v>
      </c>
    </row>
    <row r="691" spans="1:43"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70"/>
        <v>OK</v>
      </c>
      <c r="AK691" t="str">
        <f t="shared" si="76"/>
        <v>OK</v>
      </c>
      <c r="AL691" t="str">
        <f t="shared" si="71"/>
        <v>OK</v>
      </c>
      <c r="AM691" t="str">
        <f t="shared" si="72"/>
        <v>OK</v>
      </c>
      <c r="AN691" s="1">
        <f>IF(AF691=0,0,AH691/AF691)</f>
        <v>0</v>
      </c>
      <c r="AO691" s="1">
        <f t="shared" si="73"/>
        <v>0</v>
      </c>
      <c r="AP691" s="1">
        <f t="shared" si="74"/>
        <v>2</v>
      </c>
      <c r="AQ691" s="1">
        <f t="shared" si="75"/>
        <v>0</v>
      </c>
    </row>
    <row r="692" spans="1:43"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70"/>
        <v>OK</v>
      </c>
      <c r="AK692" t="str">
        <f t="shared" si="76"/>
        <v>OK</v>
      </c>
      <c r="AL692" t="str">
        <f t="shared" si="71"/>
        <v>OK</v>
      </c>
      <c r="AM692" t="str">
        <f t="shared" si="72"/>
        <v>OK</v>
      </c>
      <c r="AN692" s="1">
        <f>IF(AF692=0,0,AH692/AF692)</f>
        <v>0.88888888888888884</v>
      </c>
      <c r="AO692" s="1">
        <f t="shared" si="73"/>
        <v>0.77777777777777779</v>
      </c>
      <c r="AP692" s="1">
        <f t="shared" si="74"/>
        <v>0.22222222222222221</v>
      </c>
      <c r="AQ692" s="1">
        <f t="shared" si="75"/>
        <v>0.55555555555555558</v>
      </c>
    </row>
    <row r="693" spans="1:43"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70"/>
        <v>OK</v>
      </c>
      <c r="AK693" t="str">
        <f t="shared" si="76"/>
        <v>OK</v>
      </c>
      <c r="AL693" t="str">
        <f t="shared" si="71"/>
        <v>OK</v>
      </c>
      <c r="AM693" t="str">
        <f t="shared" si="72"/>
        <v>OK</v>
      </c>
      <c r="AN693" s="1">
        <f>IF(AF693=0,0,AH693/AF693)</f>
        <v>0</v>
      </c>
      <c r="AO693" s="1">
        <f t="shared" si="73"/>
        <v>1</v>
      </c>
      <c r="AP693" s="1">
        <f t="shared" si="74"/>
        <v>2</v>
      </c>
      <c r="AQ693" s="1">
        <f t="shared" si="75"/>
        <v>0</v>
      </c>
    </row>
    <row r="694" spans="1:43"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70"/>
        <v>OK</v>
      </c>
      <c r="AK694" t="str">
        <f t="shared" si="76"/>
        <v>OK</v>
      </c>
      <c r="AL694" t="str">
        <f t="shared" si="71"/>
        <v>OK</v>
      </c>
      <c r="AM694" t="str">
        <f t="shared" si="72"/>
        <v>OK</v>
      </c>
      <c r="AN694" s="1">
        <f>IF(AF694=0,0,AH694/AF694)</f>
        <v>0.75</v>
      </c>
      <c r="AO694" s="1">
        <f t="shared" si="73"/>
        <v>0.875</v>
      </c>
      <c r="AP694" s="1">
        <f t="shared" si="74"/>
        <v>0.25</v>
      </c>
      <c r="AQ694" s="1">
        <f t="shared" si="75"/>
        <v>0.375</v>
      </c>
    </row>
    <row r="695" spans="1:43"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70"/>
        <v>OK</v>
      </c>
      <c r="AK695" t="str">
        <f t="shared" si="76"/>
        <v>OK</v>
      </c>
      <c r="AL695" t="str">
        <f t="shared" si="71"/>
        <v>OK</v>
      </c>
      <c r="AM695" t="str">
        <f t="shared" si="72"/>
        <v>OK</v>
      </c>
      <c r="AN695" s="1">
        <f>IF(AF695=0,0,AH695/AF695)</f>
        <v>0.1875</v>
      </c>
      <c r="AO695" s="1">
        <f t="shared" si="73"/>
        <v>0.4375</v>
      </c>
      <c r="AP695" s="1">
        <f t="shared" si="74"/>
        <v>0.375</v>
      </c>
      <c r="AQ695" s="1">
        <f t="shared" si="75"/>
        <v>0.4375</v>
      </c>
    </row>
    <row r="696" spans="1:43"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70"/>
        <v>OK</v>
      </c>
      <c r="AK696" t="str">
        <f t="shared" si="76"/>
        <v>OK</v>
      </c>
      <c r="AL696" t="str">
        <f t="shared" si="71"/>
        <v>OK</v>
      </c>
      <c r="AM696" t="str">
        <f t="shared" si="72"/>
        <v>OK</v>
      </c>
      <c r="AN696" s="1">
        <f>IF(AF696=0,0,AH696/AF696)</f>
        <v>0.2</v>
      </c>
      <c r="AO696" s="1">
        <f t="shared" si="73"/>
        <v>0</v>
      </c>
      <c r="AP696" s="1">
        <f t="shared" si="74"/>
        <v>0.6</v>
      </c>
      <c r="AQ696" s="1">
        <f t="shared" si="75"/>
        <v>0.8</v>
      </c>
    </row>
    <row r="697" spans="1:43"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70"/>
        <v>OK</v>
      </c>
      <c r="AK697" t="str">
        <f t="shared" si="76"/>
        <v>OK</v>
      </c>
      <c r="AL697" t="str">
        <f t="shared" si="71"/>
        <v>OK</v>
      </c>
      <c r="AM697" t="str">
        <f t="shared" si="72"/>
        <v>OK</v>
      </c>
      <c r="AN697" s="1">
        <f>IF(AF697=0,0,AH697/AF697)</f>
        <v>0.7857142857142857</v>
      </c>
      <c r="AO697" s="1">
        <f t="shared" si="73"/>
        <v>7.1428571428571425E-2</v>
      </c>
      <c r="AP697" s="1">
        <f t="shared" si="74"/>
        <v>0.14285714285714285</v>
      </c>
      <c r="AQ697" s="1">
        <f t="shared" si="75"/>
        <v>0.5</v>
      </c>
    </row>
    <row r="698" spans="1:43"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70"/>
        <v>OK</v>
      </c>
      <c r="AK698" t="str">
        <f t="shared" si="76"/>
        <v>OK</v>
      </c>
      <c r="AL698" t="str">
        <f t="shared" si="71"/>
        <v>OK</v>
      </c>
      <c r="AM698" t="str">
        <f t="shared" si="72"/>
        <v>OK</v>
      </c>
      <c r="AN698" s="1">
        <f>IF(AF698=0,0,AH698/AF698)</f>
        <v>0</v>
      </c>
      <c r="AO698" s="1">
        <f t="shared" si="73"/>
        <v>0.77777777777777779</v>
      </c>
      <c r="AP698" s="1">
        <f t="shared" si="74"/>
        <v>0.55555555555555558</v>
      </c>
      <c r="AQ698" s="1">
        <f t="shared" si="75"/>
        <v>0.88888888888888884</v>
      </c>
    </row>
    <row r="699" spans="1:43"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70"/>
        <v>OK</v>
      </c>
      <c r="AK699" t="str">
        <f t="shared" si="76"/>
        <v>OK</v>
      </c>
      <c r="AL699" t="str">
        <f t="shared" si="71"/>
        <v>OK</v>
      </c>
      <c r="AM699" t="str">
        <f t="shared" si="72"/>
        <v>OK</v>
      </c>
      <c r="AN699" s="1">
        <f>IF(AF699=0,0,AH699/AF699)</f>
        <v>0</v>
      </c>
      <c r="AO699" s="1">
        <f t="shared" si="73"/>
        <v>0.33333333333333331</v>
      </c>
      <c r="AP699" s="1">
        <f t="shared" si="74"/>
        <v>1.6666666666666667</v>
      </c>
      <c r="AQ699" s="1">
        <f t="shared" si="75"/>
        <v>0.66666666666666663</v>
      </c>
    </row>
    <row r="700" spans="1:43"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70"/>
        <v>OK</v>
      </c>
      <c r="AK700" t="str">
        <f t="shared" si="76"/>
        <v>OK</v>
      </c>
      <c r="AL700" t="str">
        <f t="shared" si="71"/>
        <v>OK</v>
      </c>
      <c r="AM700" t="str">
        <f t="shared" si="72"/>
        <v>OK</v>
      </c>
      <c r="AN700" s="1">
        <f>IF(AF700=0,0,AH700/AF700)</f>
        <v>0.2</v>
      </c>
      <c r="AO700" s="1">
        <f t="shared" si="73"/>
        <v>0.4</v>
      </c>
      <c r="AP700" s="1">
        <f t="shared" si="74"/>
        <v>0.6</v>
      </c>
      <c r="AQ700" s="1">
        <f t="shared" si="75"/>
        <v>0</v>
      </c>
    </row>
    <row r="701" spans="1:43"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70"/>
        <v>OK</v>
      </c>
      <c r="AK701" t="str">
        <f t="shared" si="76"/>
        <v>OK</v>
      </c>
      <c r="AL701" t="str">
        <f t="shared" si="71"/>
        <v>OK</v>
      </c>
      <c r="AM701" t="str">
        <f t="shared" si="72"/>
        <v>OK</v>
      </c>
      <c r="AN701" s="1">
        <f>IF(AF701=0,0,AH701/AF701)</f>
        <v>0.77777777777777779</v>
      </c>
      <c r="AO701" s="1">
        <f t="shared" si="73"/>
        <v>0.88888888888888884</v>
      </c>
      <c r="AP701" s="1">
        <f t="shared" si="74"/>
        <v>0.22222222222222221</v>
      </c>
      <c r="AQ701" s="1">
        <f t="shared" si="75"/>
        <v>0.88888888888888884</v>
      </c>
    </row>
    <row r="702" spans="1:43"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70"/>
        <v>OK</v>
      </c>
      <c r="AK702" t="str">
        <f t="shared" si="76"/>
        <v>OK</v>
      </c>
      <c r="AL702" t="str">
        <f t="shared" si="71"/>
        <v>OK</v>
      </c>
      <c r="AM702" t="str">
        <f t="shared" si="72"/>
        <v>OK</v>
      </c>
      <c r="AN702" s="1">
        <f>IF(AF702=0,0,AH702/AF702)</f>
        <v>0</v>
      </c>
      <c r="AO702" s="1">
        <f t="shared" si="73"/>
        <v>0</v>
      </c>
      <c r="AP702" s="1">
        <f t="shared" si="74"/>
        <v>4</v>
      </c>
      <c r="AQ702" s="1">
        <f t="shared" si="75"/>
        <v>0</v>
      </c>
    </row>
    <row r="703" spans="1:43"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70"/>
        <v>OK</v>
      </c>
      <c r="AK703" t="str">
        <f t="shared" si="76"/>
        <v>OK</v>
      </c>
      <c r="AL703" t="str">
        <f t="shared" si="71"/>
        <v>OK</v>
      </c>
      <c r="AM703" t="str">
        <f t="shared" si="72"/>
        <v>OK</v>
      </c>
      <c r="AN703" s="1">
        <f>IF(AF703=0,0,AH703/AF703)</f>
        <v>0.88235294117647056</v>
      </c>
      <c r="AO703" s="1">
        <f t="shared" si="73"/>
        <v>0.76470588235294112</v>
      </c>
      <c r="AP703" s="1">
        <f t="shared" si="74"/>
        <v>0.17647058823529413</v>
      </c>
      <c r="AQ703" s="1">
        <f t="shared" si="75"/>
        <v>0.11764705882352941</v>
      </c>
    </row>
    <row r="704" spans="1:43"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70"/>
        <v>OK</v>
      </c>
      <c r="AK704" t="str">
        <f t="shared" si="76"/>
        <v>OK</v>
      </c>
      <c r="AL704" t="str">
        <f t="shared" si="71"/>
        <v>OK</v>
      </c>
      <c r="AM704" t="str">
        <f t="shared" si="72"/>
        <v>OK</v>
      </c>
      <c r="AN704" s="1">
        <f>IF(AF704=0,0,AH704/AF704)</f>
        <v>0.875</v>
      </c>
      <c r="AO704" s="1">
        <f t="shared" si="73"/>
        <v>0.5</v>
      </c>
      <c r="AP704" s="1">
        <f t="shared" si="74"/>
        <v>0.25</v>
      </c>
      <c r="AQ704" s="1">
        <f t="shared" si="75"/>
        <v>0.875</v>
      </c>
    </row>
    <row r="705" spans="1:43"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70"/>
        <v>OK</v>
      </c>
      <c r="AK705" t="str">
        <f t="shared" si="76"/>
        <v>OK</v>
      </c>
      <c r="AL705" t="str">
        <f t="shared" si="71"/>
        <v>OK</v>
      </c>
      <c r="AM705" t="str">
        <f t="shared" si="72"/>
        <v>OK</v>
      </c>
      <c r="AN705" s="1">
        <f>IF(AF705=0,0,AH705/AF705)</f>
        <v>0.2</v>
      </c>
      <c r="AO705" s="1">
        <f t="shared" si="73"/>
        <v>0.6</v>
      </c>
      <c r="AP705" s="1">
        <f t="shared" si="74"/>
        <v>0.2</v>
      </c>
      <c r="AQ705" s="1">
        <f t="shared" si="75"/>
        <v>0.6</v>
      </c>
    </row>
    <row r="706" spans="1:43"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si="70"/>
        <v>OK</v>
      </c>
      <c r="AK706" t="str">
        <f t="shared" si="76"/>
        <v>OK</v>
      </c>
      <c r="AL706" t="str">
        <f t="shared" si="71"/>
        <v>OK</v>
      </c>
      <c r="AM706" t="str">
        <f t="shared" si="72"/>
        <v>OK</v>
      </c>
      <c r="AN706" s="1">
        <f>IF(AF706=0,0,AH706/AF706)</f>
        <v>0</v>
      </c>
      <c r="AO706" s="1">
        <f t="shared" si="73"/>
        <v>0.9</v>
      </c>
      <c r="AP706" s="1">
        <f t="shared" si="74"/>
        <v>0.2</v>
      </c>
      <c r="AQ706" s="1">
        <f t="shared" si="75"/>
        <v>0.8</v>
      </c>
    </row>
    <row r="707" spans="1:43"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ref="AJ707:AJ770" si="77">IF(AF707&lt;=AC707, "OK", "ERROR")</f>
        <v>OK</v>
      </c>
      <c r="AK707" t="str">
        <f t="shared" si="76"/>
        <v>OK</v>
      </c>
      <c r="AL707" t="str">
        <f t="shared" ref="AL707:AL770" si="78">IF(AG707&lt;=AF707,"OK","ERROR")</f>
        <v>OK</v>
      </c>
      <c r="AM707" t="str">
        <f t="shared" ref="AM707:AM770" si="79">IF(AI707&lt;=AF707,"OK","ERROR")</f>
        <v>OK</v>
      </c>
      <c r="AN707" s="1">
        <f>IF(AF707=0,0,AH707/AF707)</f>
        <v>0</v>
      </c>
      <c r="AO707" s="1">
        <f t="shared" ref="AO707:AO770" si="80">IF(AF707=0,0,AG707/AF707)</f>
        <v>0.875</v>
      </c>
      <c r="AP707" s="1">
        <f t="shared" ref="AP707:AP770" si="81">IF(AF707=0,0,AD707/AF707)</f>
        <v>0.375</v>
      </c>
      <c r="AQ707" s="1">
        <f t="shared" ref="AQ707:AQ770" si="82">IF(AF707=0,0,AI707/AF707)</f>
        <v>0.875</v>
      </c>
    </row>
    <row r="708" spans="1:43"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77"/>
        <v>OK</v>
      </c>
      <c r="AK708" t="str">
        <f t="shared" ref="AK708:AK771" si="83">IF(AH708&lt;=AF708,"OK", "ERROR")</f>
        <v>OK</v>
      </c>
      <c r="AL708" t="str">
        <f t="shared" si="78"/>
        <v>OK</v>
      </c>
      <c r="AM708" t="str">
        <f t="shared" si="79"/>
        <v>OK</v>
      </c>
      <c r="AN708" s="1">
        <f>IF(AF708=0,0,AH708/AF708)</f>
        <v>0</v>
      </c>
      <c r="AO708" s="1">
        <f t="shared" si="80"/>
        <v>0</v>
      </c>
      <c r="AP708" s="1">
        <f t="shared" si="81"/>
        <v>2</v>
      </c>
      <c r="AQ708" s="1">
        <f t="shared" si="82"/>
        <v>0</v>
      </c>
    </row>
    <row r="709" spans="1:43"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77"/>
        <v>OK</v>
      </c>
      <c r="AK709" t="str">
        <f t="shared" si="83"/>
        <v>OK</v>
      </c>
      <c r="AL709" t="str">
        <f t="shared" si="78"/>
        <v>OK</v>
      </c>
      <c r="AM709" t="str">
        <f t="shared" si="79"/>
        <v>OK</v>
      </c>
      <c r="AN709" s="1">
        <f>IF(AF709=0,0,AH709/AF709)</f>
        <v>0.10526315789473684</v>
      </c>
      <c r="AO709" s="1">
        <f t="shared" si="80"/>
        <v>0.52631578947368418</v>
      </c>
      <c r="AP709" s="1">
        <f t="shared" si="81"/>
        <v>0.15789473684210525</v>
      </c>
      <c r="AQ709" s="1">
        <f t="shared" si="82"/>
        <v>0.36842105263157893</v>
      </c>
    </row>
    <row r="710" spans="1:43"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77"/>
        <v>OK</v>
      </c>
      <c r="AK710" t="str">
        <f t="shared" si="83"/>
        <v>OK</v>
      </c>
      <c r="AL710" t="str">
        <f t="shared" si="78"/>
        <v>OK</v>
      </c>
      <c r="AM710" t="str">
        <f t="shared" si="79"/>
        <v>OK</v>
      </c>
      <c r="AN710" s="1">
        <f>IF(AF710=0,0,AH710/AF710)</f>
        <v>0</v>
      </c>
      <c r="AO710" s="1">
        <f t="shared" si="80"/>
        <v>1</v>
      </c>
      <c r="AP710" s="1">
        <f t="shared" si="81"/>
        <v>0.42857142857142855</v>
      </c>
      <c r="AQ710" s="1">
        <f t="shared" si="82"/>
        <v>1</v>
      </c>
    </row>
    <row r="711" spans="1:43"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77"/>
        <v>OK</v>
      </c>
      <c r="AK711" t="str">
        <f t="shared" si="83"/>
        <v>OK</v>
      </c>
      <c r="AL711" t="str">
        <f t="shared" si="78"/>
        <v>OK</v>
      </c>
      <c r="AM711" t="str">
        <f t="shared" si="79"/>
        <v>OK</v>
      </c>
      <c r="AN711" s="1">
        <f>IF(AF711=0,0,AH711/AF711)</f>
        <v>0.33333333333333331</v>
      </c>
      <c r="AO711" s="1">
        <f t="shared" si="80"/>
        <v>0.66666666666666663</v>
      </c>
      <c r="AP711" s="1">
        <f t="shared" si="81"/>
        <v>0</v>
      </c>
      <c r="AQ711" s="1">
        <f t="shared" si="82"/>
        <v>0.66666666666666663</v>
      </c>
    </row>
    <row r="712" spans="1:43"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77"/>
        <v>OK</v>
      </c>
      <c r="AK712" t="str">
        <f t="shared" si="83"/>
        <v>OK</v>
      </c>
      <c r="AL712" t="str">
        <f t="shared" si="78"/>
        <v>OK</v>
      </c>
      <c r="AM712" t="str">
        <f t="shared" si="79"/>
        <v>OK</v>
      </c>
      <c r="AN712" s="1">
        <f>IF(AF712=0,0,AH712/AF712)</f>
        <v>0.6</v>
      </c>
      <c r="AO712" s="1">
        <f t="shared" si="80"/>
        <v>0.8</v>
      </c>
      <c r="AP712" s="1">
        <f t="shared" si="81"/>
        <v>0.2</v>
      </c>
      <c r="AQ712" s="1">
        <f t="shared" si="82"/>
        <v>0</v>
      </c>
    </row>
    <row r="713" spans="1:43"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77"/>
        <v>OK</v>
      </c>
      <c r="AK713" t="str">
        <f t="shared" si="83"/>
        <v>OK</v>
      </c>
      <c r="AL713" t="str">
        <f t="shared" si="78"/>
        <v>OK</v>
      </c>
      <c r="AM713" t="str">
        <f t="shared" si="79"/>
        <v>OK</v>
      </c>
      <c r="AN713" s="1">
        <f>IF(AF713=0,0,AH713/AF713)</f>
        <v>0</v>
      </c>
      <c r="AO713" s="1">
        <f t="shared" si="80"/>
        <v>0</v>
      </c>
      <c r="AP713" s="1">
        <f t="shared" si="81"/>
        <v>0</v>
      </c>
      <c r="AQ713" s="1">
        <f t="shared" si="82"/>
        <v>0</v>
      </c>
    </row>
    <row r="714" spans="1:43"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77"/>
        <v>OK</v>
      </c>
      <c r="AK714" t="str">
        <f t="shared" si="83"/>
        <v>OK</v>
      </c>
      <c r="AL714" t="str">
        <f t="shared" si="78"/>
        <v>OK</v>
      </c>
      <c r="AM714" t="str">
        <f t="shared" si="79"/>
        <v>OK</v>
      </c>
      <c r="AN714" s="1">
        <f>IF(AF714=0,0,AH714/AF714)</f>
        <v>0</v>
      </c>
      <c r="AO714" s="1">
        <f t="shared" si="80"/>
        <v>0.66666666666666663</v>
      </c>
      <c r="AP714" s="1">
        <f t="shared" si="81"/>
        <v>1.3333333333333333</v>
      </c>
      <c r="AQ714" s="1">
        <f t="shared" si="82"/>
        <v>0.66666666666666663</v>
      </c>
    </row>
    <row r="715" spans="1:43"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77"/>
        <v>OK</v>
      </c>
      <c r="AK715" t="str">
        <f t="shared" si="83"/>
        <v>OK</v>
      </c>
      <c r="AL715" t="str">
        <f t="shared" si="78"/>
        <v>OK</v>
      </c>
      <c r="AM715" t="str">
        <f t="shared" si="79"/>
        <v>OK</v>
      </c>
      <c r="AN715" s="1">
        <f>IF(AF715=0,0,AH715/AF715)</f>
        <v>0</v>
      </c>
      <c r="AO715" s="1">
        <f t="shared" si="80"/>
        <v>0.6</v>
      </c>
      <c r="AP715" s="1">
        <f t="shared" si="81"/>
        <v>0.4</v>
      </c>
      <c r="AQ715" s="1">
        <f t="shared" si="82"/>
        <v>0.4</v>
      </c>
    </row>
    <row r="716" spans="1:43"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77"/>
        <v>OK</v>
      </c>
      <c r="AK716" t="str">
        <f t="shared" si="83"/>
        <v>OK</v>
      </c>
      <c r="AL716" t="str">
        <f t="shared" si="78"/>
        <v>OK</v>
      </c>
      <c r="AM716" t="str">
        <f t="shared" si="79"/>
        <v>OK</v>
      </c>
      <c r="AN716" s="1">
        <f>IF(AF716=0,0,AH716/AF716)</f>
        <v>0.2</v>
      </c>
      <c r="AO716" s="1">
        <f t="shared" si="80"/>
        <v>0.8</v>
      </c>
      <c r="AP716" s="1">
        <f t="shared" si="81"/>
        <v>0.2</v>
      </c>
      <c r="AQ716" s="1">
        <f t="shared" si="82"/>
        <v>0.6</v>
      </c>
    </row>
    <row r="717" spans="1:43"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77"/>
        <v>OK</v>
      </c>
      <c r="AK717" t="str">
        <f t="shared" si="83"/>
        <v>OK</v>
      </c>
      <c r="AL717" t="str">
        <f t="shared" si="78"/>
        <v>OK</v>
      </c>
      <c r="AM717" t="str">
        <f t="shared" si="79"/>
        <v>OK</v>
      </c>
      <c r="AN717" s="1">
        <f>IF(AF717=0,0,AH717/AF717)</f>
        <v>0.16666666666666666</v>
      </c>
      <c r="AO717" s="1">
        <f t="shared" si="80"/>
        <v>0.83333333333333337</v>
      </c>
      <c r="AP717" s="1">
        <f t="shared" si="81"/>
        <v>0.33333333333333331</v>
      </c>
      <c r="AQ717" s="1">
        <f t="shared" si="82"/>
        <v>0.33333333333333331</v>
      </c>
    </row>
    <row r="718" spans="1:43"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77"/>
        <v>OK</v>
      </c>
      <c r="AK718" t="str">
        <f t="shared" si="83"/>
        <v>OK</v>
      </c>
      <c r="AL718" t="str">
        <f t="shared" si="78"/>
        <v>OK</v>
      </c>
      <c r="AM718" t="str">
        <f t="shared" si="79"/>
        <v>OK</v>
      </c>
      <c r="AN718" s="1">
        <f>IF(AF718=0,0,AH718/AF718)</f>
        <v>0</v>
      </c>
      <c r="AO718" s="1">
        <f t="shared" si="80"/>
        <v>0.88888888888888884</v>
      </c>
      <c r="AP718" s="1">
        <f t="shared" si="81"/>
        <v>0.1111111111111111</v>
      </c>
      <c r="AQ718" s="1">
        <f t="shared" si="82"/>
        <v>0.61111111111111116</v>
      </c>
    </row>
    <row r="719" spans="1:43"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77"/>
        <v>OK</v>
      </c>
      <c r="AK719" t="str">
        <f t="shared" si="83"/>
        <v>OK</v>
      </c>
      <c r="AL719" t="str">
        <f t="shared" si="78"/>
        <v>OK</v>
      </c>
      <c r="AM719" t="str">
        <f t="shared" si="79"/>
        <v>OK</v>
      </c>
      <c r="AN719" s="1">
        <f>IF(AF719=0,0,AH719/AF719)</f>
        <v>1</v>
      </c>
      <c r="AO719" s="1">
        <f t="shared" si="80"/>
        <v>1</v>
      </c>
      <c r="AP719" s="1">
        <f t="shared" si="81"/>
        <v>1</v>
      </c>
      <c r="AQ719" s="1">
        <f t="shared" si="82"/>
        <v>1</v>
      </c>
    </row>
    <row r="720" spans="1:43"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77"/>
        <v>OK</v>
      </c>
      <c r="AK720" t="str">
        <f t="shared" si="83"/>
        <v>OK</v>
      </c>
      <c r="AL720" t="str">
        <f t="shared" si="78"/>
        <v>OK</v>
      </c>
      <c r="AM720" t="str">
        <f t="shared" si="79"/>
        <v>OK</v>
      </c>
      <c r="AN720" s="1">
        <f>IF(AF720=0,0,AH720/AF720)</f>
        <v>0</v>
      </c>
      <c r="AO720" s="1">
        <f t="shared" si="80"/>
        <v>0.88888888888888884</v>
      </c>
      <c r="AP720" s="1">
        <f t="shared" si="81"/>
        <v>0.22222222222222221</v>
      </c>
      <c r="AQ720" s="1">
        <f t="shared" si="82"/>
        <v>0.88888888888888884</v>
      </c>
    </row>
    <row r="721" spans="1:43"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77"/>
        <v>OK</v>
      </c>
      <c r="AK721" t="str">
        <f t="shared" si="83"/>
        <v>OK</v>
      </c>
      <c r="AL721" t="str">
        <f t="shared" si="78"/>
        <v>OK</v>
      </c>
      <c r="AM721" t="str">
        <f t="shared" si="79"/>
        <v>OK</v>
      </c>
      <c r="AN721" s="1">
        <f>IF(AF721=0,0,AH721/AF721)</f>
        <v>0</v>
      </c>
      <c r="AO721" s="1">
        <f t="shared" si="80"/>
        <v>0</v>
      </c>
      <c r="AP721" s="1">
        <f t="shared" si="81"/>
        <v>0</v>
      </c>
      <c r="AQ721" s="1">
        <f t="shared" si="82"/>
        <v>0.77777777777777779</v>
      </c>
    </row>
    <row r="722" spans="1:43"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77"/>
        <v>OK</v>
      </c>
      <c r="AK722" t="str">
        <f t="shared" si="83"/>
        <v>OK</v>
      </c>
      <c r="AL722" t="str">
        <f t="shared" si="78"/>
        <v>OK</v>
      </c>
      <c r="AM722" t="str">
        <f t="shared" si="79"/>
        <v>OK</v>
      </c>
      <c r="AN722" s="1">
        <f>IF(AF722=0,0,AH722/AF722)</f>
        <v>0</v>
      </c>
      <c r="AO722" s="1">
        <f t="shared" si="80"/>
        <v>0.4</v>
      </c>
      <c r="AP722" s="1">
        <f t="shared" si="81"/>
        <v>0.4</v>
      </c>
      <c r="AQ722" s="1">
        <f t="shared" si="82"/>
        <v>0.2</v>
      </c>
    </row>
    <row r="723" spans="1:43"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77"/>
        <v>OK</v>
      </c>
      <c r="AK723" t="str">
        <f t="shared" si="83"/>
        <v>OK</v>
      </c>
      <c r="AL723" t="str">
        <f t="shared" si="78"/>
        <v>OK</v>
      </c>
      <c r="AM723" t="str">
        <f t="shared" si="79"/>
        <v>OK</v>
      </c>
      <c r="AN723" s="1">
        <f>IF(AF723=0,0,AH723/AF723)</f>
        <v>8.3333333333333329E-2</v>
      </c>
      <c r="AO723" s="1">
        <f t="shared" si="80"/>
        <v>0.91666666666666663</v>
      </c>
      <c r="AP723" s="1">
        <f t="shared" si="81"/>
        <v>0.16666666666666666</v>
      </c>
      <c r="AQ723" s="1">
        <f t="shared" si="82"/>
        <v>0.41666666666666669</v>
      </c>
    </row>
    <row r="724" spans="1:43"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77"/>
        <v>OK</v>
      </c>
      <c r="AK724" t="str">
        <f t="shared" si="83"/>
        <v>OK</v>
      </c>
      <c r="AL724" t="str">
        <f t="shared" si="78"/>
        <v>OK</v>
      </c>
      <c r="AM724" t="str">
        <f t="shared" si="79"/>
        <v>OK</v>
      </c>
      <c r="AN724" s="1">
        <f>IF(AF724=0,0,AH724/AF724)</f>
        <v>0</v>
      </c>
      <c r="AO724" s="1">
        <f t="shared" si="80"/>
        <v>0.5</v>
      </c>
      <c r="AP724" s="1">
        <f t="shared" si="81"/>
        <v>0</v>
      </c>
      <c r="AQ724" s="1">
        <f t="shared" si="82"/>
        <v>1</v>
      </c>
    </row>
    <row r="725" spans="1:43"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77"/>
        <v>OK</v>
      </c>
      <c r="AK725" t="str">
        <f t="shared" si="83"/>
        <v>OK</v>
      </c>
      <c r="AL725" t="str">
        <f t="shared" si="78"/>
        <v>OK</v>
      </c>
      <c r="AM725" t="str">
        <f t="shared" si="79"/>
        <v>OK</v>
      </c>
      <c r="AN725" s="1">
        <f>IF(AF725=0,0,AH725/AF725)</f>
        <v>0</v>
      </c>
      <c r="AO725" s="1">
        <f t="shared" si="80"/>
        <v>0.875</v>
      </c>
      <c r="AP725" s="1">
        <f t="shared" si="81"/>
        <v>0.375</v>
      </c>
      <c r="AQ725" s="1">
        <f t="shared" si="82"/>
        <v>0.875</v>
      </c>
    </row>
    <row r="726" spans="1:43"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77"/>
        <v>OK</v>
      </c>
      <c r="AK726" t="str">
        <f t="shared" si="83"/>
        <v>OK</v>
      </c>
      <c r="AL726" t="str">
        <f t="shared" si="78"/>
        <v>OK</v>
      </c>
      <c r="AM726" t="str">
        <f t="shared" si="79"/>
        <v>OK</v>
      </c>
      <c r="AN726" s="1">
        <f>IF(AF726=0,0,AH726/AF726)</f>
        <v>0.75</v>
      </c>
      <c r="AO726" s="1">
        <f t="shared" si="80"/>
        <v>0.5</v>
      </c>
      <c r="AP726" s="1">
        <f t="shared" si="81"/>
        <v>1.5</v>
      </c>
      <c r="AQ726" s="1">
        <f t="shared" si="82"/>
        <v>0.5</v>
      </c>
    </row>
    <row r="727" spans="1:43"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77"/>
        <v>OK</v>
      </c>
      <c r="AK727" t="str">
        <f t="shared" si="83"/>
        <v>OK</v>
      </c>
      <c r="AL727" t="str">
        <f t="shared" si="78"/>
        <v>OK</v>
      </c>
      <c r="AM727" t="str">
        <f t="shared" si="79"/>
        <v>OK</v>
      </c>
      <c r="AN727" s="1">
        <f>IF(AF727=0,0,AH727/AF727)</f>
        <v>0</v>
      </c>
      <c r="AO727" s="1">
        <f t="shared" si="80"/>
        <v>0.5</v>
      </c>
      <c r="AP727" s="1">
        <f t="shared" si="81"/>
        <v>0.5</v>
      </c>
      <c r="AQ727" s="1">
        <f t="shared" si="82"/>
        <v>0.5</v>
      </c>
    </row>
    <row r="728" spans="1:43"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77"/>
        <v>OK</v>
      </c>
      <c r="AK728" t="str">
        <f t="shared" si="83"/>
        <v>OK</v>
      </c>
      <c r="AL728" t="str">
        <f t="shared" si="78"/>
        <v>OK</v>
      </c>
      <c r="AM728" t="str">
        <f t="shared" si="79"/>
        <v>OK</v>
      </c>
      <c r="AN728" s="1">
        <f>IF(AF728=0,0,AH728/AF728)</f>
        <v>0</v>
      </c>
      <c r="AO728" s="1">
        <f t="shared" si="80"/>
        <v>0.75</v>
      </c>
      <c r="AP728" s="1">
        <f t="shared" si="81"/>
        <v>0.25</v>
      </c>
      <c r="AQ728" s="1">
        <f t="shared" si="82"/>
        <v>0.75</v>
      </c>
    </row>
    <row r="729" spans="1:43"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77"/>
        <v>OK</v>
      </c>
      <c r="AK729" t="str">
        <f t="shared" si="83"/>
        <v>OK</v>
      </c>
      <c r="AL729" t="str">
        <f t="shared" si="78"/>
        <v>OK</v>
      </c>
      <c r="AM729" t="str">
        <f t="shared" si="79"/>
        <v>OK</v>
      </c>
      <c r="AN729" s="1">
        <f>IF(AF729=0,0,AH729/AF729)</f>
        <v>0</v>
      </c>
      <c r="AO729" s="1">
        <f t="shared" si="80"/>
        <v>0</v>
      </c>
      <c r="AP729" s="1">
        <f t="shared" si="81"/>
        <v>0</v>
      </c>
      <c r="AQ729" s="1">
        <f t="shared" si="82"/>
        <v>0</v>
      </c>
    </row>
    <row r="730" spans="1:43"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77"/>
        <v>OK</v>
      </c>
      <c r="AK730" t="str">
        <f t="shared" si="83"/>
        <v>OK</v>
      </c>
      <c r="AL730" t="str">
        <f t="shared" si="78"/>
        <v>OK</v>
      </c>
      <c r="AM730" t="str">
        <f t="shared" si="79"/>
        <v>OK</v>
      </c>
      <c r="AN730" s="1">
        <f>IF(AF730=0,0,AH730/AF730)</f>
        <v>0</v>
      </c>
      <c r="AO730" s="1">
        <f t="shared" si="80"/>
        <v>0.7</v>
      </c>
      <c r="AP730" s="1">
        <f t="shared" si="81"/>
        <v>0.2</v>
      </c>
      <c r="AQ730" s="1">
        <f t="shared" si="82"/>
        <v>0.8</v>
      </c>
    </row>
    <row r="731" spans="1:43"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77"/>
        <v>OK</v>
      </c>
      <c r="AK731" t="str">
        <f t="shared" si="83"/>
        <v>OK</v>
      </c>
      <c r="AL731" t="str">
        <f t="shared" si="78"/>
        <v>OK</v>
      </c>
      <c r="AM731" t="str">
        <f t="shared" si="79"/>
        <v>OK</v>
      </c>
      <c r="AN731" s="1">
        <f>IF(AF731=0,0,AH731/AF731)</f>
        <v>0.625</v>
      </c>
      <c r="AO731" s="1">
        <f t="shared" si="80"/>
        <v>0.625</v>
      </c>
      <c r="AP731" s="1">
        <f t="shared" si="81"/>
        <v>0.1875</v>
      </c>
      <c r="AQ731" s="1">
        <f t="shared" si="82"/>
        <v>6.25E-2</v>
      </c>
    </row>
    <row r="732" spans="1:43"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77"/>
        <v>OK</v>
      </c>
      <c r="AK732" t="str">
        <f t="shared" si="83"/>
        <v>OK</v>
      </c>
      <c r="AL732" t="str">
        <f t="shared" si="78"/>
        <v>OK</v>
      </c>
      <c r="AM732" t="str">
        <f t="shared" si="79"/>
        <v>OK</v>
      </c>
      <c r="AN732" s="1">
        <f>IF(AF732=0,0,AH732/AF732)</f>
        <v>0.125</v>
      </c>
      <c r="AO732" s="1">
        <f t="shared" si="80"/>
        <v>0.875</v>
      </c>
      <c r="AP732" s="1">
        <f t="shared" si="81"/>
        <v>0.5</v>
      </c>
      <c r="AQ732" s="1">
        <f t="shared" si="82"/>
        <v>0.875</v>
      </c>
    </row>
    <row r="733" spans="1:43"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77"/>
        <v>OK</v>
      </c>
      <c r="AK733" t="str">
        <f t="shared" si="83"/>
        <v>OK</v>
      </c>
      <c r="AL733" t="str">
        <f t="shared" si="78"/>
        <v>OK</v>
      </c>
      <c r="AM733" t="str">
        <f t="shared" si="79"/>
        <v>OK</v>
      </c>
      <c r="AN733" s="1">
        <f>IF(AF733=0,0,AH733/AF733)</f>
        <v>0</v>
      </c>
      <c r="AO733" s="1">
        <f t="shared" si="80"/>
        <v>0</v>
      </c>
      <c r="AP733" s="1">
        <f t="shared" si="81"/>
        <v>2</v>
      </c>
      <c r="AQ733" s="1">
        <f t="shared" si="82"/>
        <v>0</v>
      </c>
    </row>
    <row r="734" spans="1:43"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77"/>
        <v>OK</v>
      </c>
      <c r="AK734" t="str">
        <f t="shared" si="83"/>
        <v>OK</v>
      </c>
      <c r="AL734" t="str">
        <f t="shared" si="78"/>
        <v>OK</v>
      </c>
      <c r="AM734" t="str">
        <f t="shared" si="79"/>
        <v>OK</v>
      </c>
      <c r="AN734" s="1">
        <f>IF(AF734=0,0,AH734/AF734)</f>
        <v>0.33333333333333331</v>
      </c>
      <c r="AO734" s="1">
        <f t="shared" si="80"/>
        <v>0.66666666666666663</v>
      </c>
      <c r="AP734" s="1">
        <f t="shared" si="81"/>
        <v>1</v>
      </c>
      <c r="AQ734" s="1">
        <f t="shared" si="82"/>
        <v>0.66666666666666663</v>
      </c>
    </row>
    <row r="735" spans="1:43"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77"/>
        <v>OK</v>
      </c>
      <c r="AK735" t="str">
        <f t="shared" si="83"/>
        <v>OK</v>
      </c>
      <c r="AL735" t="str">
        <f t="shared" si="78"/>
        <v>OK</v>
      </c>
      <c r="AM735" t="str">
        <f t="shared" si="79"/>
        <v>OK</v>
      </c>
      <c r="AN735" s="1">
        <f>IF(AF735=0,0,AH735/AF735)</f>
        <v>0.125</v>
      </c>
      <c r="AO735" s="1">
        <f t="shared" si="80"/>
        <v>0.875</v>
      </c>
      <c r="AP735" s="1">
        <f t="shared" si="81"/>
        <v>0.25</v>
      </c>
      <c r="AQ735" s="1">
        <f t="shared" si="82"/>
        <v>0.375</v>
      </c>
    </row>
    <row r="736" spans="1:43"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77"/>
        <v>OK</v>
      </c>
      <c r="AK736" t="str">
        <f t="shared" si="83"/>
        <v>OK</v>
      </c>
      <c r="AL736" t="str">
        <f t="shared" si="78"/>
        <v>OK</v>
      </c>
      <c r="AM736" t="str">
        <f t="shared" si="79"/>
        <v>OK</v>
      </c>
      <c r="AN736" s="1">
        <f>IF(AF736=0,0,AH736/AF736)</f>
        <v>0.25</v>
      </c>
      <c r="AO736" s="1">
        <f t="shared" si="80"/>
        <v>0.75</v>
      </c>
      <c r="AP736" s="1">
        <f t="shared" si="81"/>
        <v>0.75</v>
      </c>
      <c r="AQ736" s="1">
        <f t="shared" si="82"/>
        <v>0.25</v>
      </c>
    </row>
    <row r="737" spans="1:43"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77"/>
        <v>OK</v>
      </c>
      <c r="AK737" t="str">
        <f t="shared" si="83"/>
        <v>OK</v>
      </c>
      <c r="AL737" t="str">
        <f t="shared" si="78"/>
        <v>OK</v>
      </c>
      <c r="AM737" t="str">
        <f t="shared" si="79"/>
        <v>OK</v>
      </c>
      <c r="AN737" s="1">
        <f>IF(AF737=0,0,AH737/AF737)</f>
        <v>1</v>
      </c>
      <c r="AO737" s="1">
        <f t="shared" si="80"/>
        <v>1</v>
      </c>
      <c r="AP737" s="1">
        <f t="shared" si="81"/>
        <v>0</v>
      </c>
      <c r="AQ737" s="1">
        <f t="shared" si="82"/>
        <v>1</v>
      </c>
    </row>
    <row r="738" spans="1:43"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77"/>
        <v>OK</v>
      </c>
      <c r="AK738" t="str">
        <f t="shared" si="83"/>
        <v>OK</v>
      </c>
      <c r="AL738" t="str">
        <f t="shared" si="78"/>
        <v>OK</v>
      </c>
      <c r="AM738" t="str">
        <f t="shared" si="79"/>
        <v>OK</v>
      </c>
      <c r="AN738" s="1">
        <f>IF(AF738=0,0,AH738/AF738)</f>
        <v>0.26666666666666666</v>
      </c>
      <c r="AO738" s="1">
        <f t="shared" si="80"/>
        <v>0.73333333333333328</v>
      </c>
      <c r="AP738" s="1">
        <f t="shared" si="81"/>
        <v>0.2</v>
      </c>
      <c r="AQ738" s="1">
        <f t="shared" si="82"/>
        <v>0.53333333333333333</v>
      </c>
    </row>
    <row r="739" spans="1:43"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77"/>
        <v>OK</v>
      </c>
      <c r="AK739" t="str">
        <f t="shared" si="83"/>
        <v>OK</v>
      </c>
      <c r="AL739" t="str">
        <f t="shared" si="78"/>
        <v>OK</v>
      </c>
      <c r="AM739" t="str">
        <f t="shared" si="79"/>
        <v>OK</v>
      </c>
      <c r="AN739" s="1">
        <f>IF(AF739=0,0,AH739/AF739)</f>
        <v>1</v>
      </c>
      <c r="AO739" s="1">
        <f t="shared" si="80"/>
        <v>1</v>
      </c>
      <c r="AP739" s="1">
        <f t="shared" si="81"/>
        <v>3</v>
      </c>
      <c r="AQ739" s="1">
        <f t="shared" si="82"/>
        <v>0.5</v>
      </c>
    </row>
    <row r="740" spans="1:43"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77"/>
        <v>OK</v>
      </c>
      <c r="AK740" t="str">
        <f t="shared" si="83"/>
        <v>OK</v>
      </c>
      <c r="AL740" t="str">
        <f t="shared" si="78"/>
        <v>OK</v>
      </c>
      <c r="AM740" t="str">
        <f t="shared" si="79"/>
        <v>OK</v>
      </c>
      <c r="AN740" s="1">
        <f>IF(AF740=0,0,AH740/AF740)</f>
        <v>0.52380952380952384</v>
      </c>
      <c r="AO740" s="1">
        <f t="shared" si="80"/>
        <v>0.2857142857142857</v>
      </c>
      <c r="AP740" s="1">
        <f t="shared" si="81"/>
        <v>0.14285714285714285</v>
      </c>
      <c r="AQ740" s="1">
        <f t="shared" si="82"/>
        <v>0.38095238095238093</v>
      </c>
    </row>
    <row r="741" spans="1:43"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77"/>
        <v>OK</v>
      </c>
      <c r="AK741" t="str">
        <f t="shared" si="83"/>
        <v>OK</v>
      </c>
      <c r="AL741" t="str">
        <f t="shared" si="78"/>
        <v>OK</v>
      </c>
      <c r="AM741" t="str">
        <f t="shared" si="79"/>
        <v>OK</v>
      </c>
      <c r="AN741" s="1">
        <f>IF(AF741=0,0,AH741/AF741)</f>
        <v>0.66666666666666663</v>
      </c>
      <c r="AO741" s="1">
        <f t="shared" si="80"/>
        <v>0.66666666666666663</v>
      </c>
      <c r="AP741" s="1">
        <f t="shared" si="81"/>
        <v>0.66666666666666663</v>
      </c>
      <c r="AQ741" s="1">
        <f t="shared" si="82"/>
        <v>0.66666666666666663</v>
      </c>
    </row>
    <row r="742" spans="1:43"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77"/>
        <v>OK</v>
      </c>
      <c r="AK742" t="str">
        <f t="shared" si="83"/>
        <v>OK</v>
      </c>
      <c r="AL742" t="str">
        <f t="shared" si="78"/>
        <v>OK</v>
      </c>
      <c r="AM742" t="str">
        <f t="shared" si="79"/>
        <v>OK</v>
      </c>
      <c r="AN742" s="1">
        <f>IF(AF742=0,0,AH742/AF742)</f>
        <v>0.33333333333333331</v>
      </c>
      <c r="AO742" s="1">
        <f t="shared" si="80"/>
        <v>0.66666666666666663</v>
      </c>
      <c r="AP742" s="1">
        <f t="shared" si="81"/>
        <v>1.3333333333333333</v>
      </c>
      <c r="AQ742" s="1">
        <f t="shared" si="82"/>
        <v>0.66666666666666663</v>
      </c>
    </row>
    <row r="743" spans="1:43"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77"/>
        <v>OK</v>
      </c>
      <c r="AK743" t="str">
        <f t="shared" si="83"/>
        <v>OK</v>
      </c>
      <c r="AL743" t="str">
        <f t="shared" si="78"/>
        <v>OK</v>
      </c>
      <c r="AM743" t="str">
        <f t="shared" si="79"/>
        <v>OK</v>
      </c>
      <c r="AN743" s="1">
        <f>IF(AF743=0,0,AH743/AF743)</f>
        <v>0</v>
      </c>
      <c r="AO743" s="1">
        <f t="shared" si="80"/>
        <v>0</v>
      </c>
      <c r="AP743" s="1">
        <f t="shared" si="81"/>
        <v>3</v>
      </c>
      <c r="AQ743" s="1">
        <f t="shared" si="82"/>
        <v>0</v>
      </c>
    </row>
    <row r="744" spans="1:43"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77"/>
        <v>OK</v>
      </c>
      <c r="AK744" t="str">
        <f t="shared" si="83"/>
        <v>OK</v>
      </c>
      <c r="AL744" t="str">
        <f t="shared" si="78"/>
        <v>OK</v>
      </c>
      <c r="AM744" t="str">
        <f t="shared" si="79"/>
        <v>OK</v>
      </c>
      <c r="AN744" s="1">
        <f>IF(AF744=0,0,AH744/AF744)</f>
        <v>0</v>
      </c>
      <c r="AO744" s="1">
        <f t="shared" si="80"/>
        <v>0</v>
      </c>
      <c r="AP744" s="1">
        <f t="shared" si="81"/>
        <v>5</v>
      </c>
      <c r="AQ744" s="1">
        <f t="shared" si="82"/>
        <v>0</v>
      </c>
    </row>
    <row r="745" spans="1:43"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77"/>
        <v>OK</v>
      </c>
      <c r="AK745" t="str">
        <f t="shared" si="83"/>
        <v>OK</v>
      </c>
      <c r="AL745" t="str">
        <f t="shared" si="78"/>
        <v>OK</v>
      </c>
      <c r="AM745" t="str">
        <f t="shared" si="79"/>
        <v>OK</v>
      </c>
      <c r="AN745" s="1">
        <f>IF(AF745=0,0,AH745/AF745)</f>
        <v>0.8</v>
      </c>
      <c r="AO745" s="1">
        <f t="shared" si="80"/>
        <v>0.6</v>
      </c>
      <c r="AP745" s="1">
        <f t="shared" si="81"/>
        <v>0.8</v>
      </c>
      <c r="AQ745" s="1">
        <f t="shared" si="82"/>
        <v>0.6</v>
      </c>
    </row>
    <row r="746" spans="1:43"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77"/>
        <v>OK</v>
      </c>
      <c r="AK746" t="str">
        <f t="shared" si="83"/>
        <v>OK</v>
      </c>
      <c r="AL746" t="str">
        <f t="shared" si="78"/>
        <v>OK</v>
      </c>
      <c r="AM746" t="str">
        <f t="shared" si="79"/>
        <v>OK</v>
      </c>
      <c r="AN746" s="1">
        <f>IF(AF746=0,0,AH746/AF746)</f>
        <v>0</v>
      </c>
      <c r="AO746" s="1">
        <f t="shared" si="80"/>
        <v>0</v>
      </c>
      <c r="AP746" s="1">
        <f t="shared" si="81"/>
        <v>2</v>
      </c>
      <c r="AQ746" s="1">
        <f t="shared" si="82"/>
        <v>0</v>
      </c>
    </row>
    <row r="747" spans="1:43"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77"/>
        <v>OK</v>
      </c>
      <c r="AK747" t="str">
        <f t="shared" si="83"/>
        <v>OK</v>
      </c>
      <c r="AL747" t="str">
        <f t="shared" si="78"/>
        <v>OK</v>
      </c>
      <c r="AM747" t="str">
        <f t="shared" si="79"/>
        <v>OK</v>
      </c>
      <c r="AN747" s="1">
        <f>IF(AF747=0,0,AH747/AF747)</f>
        <v>0.75</v>
      </c>
      <c r="AO747" s="1">
        <f t="shared" si="80"/>
        <v>0.875</v>
      </c>
      <c r="AP747" s="1">
        <f t="shared" si="81"/>
        <v>0.375</v>
      </c>
      <c r="AQ747" s="1">
        <f t="shared" si="82"/>
        <v>0.875</v>
      </c>
    </row>
    <row r="748" spans="1:43"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77"/>
        <v>OK</v>
      </c>
      <c r="AK748" t="str">
        <f t="shared" si="83"/>
        <v>OK</v>
      </c>
      <c r="AL748" t="str">
        <f t="shared" si="78"/>
        <v>OK</v>
      </c>
      <c r="AM748" t="str">
        <f t="shared" si="79"/>
        <v>OK</v>
      </c>
      <c r="AN748" s="1">
        <f>IF(AF748=0,0,AH748/AF748)</f>
        <v>0.23809523809523808</v>
      </c>
      <c r="AO748" s="1">
        <f t="shared" si="80"/>
        <v>0.76190476190476186</v>
      </c>
      <c r="AP748" s="1">
        <f t="shared" si="81"/>
        <v>0.14285714285714285</v>
      </c>
      <c r="AQ748" s="1">
        <f t="shared" si="82"/>
        <v>0.47619047619047616</v>
      </c>
    </row>
    <row r="749" spans="1:43"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77"/>
        <v>OK</v>
      </c>
      <c r="AK749" t="str">
        <f t="shared" si="83"/>
        <v>OK</v>
      </c>
      <c r="AL749" t="str">
        <f t="shared" si="78"/>
        <v>OK</v>
      </c>
      <c r="AM749" t="str">
        <f t="shared" si="79"/>
        <v>OK</v>
      </c>
      <c r="AN749" s="1">
        <f>IF(AF749=0,0,AH749/AF749)</f>
        <v>0</v>
      </c>
      <c r="AO749" s="1">
        <f t="shared" si="80"/>
        <v>0</v>
      </c>
      <c r="AP749" s="1">
        <f t="shared" si="81"/>
        <v>1</v>
      </c>
      <c r="AQ749" s="1">
        <f t="shared" si="82"/>
        <v>0</v>
      </c>
    </row>
    <row r="750" spans="1:43"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77"/>
        <v>OK</v>
      </c>
      <c r="AK750" t="str">
        <f t="shared" si="83"/>
        <v>OK</v>
      </c>
      <c r="AL750" t="str">
        <f t="shared" si="78"/>
        <v>OK</v>
      </c>
      <c r="AM750" t="str">
        <f t="shared" si="79"/>
        <v>OK</v>
      </c>
      <c r="AN750" s="1">
        <f>IF(AF750=0,0,AH750/AF750)</f>
        <v>1</v>
      </c>
      <c r="AO750" s="1">
        <f t="shared" si="80"/>
        <v>1</v>
      </c>
      <c r="AP750" s="1">
        <f t="shared" si="81"/>
        <v>3</v>
      </c>
      <c r="AQ750" s="1">
        <f t="shared" si="82"/>
        <v>1</v>
      </c>
    </row>
    <row r="751" spans="1:43"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77"/>
        <v>OK</v>
      </c>
      <c r="AK751" t="str">
        <f t="shared" si="83"/>
        <v>OK</v>
      </c>
      <c r="AL751" t="str">
        <f t="shared" si="78"/>
        <v>OK</v>
      </c>
      <c r="AM751" t="str">
        <f t="shared" si="79"/>
        <v>OK</v>
      </c>
      <c r="AN751" s="1">
        <f>IF(AF751=0,0,AH751/AF751)</f>
        <v>0.1875</v>
      </c>
      <c r="AO751" s="1">
        <f t="shared" si="80"/>
        <v>0.4375</v>
      </c>
      <c r="AP751" s="1">
        <f t="shared" si="81"/>
        <v>9.375E-2</v>
      </c>
      <c r="AQ751" s="1">
        <f t="shared" si="82"/>
        <v>0.28125</v>
      </c>
    </row>
    <row r="752" spans="1:43"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77"/>
        <v>OK</v>
      </c>
      <c r="AK752" t="str">
        <f t="shared" si="83"/>
        <v>OK</v>
      </c>
      <c r="AL752" t="str">
        <f t="shared" si="78"/>
        <v>OK</v>
      </c>
      <c r="AM752" t="str">
        <f t="shared" si="79"/>
        <v>OK</v>
      </c>
      <c r="AN752" s="1">
        <f>IF(AF752=0,0,AH752/AF752)</f>
        <v>0.91666666666666663</v>
      </c>
      <c r="AO752" s="1">
        <f t="shared" si="80"/>
        <v>0.91666666666666663</v>
      </c>
      <c r="AP752" s="1">
        <f t="shared" si="81"/>
        <v>0.16666666666666666</v>
      </c>
      <c r="AQ752" s="1">
        <f t="shared" si="82"/>
        <v>0.91666666666666663</v>
      </c>
    </row>
    <row r="753" spans="1:43"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77"/>
        <v>OK</v>
      </c>
      <c r="AK753" t="str">
        <f t="shared" si="83"/>
        <v>OK</v>
      </c>
      <c r="AL753" t="str">
        <f t="shared" si="78"/>
        <v>OK</v>
      </c>
      <c r="AM753" t="str">
        <f t="shared" si="79"/>
        <v>OK</v>
      </c>
      <c r="AN753" s="1">
        <f>IF(AF753=0,0,AH753/AF753)</f>
        <v>0</v>
      </c>
      <c r="AO753" s="1">
        <f t="shared" si="80"/>
        <v>0.3888888888888889</v>
      </c>
      <c r="AP753" s="1">
        <f t="shared" si="81"/>
        <v>0.16666666666666666</v>
      </c>
      <c r="AQ753" s="1">
        <f t="shared" si="82"/>
        <v>0.72222222222222221</v>
      </c>
    </row>
    <row r="754" spans="1:43"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77"/>
        <v>OK</v>
      </c>
      <c r="AK754" t="str">
        <f t="shared" si="83"/>
        <v>OK</v>
      </c>
      <c r="AL754" t="str">
        <f t="shared" si="78"/>
        <v>OK</v>
      </c>
      <c r="AM754" t="str">
        <f t="shared" si="79"/>
        <v>OK</v>
      </c>
      <c r="AN754" s="1">
        <f>IF(AF754=0,0,AH754/AF754)</f>
        <v>0.88235294117647056</v>
      </c>
      <c r="AO754" s="1">
        <f t="shared" si="80"/>
        <v>0.76470588235294112</v>
      </c>
      <c r="AP754" s="1">
        <f t="shared" si="81"/>
        <v>5.8823529411764705E-2</v>
      </c>
      <c r="AQ754" s="1">
        <f t="shared" si="82"/>
        <v>0.82352941176470584</v>
      </c>
    </row>
    <row r="755" spans="1:43"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77"/>
        <v>OK</v>
      </c>
      <c r="AK755" t="str">
        <f t="shared" si="83"/>
        <v>OK</v>
      </c>
      <c r="AL755" t="str">
        <f t="shared" si="78"/>
        <v>OK</v>
      </c>
      <c r="AM755" t="str">
        <f t="shared" si="79"/>
        <v>OK</v>
      </c>
      <c r="AN755" s="1">
        <f>IF(AF755=0,0,AH755/AF755)</f>
        <v>9.5238095238095233E-2</v>
      </c>
      <c r="AO755" s="1">
        <f t="shared" si="80"/>
        <v>0.2857142857142857</v>
      </c>
      <c r="AP755" s="1">
        <f t="shared" si="81"/>
        <v>9.5238095238095233E-2</v>
      </c>
      <c r="AQ755" s="1">
        <f t="shared" si="82"/>
        <v>0.38095238095238093</v>
      </c>
    </row>
    <row r="756" spans="1:43"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77"/>
        <v>OK</v>
      </c>
      <c r="AK756" t="str">
        <f t="shared" si="83"/>
        <v>OK</v>
      </c>
      <c r="AL756" t="str">
        <f t="shared" si="78"/>
        <v>OK</v>
      </c>
      <c r="AM756" t="str">
        <f t="shared" si="79"/>
        <v>OK</v>
      </c>
      <c r="AN756" s="1">
        <f>IF(AF756=0,0,AH756/AF756)</f>
        <v>1</v>
      </c>
      <c r="AO756" s="1">
        <f t="shared" si="80"/>
        <v>1</v>
      </c>
      <c r="AP756" s="1">
        <f t="shared" si="81"/>
        <v>1</v>
      </c>
      <c r="AQ756" s="1">
        <f t="shared" si="82"/>
        <v>1</v>
      </c>
    </row>
    <row r="757" spans="1:43"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77"/>
        <v>OK</v>
      </c>
      <c r="AK757" t="str">
        <f t="shared" si="83"/>
        <v>OK</v>
      </c>
      <c r="AL757" t="str">
        <f t="shared" si="78"/>
        <v>OK</v>
      </c>
      <c r="AM757" t="str">
        <f t="shared" si="79"/>
        <v>OK</v>
      </c>
      <c r="AN757" s="1">
        <f>IF(AF757=0,0,AH757/AF757)</f>
        <v>0.1111111111111111</v>
      </c>
      <c r="AO757" s="1">
        <f t="shared" si="80"/>
        <v>0.33333333333333331</v>
      </c>
      <c r="AP757" s="1">
        <f t="shared" si="81"/>
        <v>0.44444444444444442</v>
      </c>
      <c r="AQ757" s="1">
        <f t="shared" si="82"/>
        <v>0.1111111111111111</v>
      </c>
    </row>
    <row r="758" spans="1:43"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77"/>
        <v>OK</v>
      </c>
      <c r="AK758" t="str">
        <f t="shared" si="83"/>
        <v>OK</v>
      </c>
      <c r="AL758" t="str">
        <f t="shared" si="78"/>
        <v>OK</v>
      </c>
      <c r="AM758" t="str">
        <f t="shared" si="79"/>
        <v>OK</v>
      </c>
      <c r="AN758" s="1">
        <f>IF(AF758=0,0,AH758/AF758)</f>
        <v>0.875</v>
      </c>
      <c r="AO758" s="1">
        <f t="shared" si="80"/>
        <v>0.875</v>
      </c>
      <c r="AP758" s="1">
        <f t="shared" si="81"/>
        <v>0.25</v>
      </c>
      <c r="AQ758" s="1">
        <f t="shared" si="82"/>
        <v>0.875</v>
      </c>
    </row>
    <row r="759" spans="1:43"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77"/>
        <v>OK</v>
      </c>
      <c r="AK759" t="str">
        <f t="shared" si="83"/>
        <v>OK</v>
      </c>
      <c r="AL759" t="str">
        <f t="shared" si="78"/>
        <v>OK</v>
      </c>
      <c r="AM759" t="str">
        <f t="shared" si="79"/>
        <v>OK</v>
      </c>
      <c r="AN759" s="1">
        <f>IF(AF759=0,0,AH759/AF759)</f>
        <v>0</v>
      </c>
      <c r="AO759" s="1">
        <f t="shared" si="80"/>
        <v>6.6666666666666666E-2</v>
      </c>
      <c r="AP759" s="1">
        <f t="shared" si="81"/>
        <v>0.13333333333333333</v>
      </c>
      <c r="AQ759" s="1">
        <f t="shared" si="82"/>
        <v>0.6</v>
      </c>
    </row>
    <row r="760" spans="1:43"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77"/>
        <v>OK</v>
      </c>
      <c r="AK760" t="str">
        <f t="shared" si="83"/>
        <v>OK</v>
      </c>
      <c r="AL760" t="str">
        <f t="shared" si="78"/>
        <v>OK</v>
      </c>
      <c r="AM760" t="str">
        <f t="shared" si="79"/>
        <v>OK</v>
      </c>
      <c r="AN760" s="1">
        <f>IF(AF760=0,0,AH760/AF760)</f>
        <v>0</v>
      </c>
      <c r="AO760" s="1">
        <f t="shared" si="80"/>
        <v>0.66666666666666663</v>
      </c>
      <c r="AP760" s="1">
        <f t="shared" si="81"/>
        <v>0.16666666666666666</v>
      </c>
      <c r="AQ760" s="1">
        <f t="shared" si="82"/>
        <v>0.66666666666666663</v>
      </c>
    </row>
    <row r="761" spans="1:43"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77"/>
        <v>OK</v>
      </c>
      <c r="AK761" t="str">
        <f t="shared" si="83"/>
        <v>OK</v>
      </c>
      <c r="AL761" t="str">
        <f t="shared" si="78"/>
        <v>OK</v>
      </c>
      <c r="AM761" t="str">
        <f t="shared" si="79"/>
        <v>OK</v>
      </c>
      <c r="AN761" s="1">
        <f>IF(AF761=0,0,AH761/AF761)</f>
        <v>0</v>
      </c>
      <c r="AO761" s="1">
        <f t="shared" si="80"/>
        <v>0.5</v>
      </c>
      <c r="AP761" s="1">
        <f t="shared" si="81"/>
        <v>0.5</v>
      </c>
      <c r="AQ761" s="1">
        <f t="shared" si="82"/>
        <v>0.66666666666666663</v>
      </c>
    </row>
    <row r="762" spans="1:43"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77"/>
        <v>OK</v>
      </c>
      <c r="AK762" t="str">
        <f t="shared" si="83"/>
        <v>OK</v>
      </c>
      <c r="AL762" t="str">
        <f t="shared" si="78"/>
        <v>OK</v>
      </c>
      <c r="AM762" t="str">
        <f t="shared" si="79"/>
        <v>OK</v>
      </c>
      <c r="AN762" s="1">
        <f>IF(AF762=0,0,AH762/AF762)</f>
        <v>0.4</v>
      </c>
      <c r="AO762" s="1">
        <f t="shared" si="80"/>
        <v>0.46666666666666667</v>
      </c>
      <c r="AP762" s="1">
        <f t="shared" si="81"/>
        <v>0.13333333333333333</v>
      </c>
      <c r="AQ762" s="1">
        <f t="shared" si="82"/>
        <v>0.8</v>
      </c>
    </row>
    <row r="763" spans="1:43"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77"/>
        <v>OK</v>
      </c>
      <c r="AK763" t="str">
        <f t="shared" si="83"/>
        <v>OK</v>
      </c>
      <c r="AL763" t="str">
        <f t="shared" si="78"/>
        <v>OK</v>
      </c>
      <c r="AM763" t="str">
        <f t="shared" si="79"/>
        <v>OK</v>
      </c>
      <c r="AN763" s="1">
        <f>IF(AF763=0,0,AH763/AF763)</f>
        <v>0</v>
      </c>
      <c r="AO763" s="1">
        <f t="shared" si="80"/>
        <v>0</v>
      </c>
      <c r="AP763" s="1">
        <f t="shared" si="81"/>
        <v>3</v>
      </c>
      <c r="AQ763" s="1">
        <f t="shared" si="82"/>
        <v>0</v>
      </c>
    </row>
    <row r="764" spans="1:43"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77"/>
        <v>OK</v>
      </c>
      <c r="AK764" t="str">
        <f t="shared" si="83"/>
        <v>OK</v>
      </c>
      <c r="AL764" t="str">
        <f t="shared" si="78"/>
        <v>OK</v>
      </c>
      <c r="AM764" t="str">
        <f t="shared" si="79"/>
        <v>OK</v>
      </c>
      <c r="AN764" s="1">
        <f>IF(AF764=0,0,AH764/AF764)</f>
        <v>0.33333333333333331</v>
      </c>
      <c r="AO764" s="1">
        <f t="shared" si="80"/>
        <v>0.66666666666666663</v>
      </c>
      <c r="AP764" s="1">
        <f t="shared" si="81"/>
        <v>0.66666666666666663</v>
      </c>
      <c r="AQ764" s="1">
        <f t="shared" si="82"/>
        <v>0.66666666666666663</v>
      </c>
    </row>
    <row r="765" spans="1:43"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77"/>
        <v>OK</v>
      </c>
      <c r="AK765" t="str">
        <f t="shared" si="83"/>
        <v>OK</v>
      </c>
      <c r="AL765" t="str">
        <f t="shared" si="78"/>
        <v>OK</v>
      </c>
      <c r="AM765" t="str">
        <f t="shared" si="79"/>
        <v>OK</v>
      </c>
      <c r="AN765" s="1">
        <f>IF(AF765=0,0,AH765/AF765)</f>
        <v>0</v>
      </c>
      <c r="AO765" s="1">
        <f t="shared" si="80"/>
        <v>1</v>
      </c>
      <c r="AP765" s="1">
        <f t="shared" si="81"/>
        <v>2</v>
      </c>
      <c r="AQ765" s="1">
        <f t="shared" si="82"/>
        <v>0</v>
      </c>
    </row>
    <row r="766" spans="1:43"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77"/>
        <v>OK</v>
      </c>
      <c r="AK766" t="str">
        <f t="shared" si="83"/>
        <v>OK</v>
      </c>
      <c r="AL766" t="str">
        <f t="shared" si="78"/>
        <v>OK</v>
      </c>
      <c r="AM766" t="str">
        <f t="shared" si="79"/>
        <v>OK</v>
      </c>
      <c r="AN766" s="1">
        <f>IF(AF766=0,0,AH766/AF766)</f>
        <v>0</v>
      </c>
      <c r="AO766" s="1">
        <f t="shared" si="80"/>
        <v>0</v>
      </c>
      <c r="AP766" s="1">
        <f t="shared" si="81"/>
        <v>5</v>
      </c>
      <c r="AQ766" s="1">
        <f t="shared" si="82"/>
        <v>0</v>
      </c>
    </row>
    <row r="767" spans="1:43"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77"/>
        <v>OK</v>
      </c>
      <c r="AK767" t="str">
        <f t="shared" si="83"/>
        <v>OK</v>
      </c>
      <c r="AL767" t="str">
        <f t="shared" si="78"/>
        <v>OK</v>
      </c>
      <c r="AM767" t="str">
        <f t="shared" si="79"/>
        <v>OK</v>
      </c>
      <c r="AN767" s="1">
        <f>IF(AF767=0,0,AH767/AF767)</f>
        <v>1</v>
      </c>
      <c r="AO767" s="1">
        <f t="shared" si="80"/>
        <v>1</v>
      </c>
      <c r="AP767" s="1">
        <f t="shared" si="81"/>
        <v>1</v>
      </c>
      <c r="AQ767" s="1">
        <f t="shared" si="82"/>
        <v>1</v>
      </c>
    </row>
    <row r="768" spans="1:43"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77"/>
        <v>OK</v>
      </c>
      <c r="AK768" t="str">
        <f t="shared" si="83"/>
        <v>OK</v>
      </c>
      <c r="AL768" t="str">
        <f t="shared" si="78"/>
        <v>OK</v>
      </c>
      <c r="AM768" t="str">
        <f t="shared" si="79"/>
        <v>OK</v>
      </c>
      <c r="AN768" s="1">
        <f>IF(AF768=0,0,AH768/AF768)</f>
        <v>0.875</v>
      </c>
      <c r="AO768" s="1">
        <f t="shared" si="80"/>
        <v>0.125</v>
      </c>
      <c r="AP768" s="1">
        <f t="shared" si="81"/>
        <v>0.25</v>
      </c>
      <c r="AQ768" s="1">
        <f t="shared" si="82"/>
        <v>0.875</v>
      </c>
    </row>
    <row r="769" spans="1:43"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77"/>
        <v>OK</v>
      </c>
      <c r="AK769" t="str">
        <f t="shared" si="83"/>
        <v>OK</v>
      </c>
      <c r="AL769" t="str">
        <f t="shared" si="78"/>
        <v>OK</v>
      </c>
      <c r="AM769" t="str">
        <f t="shared" si="79"/>
        <v>OK</v>
      </c>
      <c r="AN769" s="1">
        <f>IF(AF769=0,0,AH769/AF769)</f>
        <v>0</v>
      </c>
      <c r="AO769" s="1">
        <f t="shared" si="80"/>
        <v>0.75</v>
      </c>
      <c r="AP769" s="1">
        <f t="shared" si="81"/>
        <v>0.75</v>
      </c>
      <c r="AQ769" s="1">
        <f t="shared" si="82"/>
        <v>0.25</v>
      </c>
    </row>
    <row r="770" spans="1:43"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si="77"/>
        <v>OK</v>
      </c>
      <c r="AK770" t="str">
        <f t="shared" si="83"/>
        <v>OK</v>
      </c>
      <c r="AL770" t="str">
        <f t="shared" si="78"/>
        <v>OK</v>
      </c>
      <c r="AM770" t="str">
        <f t="shared" si="79"/>
        <v>OK</v>
      </c>
      <c r="AN770" s="1">
        <f>IF(AF770=0,0,AH770/AF770)</f>
        <v>1</v>
      </c>
      <c r="AO770" s="1">
        <f t="shared" si="80"/>
        <v>1</v>
      </c>
      <c r="AP770" s="1">
        <f t="shared" si="81"/>
        <v>0.42857142857142855</v>
      </c>
      <c r="AQ770" s="1">
        <f t="shared" si="82"/>
        <v>0.7142857142857143</v>
      </c>
    </row>
    <row r="771" spans="1:43"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ref="AJ771:AJ834" si="84">IF(AF771&lt;=AC771, "OK", "ERROR")</f>
        <v>OK</v>
      </c>
      <c r="AK771" t="str">
        <f t="shared" si="83"/>
        <v>OK</v>
      </c>
      <c r="AL771" t="str">
        <f t="shared" ref="AL771:AL834" si="85">IF(AG771&lt;=AF771,"OK","ERROR")</f>
        <v>OK</v>
      </c>
      <c r="AM771" t="str">
        <f t="shared" ref="AM771:AM834" si="86">IF(AI771&lt;=AF771,"OK","ERROR")</f>
        <v>OK</v>
      </c>
      <c r="AN771" s="1">
        <f>IF(AF771=0,0,AH771/AF771)</f>
        <v>0.2</v>
      </c>
      <c r="AO771" s="1">
        <f t="shared" ref="AO771:AO834" si="87">IF(AF771=0,0,AG771/AF771)</f>
        <v>0.6</v>
      </c>
      <c r="AP771" s="1">
        <f t="shared" ref="AP771:AP834" si="88">IF(AF771=0,0,AD771/AF771)</f>
        <v>1</v>
      </c>
      <c r="AQ771" s="1">
        <f t="shared" ref="AQ771:AQ834" si="89">IF(AF771=0,0,AI771/AF771)</f>
        <v>0.6</v>
      </c>
    </row>
    <row r="772" spans="1:43"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84"/>
        <v>OK</v>
      </c>
      <c r="AK772" t="str">
        <f t="shared" ref="AK772:AK835" si="90">IF(AH772&lt;=AF772,"OK", "ERROR")</f>
        <v>OK</v>
      </c>
      <c r="AL772" t="str">
        <f t="shared" si="85"/>
        <v>OK</v>
      </c>
      <c r="AM772" t="str">
        <f t="shared" si="86"/>
        <v>OK</v>
      </c>
      <c r="AN772" s="1">
        <f>IF(AF772=0,0,AH772/AF772)</f>
        <v>1</v>
      </c>
      <c r="AO772" s="1">
        <f t="shared" si="87"/>
        <v>1</v>
      </c>
      <c r="AP772" s="1">
        <f t="shared" si="88"/>
        <v>0</v>
      </c>
      <c r="AQ772" s="1">
        <f t="shared" si="89"/>
        <v>1</v>
      </c>
    </row>
    <row r="773" spans="1:43"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84"/>
        <v>OK</v>
      </c>
      <c r="AK773" t="str">
        <f t="shared" si="90"/>
        <v>OK</v>
      </c>
      <c r="AL773" t="str">
        <f t="shared" si="85"/>
        <v>OK</v>
      </c>
      <c r="AM773" t="str">
        <f t="shared" si="86"/>
        <v>OK</v>
      </c>
      <c r="AN773" s="1">
        <f>IF(AF773=0,0,AH773/AF773)</f>
        <v>0.77777777777777779</v>
      </c>
      <c r="AO773" s="1">
        <f t="shared" si="87"/>
        <v>0.44444444444444442</v>
      </c>
      <c r="AP773" s="1">
        <f t="shared" si="88"/>
        <v>0.44444444444444442</v>
      </c>
      <c r="AQ773" s="1">
        <f t="shared" si="89"/>
        <v>0</v>
      </c>
    </row>
    <row r="774" spans="1:43"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84"/>
        <v>OK</v>
      </c>
      <c r="AK774" t="str">
        <f t="shared" si="90"/>
        <v>OK</v>
      </c>
      <c r="AL774" t="str">
        <f t="shared" si="85"/>
        <v>OK</v>
      </c>
      <c r="AM774" t="str">
        <f t="shared" si="86"/>
        <v>OK</v>
      </c>
      <c r="AN774" s="1">
        <f>IF(AF774=0,0,AH774/AF774)</f>
        <v>0</v>
      </c>
      <c r="AO774" s="1">
        <f t="shared" si="87"/>
        <v>0.8</v>
      </c>
      <c r="AP774" s="1">
        <f t="shared" si="88"/>
        <v>0.8</v>
      </c>
      <c r="AQ774" s="1">
        <f t="shared" si="89"/>
        <v>0.6</v>
      </c>
    </row>
    <row r="775" spans="1:43"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84"/>
        <v>OK</v>
      </c>
      <c r="AK775" t="str">
        <f t="shared" si="90"/>
        <v>OK</v>
      </c>
      <c r="AL775" t="str">
        <f t="shared" si="85"/>
        <v>OK</v>
      </c>
      <c r="AM775" t="str">
        <f t="shared" si="86"/>
        <v>OK</v>
      </c>
      <c r="AN775" s="1">
        <f>IF(AF775=0,0,AH775/AF775)</f>
        <v>0.5</v>
      </c>
      <c r="AO775" s="1">
        <f t="shared" si="87"/>
        <v>0.5714285714285714</v>
      </c>
      <c r="AP775" s="1">
        <f t="shared" si="88"/>
        <v>0.14285714285714285</v>
      </c>
      <c r="AQ775" s="1">
        <f t="shared" si="89"/>
        <v>0.5714285714285714</v>
      </c>
    </row>
    <row r="776" spans="1:43"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84"/>
        <v>OK</v>
      </c>
      <c r="AK776" t="str">
        <f t="shared" si="90"/>
        <v>OK</v>
      </c>
      <c r="AL776" t="str">
        <f t="shared" si="85"/>
        <v>OK</v>
      </c>
      <c r="AM776" t="str">
        <f t="shared" si="86"/>
        <v>OK</v>
      </c>
      <c r="AN776" s="1">
        <f>IF(AF776=0,0,AH776/AF776)</f>
        <v>0.66666666666666663</v>
      </c>
      <c r="AO776" s="1">
        <f t="shared" si="87"/>
        <v>0.77777777777777779</v>
      </c>
      <c r="AP776" s="1">
        <f t="shared" si="88"/>
        <v>0.33333333333333331</v>
      </c>
      <c r="AQ776" s="1">
        <f t="shared" si="89"/>
        <v>0.22222222222222221</v>
      </c>
    </row>
    <row r="777" spans="1:43"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84"/>
        <v>OK</v>
      </c>
      <c r="AK777" t="str">
        <f t="shared" si="90"/>
        <v>OK</v>
      </c>
      <c r="AL777" t="str">
        <f t="shared" si="85"/>
        <v>OK</v>
      </c>
      <c r="AM777" t="str">
        <f t="shared" si="86"/>
        <v>OK</v>
      </c>
      <c r="AN777" s="1">
        <f>IF(AF777=0,0,AH777/AF777)</f>
        <v>0</v>
      </c>
      <c r="AO777" s="1">
        <f t="shared" si="87"/>
        <v>0</v>
      </c>
      <c r="AP777" s="1">
        <f t="shared" si="88"/>
        <v>5</v>
      </c>
      <c r="AQ777" s="1">
        <f t="shared" si="89"/>
        <v>0</v>
      </c>
    </row>
    <row r="778" spans="1:43"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84"/>
        <v>OK</v>
      </c>
      <c r="AK778" t="str">
        <f t="shared" si="90"/>
        <v>OK</v>
      </c>
      <c r="AL778" t="str">
        <f t="shared" si="85"/>
        <v>OK</v>
      </c>
      <c r="AM778" t="str">
        <f t="shared" si="86"/>
        <v>OK</v>
      </c>
      <c r="AN778" s="1">
        <f>IF(AF778=0,0,AH778/AF778)</f>
        <v>0</v>
      </c>
      <c r="AO778" s="1">
        <f t="shared" si="87"/>
        <v>1</v>
      </c>
      <c r="AP778" s="1">
        <f t="shared" si="88"/>
        <v>1.5</v>
      </c>
      <c r="AQ778" s="1">
        <f t="shared" si="89"/>
        <v>1</v>
      </c>
    </row>
    <row r="779" spans="1:43"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84"/>
        <v>OK</v>
      </c>
      <c r="AK779" t="str">
        <f t="shared" si="90"/>
        <v>OK</v>
      </c>
      <c r="AL779" t="str">
        <f t="shared" si="85"/>
        <v>OK</v>
      </c>
      <c r="AM779" t="str">
        <f t="shared" si="86"/>
        <v>OK</v>
      </c>
      <c r="AN779" s="1">
        <f>IF(AF779=0,0,AH779/AF779)</f>
        <v>1</v>
      </c>
      <c r="AO779" s="1">
        <f t="shared" si="87"/>
        <v>0</v>
      </c>
      <c r="AP779" s="1">
        <f t="shared" si="88"/>
        <v>6</v>
      </c>
      <c r="AQ779" s="1">
        <f t="shared" si="89"/>
        <v>0</v>
      </c>
    </row>
    <row r="780" spans="1:43"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84"/>
        <v>OK</v>
      </c>
      <c r="AK780" t="str">
        <f t="shared" si="90"/>
        <v>OK</v>
      </c>
      <c r="AL780" t="str">
        <f t="shared" si="85"/>
        <v>OK</v>
      </c>
      <c r="AM780" t="str">
        <f t="shared" si="86"/>
        <v>OK</v>
      </c>
      <c r="AN780" s="1">
        <f>IF(AF780=0,0,AH780/AF780)</f>
        <v>6.25E-2</v>
      </c>
      <c r="AO780" s="1">
        <f t="shared" si="87"/>
        <v>0.8125</v>
      </c>
      <c r="AP780" s="1">
        <f t="shared" si="88"/>
        <v>0.125</v>
      </c>
      <c r="AQ780" s="1">
        <f t="shared" si="89"/>
        <v>0.4375</v>
      </c>
    </row>
    <row r="781" spans="1:43"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84"/>
        <v>OK</v>
      </c>
      <c r="AK781" t="str">
        <f t="shared" si="90"/>
        <v>OK</v>
      </c>
      <c r="AL781" t="str">
        <f t="shared" si="85"/>
        <v>OK</v>
      </c>
      <c r="AM781" t="str">
        <f t="shared" si="86"/>
        <v>OK</v>
      </c>
      <c r="AN781" s="1">
        <f>IF(AF781=0,0,AH781/AF781)</f>
        <v>0.2</v>
      </c>
      <c r="AO781" s="1">
        <f t="shared" si="87"/>
        <v>0</v>
      </c>
      <c r="AP781" s="1">
        <f t="shared" si="88"/>
        <v>0.2</v>
      </c>
      <c r="AQ781" s="1">
        <f t="shared" si="89"/>
        <v>0.7</v>
      </c>
    </row>
    <row r="782" spans="1:43"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84"/>
        <v>OK</v>
      </c>
      <c r="AK782" t="str">
        <f t="shared" si="90"/>
        <v>OK</v>
      </c>
      <c r="AL782" t="str">
        <f t="shared" si="85"/>
        <v>OK</v>
      </c>
      <c r="AM782" t="str">
        <f t="shared" si="86"/>
        <v>OK</v>
      </c>
      <c r="AN782" s="1">
        <f>IF(AF782=0,0,AH782/AF782)</f>
        <v>0.1</v>
      </c>
      <c r="AO782" s="1">
        <f t="shared" si="87"/>
        <v>0.7</v>
      </c>
      <c r="AP782" s="1">
        <f t="shared" si="88"/>
        <v>0.2</v>
      </c>
      <c r="AQ782" s="1">
        <f t="shared" si="89"/>
        <v>0.9</v>
      </c>
    </row>
    <row r="783" spans="1:43"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84"/>
        <v>OK</v>
      </c>
      <c r="AK783" t="str">
        <f t="shared" si="90"/>
        <v>OK</v>
      </c>
      <c r="AL783" t="str">
        <f t="shared" si="85"/>
        <v>OK</v>
      </c>
      <c r="AM783" t="str">
        <f t="shared" si="86"/>
        <v>OK</v>
      </c>
      <c r="AN783" s="1">
        <f>IF(AF783=0,0,AH783/AF783)</f>
        <v>0.2</v>
      </c>
      <c r="AO783" s="1">
        <f t="shared" si="87"/>
        <v>0.6</v>
      </c>
      <c r="AP783" s="1">
        <f t="shared" si="88"/>
        <v>0.4</v>
      </c>
      <c r="AQ783" s="1">
        <f t="shared" si="89"/>
        <v>0.6</v>
      </c>
    </row>
    <row r="784" spans="1:43"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84"/>
        <v>OK</v>
      </c>
      <c r="AK784" t="str">
        <f t="shared" si="90"/>
        <v>OK</v>
      </c>
      <c r="AL784" t="str">
        <f t="shared" si="85"/>
        <v>OK</v>
      </c>
      <c r="AM784" t="str">
        <f t="shared" si="86"/>
        <v>OK</v>
      </c>
      <c r="AN784" s="1">
        <f>IF(AF784=0,0,AH784/AF784)</f>
        <v>0</v>
      </c>
      <c r="AO784" s="1">
        <f t="shared" si="87"/>
        <v>0.33333333333333331</v>
      </c>
      <c r="AP784" s="1">
        <f t="shared" si="88"/>
        <v>0.16666666666666666</v>
      </c>
      <c r="AQ784" s="1">
        <f t="shared" si="89"/>
        <v>0.33333333333333331</v>
      </c>
    </row>
    <row r="785" spans="1:43"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84"/>
        <v>OK</v>
      </c>
      <c r="AK785" t="str">
        <f t="shared" si="90"/>
        <v>OK</v>
      </c>
      <c r="AL785" t="str">
        <f t="shared" si="85"/>
        <v>OK</v>
      </c>
      <c r="AM785" t="str">
        <f t="shared" si="86"/>
        <v>OK</v>
      </c>
      <c r="AN785" s="1">
        <f>IF(AF785=0,0,AH785/AF785)</f>
        <v>0</v>
      </c>
      <c r="AO785" s="1">
        <f t="shared" si="87"/>
        <v>0.6</v>
      </c>
      <c r="AP785" s="1">
        <f t="shared" si="88"/>
        <v>0.3</v>
      </c>
      <c r="AQ785" s="1">
        <f t="shared" si="89"/>
        <v>0.8</v>
      </c>
    </row>
    <row r="786" spans="1:43"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84"/>
        <v>OK</v>
      </c>
      <c r="AK786" t="str">
        <f t="shared" si="90"/>
        <v>OK</v>
      </c>
      <c r="AL786" t="str">
        <f t="shared" si="85"/>
        <v>OK</v>
      </c>
      <c r="AM786" t="str">
        <f t="shared" si="86"/>
        <v>OK</v>
      </c>
      <c r="AN786" s="1">
        <f>IF(AF786=0,0,AH786/AF786)</f>
        <v>5.2631578947368418E-2</v>
      </c>
      <c r="AO786" s="1">
        <f t="shared" si="87"/>
        <v>0.47368421052631576</v>
      </c>
      <c r="AP786" s="1">
        <f t="shared" si="88"/>
        <v>0.21052631578947367</v>
      </c>
      <c r="AQ786" s="1">
        <f t="shared" si="89"/>
        <v>0.47368421052631576</v>
      </c>
    </row>
    <row r="787" spans="1:43"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84"/>
        <v>OK</v>
      </c>
      <c r="AK787" t="str">
        <f t="shared" si="90"/>
        <v>OK</v>
      </c>
      <c r="AL787" t="str">
        <f t="shared" si="85"/>
        <v>OK</v>
      </c>
      <c r="AM787" t="str">
        <f t="shared" si="86"/>
        <v>OK</v>
      </c>
      <c r="AN787" s="1">
        <f>IF(AF787=0,0,AH787/AF787)</f>
        <v>1</v>
      </c>
      <c r="AO787" s="1">
        <f t="shared" si="87"/>
        <v>0.90909090909090906</v>
      </c>
      <c r="AP787" s="1">
        <f t="shared" si="88"/>
        <v>0.54545454545454541</v>
      </c>
      <c r="AQ787" s="1">
        <f t="shared" si="89"/>
        <v>9.0909090909090912E-2</v>
      </c>
    </row>
    <row r="788" spans="1:43"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84"/>
        <v>OK</v>
      </c>
      <c r="AK788" t="str">
        <f t="shared" si="90"/>
        <v>OK</v>
      </c>
      <c r="AL788" t="str">
        <f t="shared" si="85"/>
        <v>OK</v>
      </c>
      <c r="AM788" t="str">
        <f t="shared" si="86"/>
        <v>OK</v>
      </c>
      <c r="AN788" s="1">
        <f>IF(AF788=0,0,AH788/AF788)</f>
        <v>0.33333333333333331</v>
      </c>
      <c r="AO788" s="1">
        <f t="shared" si="87"/>
        <v>0.66666666666666663</v>
      </c>
      <c r="AP788" s="1">
        <f t="shared" si="88"/>
        <v>1.3333333333333333</v>
      </c>
      <c r="AQ788" s="1">
        <f t="shared" si="89"/>
        <v>0.66666666666666663</v>
      </c>
    </row>
    <row r="789" spans="1:43"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84"/>
        <v>OK</v>
      </c>
      <c r="AK789" t="str">
        <f t="shared" si="90"/>
        <v>OK</v>
      </c>
      <c r="AL789" t="str">
        <f t="shared" si="85"/>
        <v>OK</v>
      </c>
      <c r="AM789" t="str">
        <f t="shared" si="86"/>
        <v>OK</v>
      </c>
      <c r="AN789" s="1">
        <f>IF(AF789=0,0,AH789/AF789)</f>
        <v>0.33333333333333331</v>
      </c>
      <c r="AO789" s="1">
        <f t="shared" si="87"/>
        <v>0.66666666666666663</v>
      </c>
      <c r="AP789" s="1">
        <f t="shared" si="88"/>
        <v>1.3333333333333333</v>
      </c>
      <c r="AQ789" s="1">
        <f t="shared" si="89"/>
        <v>0.66666666666666663</v>
      </c>
    </row>
    <row r="790" spans="1:43"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84"/>
        <v>OK</v>
      </c>
      <c r="AK790" t="str">
        <f t="shared" si="90"/>
        <v>OK</v>
      </c>
      <c r="AL790" t="str">
        <f t="shared" si="85"/>
        <v>OK</v>
      </c>
      <c r="AM790" t="str">
        <f t="shared" si="86"/>
        <v>OK</v>
      </c>
      <c r="AN790" s="1">
        <f>IF(AF790=0,0,AH790/AF790)</f>
        <v>0.125</v>
      </c>
      <c r="AO790" s="1">
        <f t="shared" si="87"/>
        <v>0.875</v>
      </c>
      <c r="AP790" s="1">
        <f t="shared" si="88"/>
        <v>0.5</v>
      </c>
      <c r="AQ790" s="1">
        <f t="shared" si="89"/>
        <v>0.875</v>
      </c>
    </row>
    <row r="791" spans="1:43"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84"/>
        <v>OK</v>
      </c>
      <c r="AK791" t="str">
        <f t="shared" si="90"/>
        <v>OK</v>
      </c>
      <c r="AL791" t="str">
        <f t="shared" si="85"/>
        <v>OK</v>
      </c>
      <c r="AM791" t="str">
        <f t="shared" si="86"/>
        <v>OK</v>
      </c>
      <c r="AN791" s="1">
        <f>IF(AF791=0,0,AH791/AF791)</f>
        <v>0.15</v>
      </c>
      <c r="AO791" s="1">
        <f t="shared" si="87"/>
        <v>0.3</v>
      </c>
      <c r="AP791" s="1">
        <f t="shared" si="88"/>
        <v>0.05</v>
      </c>
      <c r="AQ791" s="1">
        <f t="shared" si="89"/>
        <v>0.3</v>
      </c>
    </row>
    <row r="792" spans="1:43"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84"/>
        <v>OK</v>
      </c>
      <c r="AK792" t="str">
        <f t="shared" si="90"/>
        <v>OK</v>
      </c>
      <c r="AL792" t="str">
        <f t="shared" si="85"/>
        <v>OK</v>
      </c>
      <c r="AM792" t="str">
        <f t="shared" si="86"/>
        <v>OK</v>
      </c>
      <c r="AN792" s="1">
        <f>IF(AF792=0,0,AH792/AF792)</f>
        <v>0.33333333333333331</v>
      </c>
      <c r="AO792" s="1">
        <f t="shared" si="87"/>
        <v>0.66666666666666663</v>
      </c>
      <c r="AP792" s="1">
        <f t="shared" si="88"/>
        <v>0.66666666666666663</v>
      </c>
      <c r="AQ792" s="1">
        <f t="shared" si="89"/>
        <v>0.66666666666666663</v>
      </c>
    </row>
    <row r="793" spans="1:43"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84"/>
        <v>OK</v>
      </c>
      <c r="AK793" t="str">
        <f t="shared" si="90"/>
        <v>OK</v>
      </c>
      <c r="AL793" t="str">
        <f t="shared" si="85"/>
        <v>OK</v>
      </c>
      <c r="AM793" t="str">
        <f t="shared" si="86"/>
        <v>OK</v>
      </c>
      <c r="AN793" s="1">
        <f>IF(AF793=0,0,AH793/AF793)</f>
        <v>0.5</v>
      </c>
      <c r="AO793" s="1">
        <f t="shared" si="87"/>
        <v>0.875</v>
      </c>
      <c r="AP793" s="1">
        <f t="shared" si="88"/>
        <v>0.25</v>
      </c>
      <c r="AQ793" s="1">
        <f t="shared" si="89"/>
        <v>0.875</v>
      </c>
    </row>
    <row r="794" spans="1:43"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84"/>
        <v>OK</v>
      </c>
      <c r="AK794" t="str">
        <f t="shared" si="90"/>
        <v>OK</v>
      </c>
      <c r="AL794" t="str">
        <f t="shared" si="85"/>
        <v>OK</v>
      </c>
      <c r="AM794" t="str">
        <f t="shared" si="86"/>
        <v>OK</v>
      </c>
      <c r="AN794" s="1">
        <f>IF(AF794=0,0,AH794/AF794)</f>
        <v>0.23076923076923078</v>
      </c>
      <c r="AO794" s="1">
        <f t="shared" si="87"/>
        <v>0.53846153846153844</v>
      </c>
      <c r="AP794" s="1">
        <f t="shared" si="88"/>
        <v>0.30769230769230771</v>
      </c>
      <c r="AQ794" s="1">
        <f t="shared" si="89"/>
        <v>0.61538461538461542</v>
      </c>
    </row>
    <row r="795" spans="1:43"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84"/>
        <v>OK</v>
      </c>
      <c r="AK795" t="str">
        <f t="shared" si="90"/>
        <v>OK</v>
      </c>
      <c r="AL795" t="str">
        <f t="shared" si="85"/>
        <v>OK</v>
      </c>
      <c r="AM795" t="str">
        <f t="shared" si="86"/>
        <v>OK</v>
      </c>
      <c r="AN795" s="1">
        <f>IF(AF795=0,0,AH795/AF795)</f>
        <v>0.5</v>
      </c>
      <c r="AO795" s="1">
        <f t="shared" si="87"/>
        <v>0.5</v>
      </c>
      <c r="AP795" s="1">
        <f t="shared" si="88"/>
        <v>1.25</v>
      </c>
      <c r="AQ795" s="1">
        <f t="shared" si="89"/>
        <v>0.5</v>
      </c>
    </row>
    <row r="796" spans="1:43"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84"/>
        <v>OK</v>
      </c>
      <c r="AK796" t="str">
        <f t="shared" si="90"/>
        <v>OK</v>
      </c>
      <c r="AL796" t="str">
        <f t="shared" si="85"/>
        <v>OK</v>
      </c>
      <c r="AM796" t="str">
        <f t="shared" si="86"/>
        <v>OK</v>
      </c>
      <c r="AN796" s="1">
        <f>IF(AF796=0,0,AH796/AF796)</f>
        <v>0</v>
      </c>
      <c r="AO796" s="1">
        <f t="shared" si="87"/>
        <v>0.33333333333333331</v>
      </c>
      <c r="AP796" s="1">
        <f t="shared" si="88"/>
        <v>0.16666666666666666</v>
      </c>
      <c r="AQ796" s="1">
        <f t="shared" si="89"/>
        <v>0.66666666666666663</v>
      </c>
    </row>
    <row r="797" spans="1:43"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84"/>
        <v>OK</v>
      </c>
      <c r="AK797" t="str">
        <f t="shared" si="90"/>
        <v>OK</v>
      </c>
      <c r="AL797" t="str">
        <f t="shared" si="85"/>
        <v>OK</v>
      </c>
      <c r="AM797" t="str">
        <f t="shared" si="86"/>
        <v>OK</v>
      </c>
      <c r="AN797" s="1">
        <f>IF(AF797=0,0,AH797/AF797)</f>
        <v>0</v>
      </c>
      <c r="AO797" s="1">
        <f t="shared" si="87"/>
        <v>0</v>
      </c>
      <c r="AP797" s="1">
        <f t="shared" si="88"/>
        <v>5</v>
      </c>
      <c r="AQ797" s="1">
        <f t="shared" si="89"/>
        <v>0</v>
      </c>
    </row>
    <row r="798" spans="1:43"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84"/>
        <v>OK</v>
      </c>
      <c r="AK798" t="str">
        <f t="shared" si="90"/>
        <v>OK</v>
      </c>
      <c r="AL798" t="str">
        <f t="shared" si="85"/>
        <v>OK</v>
      </c>
      <c r="AM798" t="str">
        <f t="shared" si="86"/>
        <v>OK</v>
      </c>
      <c r="AN798" s="1">
        <f>IF(AF798=0,0,AH798/AF798)</f>
        <v>0.7142857142857143</v>
      </c>
      <c r="AO798" s="1">
        <f t="shared" si="87"/>
        <v>1</v>
      </c>
      <c r="AP798" s="1">
        <f t="shared" si="88"/>
        <v>0.42857142857142855</v>
      </c>
      <c r="AQ798" s="1">
        <f t="shared" si="89"/>
        <v>0.8571428571428571</v>
      </c>
    </row>
    <row r="799" spans="1:43"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84"/>
        <v>OK</v>
      </c>
      <c r="AK799" t="str">
        <f t="shared" si="90"/>
        <v>OK</v>
      </c>
      <c r="AL799" t="str">
        <f t="shared" si="85"/>
        <v>OK</v>
      </c>
      <c r="AM799" t="str">
        <f t="shared" si="86"/>
        <v>OK</v>
      </c>
      <c r="AN799" s="1">
        <f>IF(AF799=0,0,AH799/AF799)</f>
        <v>0</v>
      </c>
      <c r="AO799" s="1">
        <f t="shared" si="87"/>
        <v>1</v>
      </c>
      <c r="AP799" s="1">
        <f t="shared" si="88"/>
        <v>0</v>
      </c>
      <c r="AQ799" s="1">
        <f t="shared" si="89"/>
        <v>0</v>
      </c>
    </row>
    <row r="800" spans="1:43"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84"/>
        <v>OK</v>
      </c>
      <c r="AK800" t="str">
        <f t="shared" si="90"/>
        <v>OK</v>
      </c>
      <c r="AL800" t="str">
        <f t="shared" si="85"/>
        <v>OK</v>
      </c>
      <c r="AM800" t="str">
        <f t="shared" si="86"/>
        <v>OK</v>
      </c>
      <c r="AN800" s="1">
        <f>IF(AF800=0,0,AH800/AF800)</f>
        <v>1</v>
      </c>
      <c r="AO800" s="1">
        <f t="shared" si="87"/>
        <v>1</v>
      </c>
      <c r="AP800" s="1">
        <f t="shared" si="88"/>
        <v>0</v>
      </c>
      <c r="AQ800" s="1">
        <f t="shared" si="89"/>
        <v>1</v>
      </c>
    </row>
    <row r="801" spans="1:43"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84"/>
        <v>OK</v>
      </c>
      <c r="AK801" t="str">
        <f t="shared" si="90"/>
        <v>OK</v>
      </c>
      <c r="AL801" t="str">
        <f t="shared" si="85"/>
        <v>OK</v>
      </c>
      <c r="AM801" t="str">
        <f t="shared" si="86"/>
        <v>OK</v>
      </c>
      <c r="AN801" s="1">
        <f>IF(AF801=0,0,AH801/AF801)</f>
        <v>0.59090909090909094</v>
      </c>
      <c r="AO801" s="1">
        <f t="shared" si="87"/>
        <v>0.27272727272727271</v>
      </c>
      <c r="AP801" s="1">
        <f t="shared" si="88"/>
        <v>0.13636363636363635</v>
      </c>
      <c r="AQ801" s="1">
        <f t="shared" si="89"/>
        <v>0.31818181818181818</v>
      </c>
    </row>
    <row r="802" spans="1:43"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84"/>
        <v>OK</v>
      </c>
      <c r="AK802" t="str">
        <f t="shared" si="90"/>
        <v>OK</v>
      </c>
      <c r="AL802" t="str">
        <f t="shared" si="85"/>
        <v>OK</v>
      </c>
      <c r="AM802" t="str">
        <f t="shared" si="86"/>
        <v>OK</v>
      </c>
      <c r="AN802" s="1">
        <f>IF(AF802=0,0,AH802/AF802)</f>
        <v>0</v>
      </c>
      <c r="AO802" s="1">
        <f t="shared" si="87"/>
        <v>0</v>
      </c>
      <c r="AP802" s="1">
        <f t="shared" si="88"/>
        <v>2</v>
      </c>
      <c r="AQ802" s="1">
        <f t="shared" si="89"/>
        <v>0</v>
      </c>
    </row>
    <row r="803" spans="1:43"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84"/>
        <v>OK</v>
      </c>
      <c r="AK803" t="str">
        <f t="shared" si="90"/>
        <v>OK</v>
      </c>
      <c r="AL803" t="str">
        <f t="shared" si="85"/>
        <v>OK</v>
      </c>
      <c r="AM803" t="str">
        <f t="shared" si="86"/>
        <v>OK</v>
      </c>
      <c r="AN803" s="1">
        <f>IF(AF803=0,0,AH803/AF803)</f>
        <v>0</v>
      </c>
      <c r="AO803" s="1">
        <f t="shared" si="87"/>
        <v>0</v>
      </c>
      <c r="AP803" s="1">
        <f t="shared" si="88"/>
        <v>0</v>
      </c>
      <c r="AQ803" s="1">
        <f t="shared" si="89"/>
        <v>0</v>
      </c>
    </row>
    <row r="804" spans="1:43"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84"/>
        <v>OK</v>
      </c>
      <c r="AK804" t="str">
        <f t="shared" si="90"/>
        <v>OK</v>
      </c>
      <c r="AL804" t="str">
        <f t="shared" si="85"/>
        <v>OK</v>
      </c>
      <c r="AM804" t="str">
        <f t="shared" si="86"/>
        <v>OK</v>
      </c>
      <c r="AN804" s="1">
        <f>IF(AF804=0,0,AH804/AF804)</f>
        <v>0</v>
      </c>
      <c r="AO804" s="1">
        <f t="shared" si="87"/>
        <v>0.66666666666666663</v>
      </c>
      <c r="AP804" s="1">
        <f t="shared" si="88"/>
        <v>1</v>
      </c>
      <c r="AQ804" s="1">
        <f t="shared" si="89"/>
        <v>0.66666666666666663</v>
      </c>
    </row>
    <row r="805" spans="1:43"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84"/>
        <v>OK</v>
      </c>
      <c r="AK805" t="str">
        <f t="shared" si="90"/>
        <v>OK</v>
      </c>
      <c r="AL805" t="str">
        <f t="shared" si="85"/>
        <v>OK</v>
      </c>
      <c r="AM805" t="str">
        <f t="shared" si="86"/>
        <v>OK</v>
      </c>
      <c r="AN805" s="1">
        <f>IF(AF805=0,0,AH805/AF805)</f>
        <v>0</v>
      </c>
      <c r="AO805" s="1">
        <f t="shared" si="87"/>
        <v>0</v>
      </c>
      <c r="AP805" s="1">
        <f t="shared" si="88"/>
        <v>0</v>
      </c>
      <c r="AQ805" s="1">
        <f t="shared" si="89"/>
        <v>0</v>
      </c>
    </row>
    <row r="806" spans="1:43"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84"/>
        <v>OK</v>
      </c>
      <c r="AK806" t="str">
        <f t="shared" si="90"/>
        <v>OK</v>
      </c>
      <c r="AL806" t="str">
        <f t="shared" si="85"/>
        <v>OK</v>
      </c>
      <c r="AM806" t="str">
        <f t="shared" si="86"/>
        <v>OK</v>
      </c>
      <c r="AN806" s="1">
        <f>IF(AF806=0,0,AH806/AF806)</f>
        <v>0.4</v>
      </c>
      <c r="AO806" s="1">
        <f t="shared" si="87"/>
        <v>0.8</v>
      </c>
      <c r="AP806" s="1">
        <f t="shared" si="88"/>
        <v>0.6</v>
      </c>
      <c r="AQ806" s="1">
        <f t="shared" si="89"/>
        <v>0.2</v>
      </c>
    </row>
    <row r="807" spans="1:43"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84"/>
        <v>OK</v>
      </c>
      <c r="AK807" t="str">
        <f t="shared" si="90"/>
        <v>OK</v>
      </c>
      <c r="AL807" t="str">
        <f t="shared" si="85"/>
        <v>OK</v>
      </c>
      <c r="AM807" t="str">
        <f t="shared" si="86"/>
        <v>OK</v>
      </c>
      <c r="AN807" s="1">
        <f>IF(AF807=0,0,AH807/AF807)</f>
        <v>0.26666666666666666</v>
      </c>
      <c r="AO807" s="1">
        <f t="shared" si="87"/>
        <v>0.66666666666666663</v>
      </c>
      <c r="AP807" s="1">
        <f t="shared" si="88"/>
        <v>0.13333333333333333</v>
      </c>
      <c r="AQ807" s="1">
        <f t="shared" si="89"/>
        <v>0.8</v>
      </c>
    </row>
    <row r="808" spans="1:43"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84"/>
        <v>OK</v>
      </c>
      <c r="AK808" t="str">
        <f t="shared" si="90"/>
        <v>OK</v>
      </c>
      <c r="AL808" t="str">
        <f t="shared" si="85"/>
        <v>OK</v>
      </c>
      <c r="AM808" t="str">
        <f t="shared" si="86"/>
        <v>OK</v>
      </c>
      <c r="AN808" s="1">
        <f>IF(AF808=0,0,AH808/AF808)</f>
        <v>0.5</v>
      </c>
      <c r="AO808" s="1">
        <f t="shared" si="87"/>
        <v>0.75</v>
      </c>
      <c r="AP808" s="1">
        <f t="shared" si="88"/>
        <v>0.5</v>
      </c>
      <c r="AQ808" s="1">
        <f t="shared" si="89"/>
        <v>0</v>
      </c>
    </row>
    <row r="809" spans="1:43"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84"/>
        <v>OK</v>
      </c>
      <c r="AK809" t="str">
        <f t="shared" si="90"/>
        <v>OK</v>
      </c>
      <c r="AL809" t="str">
        <f t="shared" si="85"/>
        <v>OK</v>
      </c>
      <c r="AM809" t="str">
        <f t="shared" si="86"/>
        <v>OK</v>
      </c>
      <c r="AN809" s="1">
        <f>IF(AF809=0,0,AH809/AF809)</f>
        <v>0.25</v>
      </c>
      <c r="AO809" s="1">
        <f t="shared" si="87"/>
        <v>0.875</v>
      </c>
      <c r="AP809" s="1">
        <f t="shared" si="88"/>
        <v>0.25</v>
      </c>
      <c r="AQ809" s="1">
        <f t="shared" si="89"/>
        <v>0.875</v>
      </c>
    </row>
    <row r="810" spans="1:43"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84"/>
        <v>OK</v>
      </c>
      <c r="AK810" t="str">
        <f t="shared" si="90"/>
        <v>OK</v>
      </c>
      <c r="AL810" t="str">
        <f t="shared" si="85"/>
        <v>OK</v>
      </c>
      <c r="AM810" t="str">
        <f t="shared" si="86"/>
        <v>OK</v>
      </c>
      <c r="AN810" s="1">
        <f>IF(AF810=0,0,AH810/AF810)</f>
        <v>0.14285714285714285</v>
      </c>
      <c r="AO810" s="1">
        <f t="shared" si="87"/>
        <v>0.7142857142857143</v>
      </c>
      <c r="AP810" s="1">
        <f t="shared" si="88"/>
        <v>0.14285714285714285</v>
      </c>
      <c r="AQ810" s="1">
        <f t="shared" si="89"/>
        <v>1</v>
      </c>
    </row>
    <row r="811" spans="1:43"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84"/>
        <v>OK</v>
      </c>
      <c r="AK811" t="str">
        <f t="shared" si="90"/>
        <v>OK</v>
      </c>
      <c r="AL811" t="str">
        <f t="shared" si="85"/>
        <v>OK</v>
      </c>
      <c r="AM811" t="str">
        <f t="shared" si="86"/>
        <v>OK</v>
      </c>
      <c r="AN811" s="1">
        <f>IF(AF811=0,0,AH811/AF811)</f>
        <v>0.1111111111111111</v>
      </c>
      <c r="AO811" s="1">
        <f t="shared" si="87"/>
        <v>0.77777777777777779</v>
      </c>
      <c r="AP811" s="1">
        <f t="shared" si="88"/>
        <v>0.33333333333333331</v>
      </c>
      <c r="AQ811" s="1">
        <f t="shared" si="89"/>
        <v>0.77777777777777779</v>
      </c>
    </row>
    <row r="812" spans="1:43"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84"/>
        <v>OK</v>
      </c>
      <c r="AK812" t="str">
        <f t="shared" si="90"/>
        <v>OK</v>
      </c>
      <c r="AL812" t="str">
        <f t="shared" si="85"/>
        <v>OK</v>
      </c>
      <c r="AM812" t="str">
        <f t="shared" si="86"/>
        <v>OK</v>
      </c>
      <c r="AN812" s="1">
        <f>IF(AF812=0,0,AH812/AF812)</f>
        <v>0.33333333333333331</v>
      </c>
      <c r="AO812" s="1">
        <f t="shared" si="87"/>
        <v>0.75</v>
      </c>
      <c r="AP812" s="1">
        <f t="shared" si="88"/>
        <v>0.25</v>
      </c>
      <c r="AQ812" s="1">
        <f t="shared" si="89"/>
        <v>0.75</v>
      </c>
    </row>
    <row r="813" spans="1:43"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84"/>
        <v>OK</v>
      </c>
      <c r="AK813" t="str">
        <f t="shared" si="90"/>
        <v>OK</v>
      </c>
      <c r="AL813" t="str">
        <f t="shared" si="85"/>
        <v>OK</v>
      </c>
      <c r="AM813" t="str">
        <f t="shared" si="86"/>
        <v>OK</v>
      </c>
      <c r="AN813" s="1">
        <f>IF(AF813=0,0,AH813/AF813)</f>
        <v>0</v>
      </c>
      <c r="AO813" s="1">
        <f t="shared" si="87"/>
        <v>0</v>
      </c>
      <c r="AP813" s="1">
        <f t="shared" si="88"/>
        <v>2</v>
      </c>
      <c r="AQ813" s="1">
        <f t="shared" si="89"/>
        <v>0</v>
      </c>
    </row>
    <row r="814" spans="1:43"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84"/>
        <v>OK</v>
      </c>
      <c r="AK814" t="str">
        <f t="shared" si="90"/>
        <v>OK</v>
      </c>
      <c r="AL814" t="str">
        <f t="shared" si="85"/>
        <v>OK</v>
      </c>
      <c r="AM814" t="str">
        <f t="shared" si="86"/>
        <v>OK</v>
      </c>
      <c r="AN814" s="1">
        <f>IF(AF814=0,0,AH814/AF814)</f>
        <v>0</v>
      </c>
      <c r="AO814" s="1">
        <f t="shared" si="87"/>
        <v>0.875</v>
      </c>
      <c r="AP814" s="1">
        <f t="shared" si="88"/>
        <v>0.125</v>
      </c>
      <c r="AQ814" s="1">
        <f t="shared" si="89"/>
        <v>0.125</v>
      </c>
    </row>
    <row r="815" spans="1:43"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84"/>
        <v>OK</v>
      </c>
      <c r="AK815" t="str">
        <f t="shared" si="90"/>
        <v>OK</v>
      </c>
      <c r="AL815" t="str">
        <f t="shared" si="85"/>
        <v>OK</v>
      </c>
      <c r="AM815" t="str">
        <f t="shared" si="86"/>
        <v>OK</v>
      </c>
      <c r="AN815" s="1">
        <f>IF(AF815=0,0,AH815/AF815)</f>
        <v>0.61111111111111116</v>
      </c>
      <c r="AO815" s="1">
        <f t="shared" si="87"/>
        <v>0.3888888888888889</v>
      </c>
      <c r="AP815" s="1">
        <f t="shared" si="88"/>
        <v>0.22222222222222221</v>
      </c>
      <c r="AQ815" s="1">
        <f t="shared" si="89"/>
        <v>0.27777777777777779</v>
      </c>
    </row>
    <row r="816" spans="1:43"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84"/>
        <v>OK</v>
      </c>
      <c r="AK816" t="str">
        <f t="shared" si="90"/>
        <v>OK</v>
      </c>
      <c r="AL816" t="str">
        <f t="shared" si="85"/>
        <v>OK</v>
      </c>
      <c r="AM816" t="str">
        <f t="shared" si="86"/>
        <v>OK</v>
      </c>
      <c r="AN816" s="1">
        <f>IF(AF816=0,0,AH816/AF816)</f>
        <v>0.2</v>
      </c>
      <c r="AO816" s="1">
        <f t="shared" si="87"/>
        <v>0.35</v>
      </c>
      <c r="AP816" s="1">
        <f t="shared" si="88"/>
        <v>0.1</v>
      </c>
      <c r="AQ816" s="1">
        <f t="shared" si="89"/>
        <v>0.45</v>
      </c>
    </row>
    <row r="817" spans="1:43"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84"/>
        <v>OK</v>
      </c>
      <c r="AK817" t="str">
        <f t="shared" si="90"/>
        <v>OK</v>
      </c>
      <c r="AL817" t="str">
        <f t="shared" si="85"/>
        <v>OK</v>
      </c>
      <c r="AM817" t="str">
        <f t="shared" si="86"/>
        <v>OK</v>
      </c>
      <c r="AN817" s="1">
        <f>IF(AF817=0,0,AH817/AF817)</f>
        <v>1</v>
      </c>
      <c r="AO817" s="1">
        <f t="shared" si="87"/>
        <v>1</v>
      </c>
      <c r="AP817" s="1">
        <f t="shared" si="88"/>
        <v>3</v>
      </c>
      <c r="AQ817" s="1">
        <f t="shared" si="89"/>
        <v>1</v>
      </c>
    </row>
    <row r="818" spans="1:43"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84"/>
        <v>OK</v>
      </c>
      <c r="AK818" t="str">
        <f t="shared" si="90"/>
        <v>OK</v>
      </c>
      <c r="AL818" t="str">
        <f t="shared" si="85"/>
        <v>OK</v>
      </c>
      <c r="AM818" t="str">
        <f t="shared" si="86"/>
        <v>OK</v>
      </c>
      <c r="AN818" s="1">
        <f>IF(AF818=0,0,AH818/AF818)</f>
        <v>0</v>
      </c>
      <c r="AO818" s="1">
        <f t="shared" si="87"/>
        <v>0.8</v>
      </c>
      <c r="AP818" s="1">
        <f t="shared" si="88"/>
        <v>0.4</v>
      </c>
      <c r="AQ818" s="1">
        <f t="shared" si="89"/>
        <v>0.6</v>
      </c>
    </row>
    <row r="819" spans="1:43"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84"/>
        <v>OK</v>
      </c>
      <c r="AK819" t="str">
        <f t="shared" si="90"/>
        <v>OK</v>
      </c>
      <c r="AL819" t="str">
        <f t="shared" si="85"/>
        <v>OK</v>
      </c>
      <c r="AM819" t="str">
        <f t="shared" si="86"/>
        <v>OK</v>
      </c>
      <c r="AN819" s="1">
        <f>IF(AF819=0,0,AH819/AF819)</f>
        <v>0</v>
      </c>
      <c r="AO819" s="1">
        <f t="shared" si="87"/>
        <v>0.81818181818181823</v>
      </c>
      <c r="AP819" s="1">
        <f t="shared" si="88"/>
        <v>0</v>
      </c>
      <c r="AQ819" s="1">
        <f t="shared" si="89"/>
        <v>0.81818181818181823</v>
      </c>
    </row>
    <row r="820" spans="1:43"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84"/>
        <v>OK</v>
      </c>
      <c r="AK820" t="str">
        <f t="shared" si="90"/>
        <v>OK</v>
      </c>
      <c r="AL820" t="str">
        <f t="shared" si="85"/>
        <v>OK</v>
      </c>
      <c r="AM820" t="str">
        <f t="shared" si="86"/>
        <v>OK</v>
      </c>
      <c r="AN820" s="1">
        <f>IF(AF820=0,0,AH820/AF820)</f>
        <v>1</v>
      </c>
      <c r="AO820" s="1">
        <f t="shared" si="87"/>
        <v>1</v>
      </c>
      <c r="AP820" s="1">
        <f t="shared" si="88"/>
        <v>2</v>
      </c>
      <c r="AQ820" s="1">
        <f t="shared" si="89"/>
        <v>1</v>
      </c>
    </row>
    <row r="821" spans="1:43"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84"/>
        <v>OK</v>
      </c>
      <c r="AK821" t="str">
        <f t="shared" si="90"/>
        <v>OK</v>
      </c>
      <c r="AL821" t="str">
        <f t="shared" si="85"/>
        <v>OK</v>
      </c>
      <c r="AM821" t="str">
        <f t="shared" si="86"/>
        <v>OK</v>
      </c>
      <c r="AN821" s="1">
        <f>IF(AF821=0,0,AH821/AF821)</f>
        <v>0</v>
      </c>
      <c r="AO821" s="1">
        <f t="shared" si="87"/>
        <v>0.6</v>
      </c>
      <c r="AP821" s="1">
        <f t="shared" si="88"/>
        <v>0.4</v>
      </c>
      <c r="AQ821" s="1">
        <f t="shared" si="89"/>
        <v>0.8</v>
      </c>
    </row>
    <row r="822" spans="1:43"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84"/>
        <v>OK</v>
      </c>
      <c r="AK822" t="str">
        <f t="shared" si="90"/>
        <v>OK</v>
      </c>
      <c r="AL822" t="str">
        <f t="shared" si="85"/>
        <v>OK</v>
      </c>
      <c r="AM822" t="str">
        <f t="shared" si="86"/>
        <v>OK</v>
      </c>
      <c r="AN822" s="1">
        <f>IF(AF822=0,0,AH822/AF822)</f>
        <v>0</v>
      </c>
      <c r="AO822" s="1">
        <f t="shared" si="87"/>
        <v>0.4</v>
      </c>
      <c r="AP822" s="1">
        <f t="shared" si="88"/>
        <v>0.6</v>
      </c>
      <c r="AQ822" s="1">
        <f t="shared" si="89"/>
        <v>0.4</v>
      </c>
    </row>
    <row r="823" spans="1:43"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84"/>
        <v>OK</v>
      </c>
      <c r="AK823" t="str">
        <f t="shared" si="90"/>
        <v>OK</v>
      </c>
      <c r="AL823" t="str">
        <f t="shared" si="85"/>
        <v>OK</v>
      </c>
      <c r="AM823" t="str">
        <f t="shared" si="86"/>
        <v>OK</v>
      </c>
      <c r="AN823" s="1">
        <f>IF(AF823=0,0,AH823/AF823)</f>
        <v>0.22222222222222221</v>
      </c>
      <c r="AO823" s="1">
        <f t="shared" si="87"/>
        <v>0.88888888888888884</v>
      </c>
      <c r="AP823" s="1">
        <f t="shared" si="88"/>
        <v>0.33333333333333331</v>
      </c>
      <c r="AQ823" s="1">
        <f t="shared" si="89"/>
        <v>0.33333333333333331</v>
      </c>
    </row>
    <row r="824" spans="1:43"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84"/>
        <v>OK</v>
      </c>
      <c r="AK824" t="str">
        <f t="shared" si="90"/>
        <v>OK</v>
      </c>
      <c r="AL824" t="str">
        <f t="shared" si="85"/>
        <v>OK</v>
      </c>
      <c r="AM824" t="str">
        <f t="shared" si="86"/>
        <v>OK</v>
      </c>
      <c r="AN824" s="1">
        <f>IF(AF824=0,0,AH824/AF824)</f>
        <v>0</v>
      </c>
      <c r="AO824" s="1">
        <f t="shared" si="87"/>
        <v>0.66666666666666663</v>
      </c>
      <c r="AP824" s="1">
        <f t="shared" si="88"/>
        <v>1</v>
      </c>
      <c r="AQ824" s="1">
        <f t="shared" si="89"/>
        <v>0.66666666666666663</v>
      </c>
    </row>
    <row r="825" spans="1:43"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84"/>
        <v>OK</v>
      </c>
      <c r="AK825" t="str">
        <f t="shared" si="90"/>
        <v>OK</v>
      </c>
      <c r="AL825" t="str">
        <f t="shared" si="85"/>
        <v>OK</v>
      </c>
      <c r="AM825" t="str">
        <f t="shared" si="86"/>
        <v>OK</v>
      </c>
      <c r="AN825" s="1">
        <f>IF(AF825=0,0,AH825/AF825)</f>
        <v>0.14285714285714285</v>
      </c>
      <c r="AO825" s="1">
        <f t="shared" si="87"/>
        <v>0.7142857142857143</v>
      </c>
      <c r="AP825" s="1">
        <f t="shared" si="88"/>
        <v>0.2857142857142857</v>
      </c>
      <c r="AQ825" s="1">
        <f t="shared" si="89"/>
        <v>0.14285714285714285</v>
      </c>
    </row>
    <row r="826" spans="1:43"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84"/>
        <v>OK</v>
      </c>
      <c r="AK826" t="str">
        <f t="shared" si="90"/>
        <v>OK</v>
      </c>
      <c r="AL826" t="str">
        <f t="shared" si="85"/>
        <v>OK</v>
      </c>
      <c r="AM826" t="str">
        <f t="shared" si="86"/>
        <v>OK</v>
      </c>
      <c r="AN826" s="1">
        <f>IF(AF826=0,0,AH826/AF826)</f>
        <v>0</v>
      </c>
      <c r="AO826" s="1">
        <f t="shared" si="87"/>
        <v>0</v>
      </c>
      <c r="AP826" s="1">
        <f t="shared" si="88"/>
        <v>3</v>
      </c>
      <c r="AQ826" s="1">
        <f t="shared" si="89"/>
        <v>0</v>
      </c>
    </row>
    <row r="827" spans="1:43"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84"/>
        <v>OK</v>
      </c>
      <c r="AK827" t="str">
        <f t="shared" si="90"/>
        <v>OK</v>
      </c>
      <c r="AL827" t="str">
        <f t="shared" si="85"/>
        <v>OK</v>
      </c>
      <c r="AM827" t="str">
        <f t="shared" si="86"/>
        <v>OK</v>
      </c>
      <c r="AN827" s="1">
        <f>IF(AF827=0,0,AH827/AF827)</f>
        <v>0.1</v>
      </c>
      <c r="AO827" s="1">
        <f t="shared" si="87"/>
        <v>0.7</v>
      </c>
      <c r="AP827" s="1">
        <f t="shared" si="88"/>
        <v>0.2</v>
      </c>
      <c r="AQ827" s="1">
        <f t="shared" si="89"/>
        <v>0.2</v>
      </c>
    </row>
    <row r="828" spans="1:43"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84"/>
        <v>OK</v>
      </c>
      <c r="AK828" t="str">
        <f t="shared" si="90"/>
        <v>OK</v>
      </c>
      <c r="AL828" t="str">
        <f t="shared" si="85"/>
        <v>OK</v>
      </c>
      <c r="AM828" t="str">
        <f t="shared" si="86"/>
        <v>OK</v>
      </c>
      <c r="AN828" s="1">
        <f>IF(AF828=0,0,AH828/AF828)</f>
        <v>0.7142857142857143</v>
      </c>
      <c r="AO828" s="1">
        <f t="shared" si="87"/>
        <v>0.8571428571428571</v>
      </c>
      <c r="AP828" s="1">
        <f t="shared" si="88"/>
        <v>0.2857142857142857</v>
      </c>
      <c r="AQ828" s="1">
        <f t="shared" si="89"/>
        <v>0</v>
      </c>
    </row>
    <row r="829" spans="1:43"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84"/>
        <v>OK</v>
      </c>
      <c r="AK829" t="str">
        <f t="shared" si="90"/>
        <v>OK</v>
      </c>
      <c r="AL829" t="str">
        <f t="shared" si="85"/>
        <v>OK</v>
      </c>
      <c r="AM829" t="str">
        <f t="shared" si="86"/>
        <v>OK</v>
      </c>
      <c r="AN829" s="1">
        <f>IF(AF829=0,0,AH829/AF829)</f>
        <v>0</v>
      </c>
      <c r="AO829" s="1">
        <f t="shared" si="87"/>
        <v>0.33333333333333331</v>
      </c>
      <c r="AP829" s="1">
        <f t="shared" si="88"/>
        <v>0.66666666666666663</v>
      </c>
      <c r="AQ829" s="1">
        <f t="shared" si="89"/>
        <v>0.66666666666666663</v>
      </c>
    </row>
    <row r="830" spans="1:43"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84"/>
        <v>OK</v>
      </c>
      <c r="AK830" t="str">
        <f t="shared" si="90"/>
        <v>OK</v>
      </c>
      <c r="AL830" t="str">
        <f t="shared" si="85"/>
        <v>OK</v>
      </c>
      <c r="AM830" t="str">
        <f t="shared" si="86"/>
        <v>OK</v>
      </c>
      <c r="AN830" s="1">
        <f>IF(AF830=0,0,AH830/AF830)</f>
        <v>0</v>
      </c>
      <c r="AO830" s="1">
        <f t="shared" si="87"/>
        <v>0</v>
      </c>
      <c r="AP830" s="1">
        <f t="shared" si="88"/>
        <v>0</v>
      </c>
      <c r="AQ830" s="1">
        <f t="shared" si="89"/>
        <v>0</v>
      </c>
    </row>
    <row r="831" spans="1:43"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84"/>
        <v>OK</v>
      </c>
      <c r="AK831" t="str">
        <f t="shared" si="90"/>
        <v>OK</v>
      </c>
      <c r="AL831" t="str">
        <f t="shared" si="85"/>
        <v>OK</v>
      </c>
      <c r="AM831" t="str">
        <f t="shared" si="86"/>
        <v>OK</v>
      </c>
      <c r="AN831" s="1">
        <f>IF(AF831=0,0,AH831/AF831)</f>
        <v>0</v>
      </c>
      <c r="AO831" s="1">
        <f t="shared" si="87"/>
        <v>0.4</v>
      </c>
      <c r="AP831" s="1">
        <f t="shared" si="88"/>
        <v>0.6</v>
      </c>
      <c r="AQ831" s="1">
        <f t="shared" si="89"/>
        <v>0.6</v>
      </c>
    </row>
    <row r="832" spans="1:43"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84"/>
        <v>OK</v>
      </c>
      <c r="AK832" t="str">
        <f t="shared" si="90"/>
        <v>OK</v>
      </c>
      <c r="AL832" t="str">
        <f t="shared" si="85"/>
        <v>OK</v>
      </c>
      <c r="AM832" t="str">
        <f t="shared" si="86"/>
        <v>OK</v>
      </c>
      <c r="AN832" s="1">
        <f>IF(AF832=0,0,AH832/AF832)</f>
        <v>0</v>
      </c>
      <c r="AO832" s="1">
        <f t="shared" si="87"/>
        <v>0</v>
      </c>
      <c r="AP832" s="1">
        <f t="shared" si="88"/>
        <v>4</v>
      </c>
      <c r="AQ832" s="1">
        <f t="shared" si="89"/>
        <v>0</v>
      </c>
    </row>
    <row r="833" spans="1:43"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84"/>
        <v>OK</v>
      </c>
      <c r="AK833" t="str">
        <f t="shared" si="90"/>
        <v>OK</v>
      </c>
      <c r="AL833" t="str">
        <f t="shared" si="85"/>
        <v>OK</v>
      </c>
      <c r="AM833" t="str">
        <f t="shared" si="86"/>
        <v>OK</v>
      </c>
      <c r="AN833" s="1">
        <f>IF(AF833=0,0,AH833/AF833)</f>
        <v>1</v>
      </c>
      <c r="AO833" s="1">
        <f t="shared" si="87"/>
        <v>1</v>
      </c>
      <c r="AP833" s="1">
        <f t="shared" si="88"/>
        <v>2.5</v>
      </c>
      <c r="AQ833" s="1">
        <f t="shared" si="89"/>
        <v>1</v>
      </c>
    </row>
    <row r="834" spans="1:43"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si="84"/>
        <v>OK</v>
      </c>
      <c r="AK834" t="str">
        <f t="shared" si="90"/>
        <v>OK</v>
      </c>
      <c r="AL834" t="str">
        <f t="shared" si="85"/>
        <v>OK</v>
      </c>
      <c r="AM834" t="str">
        <f t="shared" si="86"/>
        <v>OK</v>
      </c>
      <c r="AN834" s="1">
        <f>IF(AF834=0,0,AH834/AF834)</f>
        <v>0.16666666666666666</v>
      </c>
      <c r="AO834" s="1">
        <f t="shared" si="87"/>
        <v>0.33333333333333331</v>
      </c>
      <c r="AP834" s="1">
        <f t="shared" si="88"/>
        <v>0.33333333333333331</v>
      </c>
      <c r="AQ834" s="1">
        <f t="shared" si="89"/>
        <v>0.5</v>
      </c>
    </row>
    <row r="835" spans="1:43"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ref="AJ835:AJ898" si="91">IF(AF835&lt;=AC835, "OK", "ERROR")</f>
        <v>OK</v>
      </c>
      <c r="AK835" t="str">
        <f t="shared" si="90"/>
        <v>OK</v>
      </c>
      <c r="AL835" t="str">
        <f t="shared" ref="AL835:AL898" si="92">IF(AG835&lt;=AF835,"OK","ERROR")</f>
        <v>OK</v>
      </c>
      <c r="AM835" t="str">
        <f t="shared" ref="AM835:AM898" si="93">IF(AI835&lt;=AF835,"OK","ERROR")</f>
        <v>OK</v>
      </c>
      <c r="AN835" s="1">
        <f>IF(AF835=0,0,AH835/AF835)</f>
        <v>0.5</v>
      </c>
      <c r="AO835" s="1">
        <f t="shared" ref="AO835:AO898" si="94">IF(AF835=0,0,AG835/AF835)</f>
        <v>0.5</v>
      </c>
      <c r="AP835" s="1">
        <f t="shared" ref="AP835:AP898" si="95">IF(AF835=0,0,AD835/AF835)</f>
        <v>0</v>
      </c>
      <c r="AQ835" s="1">
        <f t="shared" ref="AQ835:AQ898" si="96">IF(AF835=0,0,AI835/AF835)</f>
        <v>0.5</v>
      </c>
    </row>
    <row r="836" spans="1:43"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91"/>
        <v>OK</v>
      </c>
      <c r="AK836" t="str">
        <f t="shared" ref="AK836:AK899" si="97">IF(AH836&lt;=AF836,"OK", "ERROR")</f>
        <v>OK</v>
      </c>
      <c r="AL836" t="str">
        <f t="shared" si="92"/>
        <v>OK</v>
      </c>
      <c r="AM836" t="str">
        <f t="shared" si="93"/>
        <v>OK</v>
      </c>
      <c r="AN836" s="1">
        <f>IF(AF836=0,0,AH836/AF836)</f>
        <v>0.16666666666666666</v>
      </c>
      <c r="AO836" s="1">
        <f t="shared" si="94"/>
        <v>0.83333333333333337</v>
      </c>
      <c r="AP836" s="1">
        <f t="shared" si="95"/>
        <v>0.5</v>
      </c>
      <c r="AQ836" s="1">
        <f t="shared" si="96"/>
        <v>0.5</v>
      </c>
    </row>
    <row r="837" spans="1:43"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91"/>
        <v>OK</v>
      </c>
      <c r="AK837" t="str">
        <f t="shared" si="97"/>
        <v>OK</v>
      </c>
      <c r="AL837" t="str">
        <f t="shared" si="92"/>
        <v>OK</v>
      </c>
      <c r="AM837" t="str">
        <f t="shared" si="93"/>
        <v>OK</v>
      </c>
      <c r="AN837" s="1">
        <f>IF(AF837=0,0,AH837/AF837)</f>
        <v>0.2</v>
      </c>
      <c r="AO837" s="1">
        <f t="shared" si="94"/>
        <v>0.8</v>
      </c>
      <c r="AP837" s="1">
        <f t="shared" si="95"/>
        <v>0.4</v>
      </c>
      <c r="AQ837" s="1">
        <f t="shared" si="96"/>
        <v>0.8</v>
      </c>
    </row>
    <row r="838" spans="1:43"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91"/>
        <v>OK</v>
      </c>
      <c r="AK838" t="str">
        <f t="shared" si="97"/>
        <v>OK</v>
      </c>
      <c r="AL838" t="str">
        <f t="shared" si="92"/>
        <v>OK</v>
      </c>
      <c r="AM838" t="str">
        <f t="shared" si="93"/>
        <v>OK</v>
      </c>
      <c r="AN838" s="1">
        <f>IF(AF838=0,0,AH838/AF838)</f>
        <v>0.27272727272727271</v>
      </c>
      <c r="AO838" s="1">
        <f t="shared" si="94"/>
        <v>0.72727272727272729</v>
      </c>
      <c r="AP838" s="1">
        <f t="shared" si="95"/>
        <v>0.27272727272727271</v>
      </c>
      <c r="AQ838" s="1">
        <f t="shared" si="96"/>
        <v>0.90909090909090906</v>
      </c>
    </row>
    <row r="839" spans="1:43"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91"/>
        <v>OK</v>
      </c>
      <c r="AK839" t="str">
        <f t="shared" si="97"/>
        <v>OK</v>
      </c>
      <c r="AL839" t="str">
        <f t="shared" si="92"/>
        <v>OK</v>
      </c>
      <c r="AM839" t="str">
        <f t="shared" si="93"/>
        <v>OK</v>
      </c>
      <c r="AN839" s="1">
        <f>IF(AF839=0,0,AH839/AF839)</f>
        <v>0.1111111111111111</v>
      </c>
      <c r="AO839" s="1">
        <f t="shared" si="94"/>
        <v>0.3888888888888889</v>
      </c>
      <c r="AP839" s="1">
        <f t="shared" si="95"/>
        <v>0.16666666666666666</v>
      </c>
      <c r="AQ839" s="1">
        <f t="shared" si="96"/>
        <v>0.72222222222222221</v>
      </c>
    </row>
    <row r="840" spans="1:43"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91"/>
        <v>OK</v>
      </c>
      <c r="AK840" t="str">
        <f t="shared" si="97"/>
        <v>OK</v>
      </c>
      <c r="AL840" t="str">
        <f t="shared" si="92"/>
        <v>OK</v>
      </c>
      <c r="AM840" t="str">
        <f t="shared" si="93"/>
        <v>OK</v>
      </c>
      <c r="AN840" s="1">
        <f>IF(AF840=0,0,AH840/AF840)</f>
        <v>0.61904761904761907</v>
      </c>
      <c r="AO840" s="1">
        <f t="shared" si="94"/>
        <v>0.42857142857142855</v>
      </c>
      <c r="AP840" s="1">
        <f t="shared" si="95"/>
        <v>9.5238095238095233E-2</v>
      </c>
      <c r="AQ840" s="1">
        <f t="shared" si="96"/>
        <v>0.66666666666666663</v>
      </c>
    </row>
    <row r="841" spans="1:43"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91"/>
        <v>OK</v>
      </c>
      <c r="AK841" t="str">
        <f t="shared" si="97"/>
        <v>OK</v>
      </c>
      <c r="AL841" t="str">
        <f t="shared" si="92"/>
        <v>OK</v>
      </c>
      <c r="AM841" t="str">
        <f t="shared" si="93"/>
        <v>OK</v>
      </c>
      <c r="AN841" s="1">
        <f>IF(AF841=0,0,AH841/AF841)</f>
        <v>0.16666666666666666</v>
      </c>
      <c r="AO841" s="1">
        <f t="shared" si="94"/>
        <v>0.66666666666666663</v>
      </c>
      <c r="AP841" s="1">
        <f t="shared" si="95"/>
        <v>0.5</v>
      </c>
      <c r="AQ841" s="1">
        <f t="shared" si="96"/>
        <v>0.83333333333333337</v>
      </c>
    </row>
    <row r="842" spans="1:43"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91"/>
        <v>OK</v>
      </c>
      <c r="AK842" t="str">
        <f t="shared" si="97"/>
        <v>OK</v>
      </c>
      <c r="AL842" t="str">
        <f t="shared" si="92"/>
        <v>OK</v>
      </c>
      <c r="AM842" t="str">
        <f t="shared" si="93"/>
        <v>OK</v>
      </c>
      <c r="AN842" s="1">
        <f>IF(AF842=0,0,AH842/AF842)</f>
        <v>0.125</v>
      </c>
      <c r="AO842" s="1">
        <f t="shared" si="94"/>
        <v>0</v>
      </c>
      <c r="AP842" s="1">
        <f t="shared" si="95"/>
        <v>0.25</v>
      </c>
      <c r="AQ842" s="1">
        <f t="shared" si="96"/>
        <v>0.875</v>
      </c>
    </row>
    <row r="843" spans="1:43"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91"/>
        <v>OK</v>
      </c>
      <c r="AK843" t="str">
        <f t="shared" si="97"/>
        <v>OK</v>
      </c>
      <c r="AL843" t="str">
        <f t="shared" si="92"/>
        <v>OK</v>
      </c>
      <c r="AM843" t="str">
        <f t="shared" si="93"/>
        <v>OK</v>
      </c>
      <c r="AN843" s="1">
        <f>IF(AF843=0,0,AH843/AF843)</f>
        <v>0.25</v>
      </c>
      <c r="AO843" s="1">
        <f t="shared" si="94"/>
        <v>0.75</v>
      </c>
      <c r="AP843" s="1">
        <f t="shared" si="95"/>
        <v>0.5</v>
      </c>
      <c r="AQ843" s="1">
        <f t="shared" si="96"/>
        <v>0.5</v>
      </c>
    </row>
    <row r="844" spans="1:43"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91"/>
        <v>OK</v>
      </c>
      <c r="AK844" t="str">
        <f t="shared" si="97"/>
        <v>OK</v>
      </c>
      <c r="AL844" t="str">
        <f t="shared" si="92"/>
        <v>OK</v>
      </c>
      <c r="AM844" t="str">
        <f t="shared" si="93"/>
        <v>OK</v>
      </c>
      <c r="AN844" s="1">
        <f>IF(AF844=0,0,AH844/AF844)</f>
        <v>0</v>
      </c>
      <c r="AO844" s="1">
        <f t="shared" si="94"/>
        <v>1</v>
      </c>
      <c r="AP844" s="1">
        <f t="shared" si="95"/>
        <v>4</v>
      </c>
      <c r="AQ844" s="1">
        <f t="shared" si="96"/>
        <v>0</v>
      </c>
    </row>
    <row r="845" spans="1:43"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91"/>
        <v>OK</v>
      </c>
      <c r="AK845" t="str">
        <f t="shared" si="97"/>
        <v>OK</v>
      </c>
      <c r="AL845" t="str">
        <f t="shared" si="92"/>
        <v>OK</v>
      </c>
      <c r="AM845" t="str">
        <f t="shared" si="93"/>
        <v>OK</v>
      </c>
      <c r="AN845" s="1">
        <f>IF(AF845=0,0,AH845/AF845)</f>
        <v>0</v>
      </c>
      <c r="AO845" s="1">
        <f t="shared" si="94"/>
        <v>0.875</v>
      </c>
      <c r="AP845" s="1">
        <f t="shared" si="95"/>
        <v>0.25</v>
      </c>
      <c r="AQ845" s="1">
        <f t="shared" si="96"/>
        <v>0.875</v>
      </c>
    </row>
    <row r="846" spans="1:43"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91"/>
        <v>OK</v>
      </c>
      <c r="AK846" t="str">
        <f t="shared" si="97"/>
        <v>OK</v>
      </c>
      <c r="AL846" t="str">
        <f t="shared" si="92"/>
        <v>OK</v>
      </c>
      <c r="AM846" t="str">
        <f t="shared" si="93"/>
        <v>OK</v>
      </c>
      <c r="AN846" s="1">
        <f>IF(AF846=0,0,AH846/AF846)</f>
        <v>0.1</v>
      </c>
      <c r="AO846" s="1">
        <f t="shared" si="94"/>
        <v>0.3</v>
      </c>
      <c r="AP846" s="1">
        <f t="shared" si="95"/>
        <v>0.3</v>
      </c>
      <c r="AQ846" s="1">
        <f t="shared" si="96"/>
        <v>0.4</v>
      </c>
    </row>
    <row r="847" spans="1:43"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91"/>
        <v>OK</v>
      </c>
      <c r="AK847" t="str">
        <f t="shared" si="97"/>
        <v>OK</v>
      </c>
      <c r="AL847" t="str">
        <f t="shared" si="92"/>
        <v>OK</v>
      </c>
      <c r="AM847" t="str">
        <f t="shared" si="93"/>
        <v>OK</v>
      </c>
      <c r="AN847" s="1">
        <f>IF(AF847=0,0,AH847/AF847)</f>
        <v>0</v>
      </c>
      <c r="AO847" s="1">
        <f t="shared" si="94"/>
        <v>1</v>
      </c>
      <c r="AP847" s="1">
        <f t="shared" si="95"/>
        <v>3</v>
      </c>
      <c r="AQ847" s="1">
        <f t="shared" si="96"/>
        <v>0</v>
      </c>
    </row>
    <row r="848" spans="1:43"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91"/>
        <v>OK</v>
      </c>
      <c r="AK848" t="str">
        <f t="shared" si="97"/>
        <v>OK</v>
      </c>
      <c r="AL848" t="str">
        <f t="shared" si="92"/>
        <v>OK</v>
      </c>
      <c r="AM848" t="str">
        <f t="shared" si="93"/>
        <v>OK</v>
      </c>
      <c r="AN848" s="1">
        <f>IF(AF848=0,0,AH848/AF848)</f>
        <v>0.8571428571428571</v>
      </c>
      <c r="AO848" s="1">
        <f t="shared" si="94"/>
        <v>1</v>
      </c>
      <c r="AP848" s="1">
        <f t="shared" si="95"/>
        <v>0.2857142857142857</v>
      </c>
      <c r="AQ848" s="1">
        <f t="shared" si="96"/>
        <v>0.5714285714285714</v>
      </c>
    </row>
    <row r="849" spans="1:43"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91"/>
        <v>OK</v>
      </c>
      <c r="AK849" t="str">
        <f t="shared" si="97"/>
        <v>OK</v>
      </c>
      <c r="AL849" t="str">
        <f t="shared" si="92"/>
        <v>OK</v>
      </c>
      <c r="AM849" t="str">
        <f t="shared" si="93"/>
        <v>OK</v>
      </c>
      <c r="AN849" s="1">
        <f>IF(AF849=0,0,AH849/AF849)</f>
        <v>0.30769230769230771</v>
      </c>
      <c r="AO849" s="1">
        <f t="shared" si="94"/>
        <v>0.69230769230769229</v>
      </c>
      <c r="AP849" s="1">
        <f t="shared" si="95"/>
        <v>0.23076923076923078</v>
      </c>
      <c r="AQ849" s="1">
        <f t="shared" si="96"/>
        <v>0.69230769230769229</v>
      </c>
    </row>
    <row r="850" spans="1:43"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91"/>
        <v>OK</v>
      </c>
      <c r="AK850" t="str">
        <f t="shared" si="97"/>
        <v>OK</v>
      </c>
      <c r="AL850" t="str">
        <f t="shared" si="92"/>
        <v>OK</v>
      </c>
      <c r="AM850" t="str">
        <f t="shared" si="93"/>
        <v>OK</v>
      </c>
      <c r="AN850" s="1">
        <f>IF(AF850=0,0,AH850/AF850)</f>
        <v>1</v>
      </c>
      <c r="AO850" s="1">
        <f t="shared" si="94"/>
        <v>1</v>
      </c>
      <c r="AP850" s="1">
        <f t="shared" si="95"/>
        <v>1</v>
      </c>
      <c r="AQ850" s="1">
        <f t="shared" si="96"/>
        <v>1</v>
      </c>
    </row>
    <row r="851" spans="1:43"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91"/>
        <v>OK</v>
      </c>
      <c r="AK851" t="str">
        <f t="shared" si="97"/>
        <v>OK</v>
      </c>
      <c r="AL851" t="str">
        <f t="shared" si="92"/>
        <v>OK</v>
      </c>
      <c r="AM851" t="str">
        <f t="shared" si="93"/>
        <v>OK</v>
      </c>
      <c r="AN851" s="1">
        <f>IF(AF851=0,0,AH851/AF851)</f>
        <v>0.25</v>
      </c>
      <c r="AO851" s="1">
        <f t="shared" si="94"/>
        <v>0.75</v>
      </c>
      <c r="AP851" s="1">
        <f t="shared" si="95"/>
        <v>0.5</v>
      </c>
      <c r="AQ851" s="1">
        <f t="shared" si="96"/>
        <v>0.75</v>
      </c>
    </row>
    <row r="852" spans="1:43"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91"/>
        <v>OK</v>
      </c>
      <c r="AK852" t="str">
        <f t="shared" si="97"/>
        <v>OK</v>
      </c>
      <c r="AL852" t="str">
        <f t="shared" si="92"/>
        <v>OK</v>
      </c>
      <c r="AM852" t="str">
        <f t="shared" si="93"/>
        <v>OK</v>
      </c>
      <c r="AN852" s="1">
        <f>IF(AF852=0,0,AH852/AF852)</f>
        <v>0</v>
      </c>
      <c r="AO852" s="1">
        <f t="shared" si="94"/>
        <v>0</v>
      </c>
      <c r="AP852" s="1">
        <f t="shared" si="95"/>
        <v>3</v>
      </c>
      <c r="AQ852" s="1">
        <f t="shared" si="96"/>
        <v>0</v>
      </c>
    </row>
    <row r="853" spans="1:43"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91"/>
        <v>OK</v>
      </c>
      <c r="AK853" t="str">
        <f t="shared" si="97"/>
        <v>OK</v>
      </c>
      <c r="AL853" t="str">
        <f t="shared" si="92"/>
        <v>OK</v>
      </c>
      <c r="AM853" t="str">
        <f t="shared" si="93"/>
        <v>OK</v>
      </c>
      <c r="AN853" s="1">
        <f>IF(AF853=0,0,AH853/AF853)</f>
        <v>0.8</v>
      </c>
      <c r="AO853" s="1">
        <f t="shared" si="94"/>
        <v>0.4</v>
      </c>
      <c r="AP853" s="1">
        <f t="shared" si="95"/>
        <v>0.4</v>
      </c>
      <c r="AQ853" s="1">
        <f t="shared" si="96"/>
        <v>0.4</v>
      </c>
    </row>
    <row r="854" spans="1:43"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91"/>
        <v>OK</v>
      </c>
      <c r="AK854" t="str">
        <f t="shared" si="97"/>
        <v>OK</v>
      </c>
      <c r="AL854" t="str">
        <f t="shared" si="92"/>
        <v>OK</v>
      </c>
      <c r="AM854" t="str">
        <f t="shared" si="93"/>
        <v>OK</v>
      </c>
      <c r="AN854" s="1">
        <f>IF(AF854=0,0,AH854/AF854)</f>
        <v>0</v>
      </c>
      <c r="AO854" s="1">
        <f t="shared" si="94"/>
        <v>0.8</v>
      </c>
      <c r="AP854" s="1">
        <f t="shared" si="95"/>
        <v>0.5</v>
      </c>
      <c r="AQ854" s="1">
        <f t="shared" si="96"/>
        <v>0.8</v>
      </c>
    </row>
    <row r="855" spans="1:43"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91"/>
        <v>OK</v>
      </c>
      <c r="AK855" t="str">
        <f t="shared" si="97"/>
        <v>OK</v>
      </c>
      <c r="AL855" t="str">
        <f t="shared" si="92"/>
        <v>OK</v>
      </c>
      <c r="AM855" t="str">
        <f t="shared" si="93"/>
        <v>OK</v>
      </c>
      <c r="AN855" s="1">
        <f>IF(AF855=0,0,AH855/AF855)</f>
        <v>0</v>
      </c>
      <c r="AO855" s="1">
        <f t="shared" si="94"/>
        <v>1</v>
      </c>
      <c r="AP855" s="1">
        <f t="shared" si="95"/>
        <v>4</v>
      </c>
      <c r="AQ855" s="1">
        <f t="shared" si="96"/>
        <v>0</v>
      </c>
    </row>
    <row r="856" spans="1:43"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91"/>
        <v>OK</v>
      </c>
      <c r="AK856" t="str">
        <f t="shared" si="97"/>
        <v>OK</v>
      </c>
      <c r="AL856" t="str">
        <f t="shared" si="92"/>
        <v>OK</v>
      </c>
      <c r="AM856" t="str">
        <f t="shared" si="93"/>
        <v>OK</v>
      </c>
      <c r="AN856" s="1">
        <f>IF(AF856=0,0,AH856/AF856)</f>
        <v>0</v>
      </c>
      <c r="AO856" s="1">
        <f t="shared" si="94"/>
        <v>0.66666666666666663</v>
      </c>
      <c r="AP856" s="1">
        <f t="shared" si="95"/>
        <v>0.66666666666666663</v>
      </c>
      <c r="AQ856" s="1">
        <f t="shared" si="96"/>
        <v>0.66666666666666663</v>
      </c>
    </row>
    <row r="857" spans="1:43"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91"/>
        <v>OK</v>
      </c>
      <c r="AK857" t="str">
        <f t="shared" si="97"/>
        <v>OK</v>
      </c>
      <c r="AL857" t="str">
        <f t="shared" si="92"/>
        <v>OK</v>
      </c>
      <c r="AM857" t="str">
        <f t="shared" si="93"/>
        <v>OK</v>
      </c>
      <c r="AN857" s="1">
        <f>IF(AF857=0,0,AH857/AF857)</f>
        <v>0.21428571428571427</v>
      </c>
      <c r="AO857" s="1">
        <f t="shared" si="94"/>
        <v>0.5714285714285714</v>
      </c>
      <c r="AP857" s="1">
        <f t="shared" si="95"/>
        <v>0.14285714285714285</v>
      </c>
      <c r="AQ857" s="1">
        <f t="shared" si="96"/>
        <v>0.7857142857142857</v>
      </c>
    </row>
    <row r="858" spans="1:43"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91"/>
        <v>OK</v>
      </c>
      <c r="AK858" t="str">
        <f t="shared" si="97"/>
        <v>OK</v>
      </c>
      <c r="AL858" t="str">
        <f t="shared" si="92"/>
        <v>OK</v>
      </c>
      <c r="AM858" t="str">
        <f t="shared" si="93"/>
        <v>OK</v>
      </c>
      <c r="AN858" s="1">
        <f>IF(AF858=0,0,AH858/AF858)</f>
        <v>0.5</v>
      </c>
      <c r="AO858" s="1">
        <f t="shared" si="94"/>
        <v>1</v>
      </c>
      <c r="AP858" s="1">
        <f t="shared" si="95"/>
        <v>1</v>
      </c>
      <c r="AQ858" s="1">
        <f t="shared" si="96"/>
        <v>1</v>
      </c>
    </row>
    <row r="859" spans="1:43"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91"/>
        <v>OK</v>
      </c>
      <c r="AK859" t="str">
        <f t="shared" si="97"/>
        <v>OK</v>
      </c>
      <c r="AL859" t="str">
        <f t="shared" si="92"/>
        <v>OK</v>
      </c>
      <c r="AM859" t="str">
        <f t="shared" si="93"/>
        <v>OK</v>
      </c>
      <c r="AN859" s="1">
        <f>IF(AF859=0,0,AH859/AF859)</f>
        <v>0</v>
      </c>
      <c r="AO859" s="1">
        <f t="shared" si="94"/>
        <v>0.66666666666666663</v>
      </c>
      <c r="AP859" s="1">
        <f t="shared" si="95"/>
        <v>0.66666666666666663</v>
      </c>
      <c r="AQ859" s="1">
        <f t="shared" si="96"/>
        <v>0.33333333333333331</v>
      </c>
    </row>
    <row r="860" spans="1:43"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91"/>
        <v>OK</v>
      </c>
      <c r="AK860" t="str">
        <f t="shared" si="97"/>
        <v>OK</v>
      </c>
      <c r="AL860" t="str">
        <f t="shared" si="92"/>
        <v>OK</v>
      </c>
      <c r="AM860" t="str">
        <f t="shared" si="93"/>
        <v>OK</v>
      </c>
      <c r="AN860" s="1">
        <f>IF(AF860=0,0,AH860/AF860)</f>
        <v>0.5714285714285714</v>
      </c>
      <c r="AO860" s="1">
        <f t="shared" si="94"/>
        <v>1</v>
      </c>
      <c r="AP860" s="1">
        <f t="shared" si="95"/>
        <v>0.8571428571428571</v>
      </c>
      <c r="AQ860" s="1">
        <f t="shared" si="96"/>
        <v>1</v>
      </c>
    </row>
    <row r="861" spans="1:43"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91"/>
        <v>OK</v>
      </c>
      <c r="AK861" t="str">
        <f t="shared" si="97"/>
        <v>OK</v>
      </c>
      <c r="AL861" t="str">
        <f t="shared" si="92"/>
        <v>OK</v>
      </c>
      <c r="AM861" t="str">
        <f t="shared" si="93"/>
        <v>OK</v>
      </c>
      <c r="AN861" s="1">
        <f>IF(AF861=0,0,AH861/AF861)</f>
        <v>0.2</v>
      </c>
      <c r="AO861" s="1">
        <f t="shared" si="94"/>
        <v>0.8</v>
      </c>
      <c r="AP861" s="1">
        <f t="shared" si="95"/>
        <v>0.4</v>
      </c>
      <c r="AQ861" s="1">
        <f t="shared" si="96"/>
        <v>0.6</v>
      </c>
    </row>
    <row r="862" spans="1:43"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91"/>
        <v>OK</v>
      </c>
      <c r="AK862" t="str">
        <f t="shared" si="97"/>
        <v>OK</v>
      </c>
      <c r="AL862" t="str">
        <f t="shared" si="92"/>
        <v>OK</v>
      </c>
      <c r="AM862" t="str">
        <f t="shared" si="93"/>
        <v>OK</v>
      </c>
      <c r="AN862" s="1">
        <f>IF(AF862=0,0,AH862/AF862)</f>
        <v>0</v>
      </c>
      <c r="AO862" s="1">
        <f t="shared" si="94"/>
        <v>0</v>
      </c>
      <c r="AP862" s="1">
        <f t="shared" si="95"/>
        <v>0</v>
      </c>
      <c r="AQ862" s="1">
        <f t="shared" si="96"/>
        <v>0</v>
      </c>
    </row>
    <row r="863" spans="1:43"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91"/>
        <v>OK</v>
      </c>
      <c r="AK863" t="str">
        <f t="shared" si="97"/>
        <v>OK</v>
      </c>
      <c r="AL863" t="str">
        <f t="shared" si="92"/>
        <v>OK</v>
      </c>
      <c r="AM863" t="str">
        <f t="shared" si="93"/>
        <v>OK</v>
      </c>
      <c r="AN863" s="1">
        <f>IF(AF863=0,0,AH863/AF863)</f>
        <v>0.57692307692307687</v>
      </c>
      <c r="AO863" s="1">
        <f t="shared" si="94"/>
        <v>0.57692307692307687</v>
      </c>
      <c r="AP863" s="1">
        <f t="shared" si="95"/>
        <v>7.6923076923076927E-2</v>
      </c>
      <c r="AQ863" s="1">
        <f t="shared" si="96"/>
        <v>0.34615384615384615</v>
      </c>
    </row>
    <row r="864" spans="1:43"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91"/>
        <v>OK</v>
      </c>
      <c r="AK864" t="str">
        <f t="shared" si="97"/>
        <v>OK</v>
      </c>
      <c r="AL864" t="str">
        <f t="shared" si="92"/>
        <v>OK</v>
      </c>
      <c r="AM864" t="str">
        <f t="shared" si="93"/>
        <v>OK</v>
      </c>
      <c r="AN864" s="1">
        <f>IF(AF864=0,0,AH864/AF864)</f>
        <v>0</v>
      </c>
      <c r="AO864" s="1">
        <f t="shared" si="94"/>
        <v>0</v>
      </c>
      <c r="AP864" s="1">
        <f t="shared" si="95"/>
        <v>0</v>
      </c>
      <c r="AQ864" s="1">
        <f t="shared" si="96"/>
        <v>0</v>
      </c>
    </row>
    <row r="865" spans="1:43"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91"/>
        <v>OK</v>
      </c>
      <c r="AK865" t="str">
        <f t="shared" si="97"/>
        <v>OK</v>
      </c>
      <c r="AL865" t="str">
        <f t="shared" si="92"/>
        <v>OK</v>
      </c>
      <c r="AM865" t="str">
        <f t="shared" si="93"/>
        <v>OK</v>
      </c>
      <c r="AN865" s="1">
        <f>IF(AF865=0,0,AH865/AF865)</f>
        <v>0.2</v>
      </c>
      <c r="AO865" s="1">
        <f t="shared" si="94"/>
        <v>0.8</v>
      </c>
      <c r="AP865" s="1">
        <f t="shared" si="95"/>
        <v>0.4</v>
      </c>
      <c r="AQ865" s="1">
        <f t="shared" si="96"/>
        <v>0.8</v>
      </c>
    </row>
    <row r="866" spans="1:43"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91"/>
        <v>OK</v>
      </c>
      <c r="AK866" t="str">
        <f t="shared" si="97"/>
        <v>OK</v>
      </c>
      <c r="AL866" t="str">
        <f t="shared" si="92"/>
        <v>OK</v>
      </c>
      <c r="AM866" t="str">
        <f t="shared" si="93"/>
        <v>OK</v>
      </c>
      <c r="AN866" s="1">
        <f>IF(AF866=0,0,AH866/AF866)</f>
        <v>0</v>
      </c>
      <c r="AO866" s="1">
        <f t="shared" si="94"/>
        <v>0</v>
      </c>
      <c r="AP866" s="1">
        <f t="shared" si="95"/>
        <v>2</v>
      </c>
      <c r="AQ866" s="1">
        <f t="shared" si="96"/>
        <v>0</v>
      </c>
    </row>
    <row r="867" spans="1:43"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91"/>
        <v>OK</v>
      </c>
      <c r="AK867" t="str">
        <f t="shared" si="97"/>
        <v>OK</v>
      </c>
      <c r="AL867" t="str">
        <f t="shared" si="92"/>
        <v>OK</v>
      </c>
      <c r="AM867" t="str">
        <f t="shared" si="93"/>
        <v>OK</v>
      </c>
      <c r="AN867" s="1">
        <f>IF(AF867=0,0,AH867/AF867)</f>
        <v>0</v>
      </c>
      <c r="AO867" s="1">
        <f t="shared" si="94"/>
        <v>0.75</v>
      </c>
      <c r="AP867" s="1">
        <f t="shared" si="95"/>
        <v>0.75</v>
      </c>
      <c r="AQ867" s="1">
        <f t="shared" si="96"/>
        <v>0.75</v>
      </c>
    </row>
    <row r="868" spans="1:43"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91"/>
        <v>OK</v>
      </c>
      <c r="AK868" t="str">
        <f t="shared" si="97"/>
        <v>OK</v>
      </c>
      <c r="AL868" t="str">
        <f t="shared" si="92"/>
        <v>OK</v>
      </c>
      <c r="AM868" t="str">
        <f t="shared" si="93"/>
        <v>OK</v>
      </c>
      <c r="AN868" s="1">
        <f>IF(AF868=0,0,AH868/AF868)</f>
        <v>0</v>
      </c>
      <c r="AO868" s="1">
        <f t="shared" si="94"/>
        <v>0</v>
      </c>
      <c r="AP868" s="1">
        <f t="shared" si="95"/>
        <v>0</v>
      </c>
      <c r="AQ868" s="1">
        <f t="shared" si="96"/>
        <v>0</v>
      </c>
    </row>
    <row r="869" spans="1:43"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91"/>
        <v>OK</v>
      </c>
      <c r="AK869" t="str">
        <f t="shared" si="97"/>
        <v>OK</v>
      </c>
      <c r="AL869" t="str">
        <f t="shared" si="92"/>
        <v>OK</v>
      </c>
      <c r="AM869" t="str">
        <f t="shared" si="93"/>
        <v>OK</v>
      </c>
      <c r="AN869" s="1">
        <f>IF(AF869=0,0,AH869/AF869)</f>
        <v>1</v>
      </c>
      <c r="AO869" s="1">
        <f t="shared" si="94"/>
        <v>1</v>
      </c>
      <c r="AP869" s="1">
        <f t="shared" si="95"/>
        <v>1.5</v>
      </c>
      <c r="AQ869" s="1">
        <f t="shared" si="96"/>
        <v>1</v>
      </c>
    </row>
    <row r="870" spans="1:43"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91"/>
        <v>OK</v>
      </c>
      <c r="AK870" t="str">
        <f t="shared" si="97"/>
        <v>OK</v>
      </c>
      <c r="AL870" t="str">
        <f t="shared" si="92"/>
        <v>OK</v>
      </c>
      <c r="AM870" t="str">
        <f t="shared" si="93"/>
        <v>OK</v>
      </c>
      <c r="AN870" s="1">
        <f>IF(AF870=0,0,AH870/AF870)</f>
        <v>0.5</v>
      </c>
      <c r="AO870" s="1">
        <f t="shared" si="94"/>
        <v>0.83333333333333337</v>
      </c>
      <c r="AP870" s="1">
        <f t="shared" si="95"/>
        <v>0.33333333333333331</v>
      </c>
      <c r="AQ870" s="1">
        <f t="shared" si="96"/>
        <v>0.5</v>
      </c>
    </row>
    <row r="871" spans="1:43"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91"/>
        <v>OK</v>
      </c>
      <c r="AK871" t="str">
        <f t="shared" si="97"/>
        <v>OK</v>
      </c>
      <c r="AL871" t="str">
        <f t="shared" si="92"/>
        <v>OK</v>
      </c>
      <c r="AM871" t="str">
        <f t="shared" si="93"/>
        <v>OK</v>
      </c>
      <c r="AN871" s="1">
        <f>IF(AF871=0,0,AH871/AF871)</f>
        <v>0</v>
      </c>
      <c r="AO871" s="1">
        <f t="shared" si="94"/>
        <v>0.5</v>
      </c>
      <c r="AP871" s="1">
        <f t="shared" si="95"/>
        <v>0.5</v>
      </c>
      <c r="AQ871" s="1">
        <f t="shared" si="96"/>
        <v>0.75</v>
      </c>
    </row>
    <row r="872" spans="1:43"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91"/>
        <v>OK</v>
      </c>
      <c r="AK872" t="str">
        <f t="shared" si="97"/>
        <v>OK</v>
      </c>
      <c r="AL872" t="str">
        <f t="shared" si="92"/>
        <v>OK</v>
      </c>
      <c r="AM872" t="str">
        <f t="shared" si="93"/>
        <v>OK</v>
      </c>
      <c r="AN872" s="1">
        <f>IF(AF872=0,0,AH872/AF872)</f>
        <v>0.14285714285714285</v>
      </c>
      <c r="AO872" s="1">
        <f t="shared" si="94"/>
        <v>1</v>
      </c>
      <c r="AP872" s="1">
        <f t="shared" si="95"/>
        <v>0.2857142857142857</v>
      </c>
      <c r="AQ872" s="1">
        <f t="shared" si="96"/>
        <v>1</v>
      </c>
    </row>
    <row r="873" spans="1:43"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91"/>
        <v>OK</v>
      </c>
      <c r="AK873" t="str">
        <f t="shared" si="97"/>
        <v>OK</v>
      </c>
      <c r="AL873" t="str">
        <f t="shared" si="92"/>
        <v>OK</v>
      </c>
      <c r="AM873" t="str">
        <f t="shared" si="93"/>
        <v>OK</v>
      </c>
      <c r="AN873" s="1">
        <f>IF(AF873=0,0,AH873/AF873)</f>
        <v>0</v>
      </c>
      <c r="AO873" s="1">
        <f t="shared" si="94"/>
        <v>0</v>
      </c>
      <c r="AP873" s="1">
        <f t="shared" si="95"/>
        <v>3</v>
      </c>
      <c r="AQ873" s="1">
        <f t="shared" si="96"/>
        <v>0</v>
      </c>
    </row>
    <row r="874" spans="1:43"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91"/>
        <v>OK</v>
      </c>
      <c r="AK874" t="str">
        <f t="shared" si="97"/>
        <v>OK</v>
      </c>
      <c r="AL874" t="str">
        <f t="shared" si="92"/>
        <v>OK</v>
      </c>
      <c r="AM874" t="str">
        <f t="shared" si="93"/>
        <v>OK</v>
      </c>
      <c r="AN874" s="1">
        <f>IF(AF874=0,0,AH874/AF874)</f>
        <v>0</v>
      </c>
      <c r="AO874" s="1">
        <f t="shared" si="94"/>
        <v>0.7</v>
      </c>
      <c r="AP874" s="1">
        <f t="shared" si="95"/>
        <v>0.3</v>
      </c>
      <c r="AQ874" s="1">
        <f t="shared" si="96"/>
        <v>0.1</v>
      </c>
    </row>
    <row r="875" spans="1:43"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91"/>
        <v>OK</v>
      </c>
      <c r="AK875" t="str">
        <f t="shared" si="97"/>
        <v>OK</v>
      </c>
      <c r="AL875" t="str">
        <f t="shared" si="92"/>
        <v>OK</v>
      </c>
      <c r="AM875" t="str">
        <f t="shared" si="93"/>
        <v>OK</v>
      </c>
      <c r="AN875" s="1">
        <f>IF(AF875=0,0,AH875/AF875)</f>
        <v>0.14285714285714285</v>
      </c>
      <c r="AO875" s="1">
        <f t="shared" si="94"/>
        <v>1</v>
      </c>
      <c r="AP875" s="1">
        <f t="shared" si="95"/>
        <v>0.5714285714285714</v>
      </c>
      <c r="AQ875" s="1">
        <f t="shared" si="96"/>
        <v>1</v>
      </c>
    </row>
    <row r="876" spans="1:43"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91"/>
        <v>OK</v>
      </c>
      <c r="AK876" t="str">
        <f t="shared" si="97"/>
        <v>OK</v>
      </c>
      <c r="AL876" t="str">
        <f t="shared" si="92"/>
        <v>OK</v>
      </c>
      <c r="AM876" t="str">
        <f t="shared" si="93"/>
        <v>OK</v>
      </c>
      <c r="AN876" s="1">
        <f>IF(AF876=0,0,AH876/AF876)</f>
        <v>0.8</v>
      </c>
      <c r="AO876" s="1">
        <f t="shared" si="94"/>
        <v>0.7</v>
      </c>
      <c r="AP876" s="1">
        <f t="shared" si="95"/>
        <v>0.4</v>
      </c>
      <c r="AQ876" s="1">
        <f t="shared" si="96"/>
        <v>0.9</v>
      </c>
    </row>
    <row r="877" spans="1:43"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91"/>
        <v>OK</v>
      </c>
      <c r="AK877" t="str">
        <f t="shared" si="97"/>
        <v>OK</v>
      </c>
      <c r="AL877" t="str">
        <f t="shared" si="92"/>
        <v>OK</v>
      </c>
      <c r="AM877" t="str">
        <f t="shared" si="93"/>
        <v>OK</v>
      </c>
      <c r="AN877" s="1">
        <f>IF(AF877=0,0,AH877/AF877)</f>
        <v>0.65</v>
      </c>
      <c r="AO877" s="1">
        <f t="shared" si="94"/>
        <v>0.55000000000000004</v>
      </c>
      <c r="AP877" s="1">
        <f t="shared" si="95"/>
        <v>0.15</v>
      </c>
      <c r="AQ877" s="1">
        <f t="shared" si="96"/>
        <v>0.85</v>
      </c>
    </row>
    <row r="878" spans="1:43"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91"/>
        <v>OK</v>
      </c>
      <c r="AK878" t="str">
        <f t="shared" si="97"/>
        <v>OK</v>
      </c>
      <c r="AL878" t="str">
        <f t="shared" si="92"/>
        <v>OK</v>
      </c>
      <c r="AM878" t="str">
        <f t="shared" si="93"/>
        <v>OK</v>
      </c>
      <c r="AN878" s="1">
        <f>IF(AF878=0,0,AH878/AF878)</f>
        <v>1</v>
      </c>
      <c r="AO878" s="1">
        <f t="shared" si="94"/>
        <v>0.5</v>
      </c>
      <c r="AP878" s="1">
        <f t="shared" si="95"/>
        <v>1</v>
      </c>
      <c r="AQ878" s="1">
        <f t="shared" si="96"/>
        <v>1</v>
      </c>
    </row>
    <row r="879" spans="1:43"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91"/>
        <v>OK</v>
      </c>
      <c r="AK879" t="str">
        <f t="shared" si="97"/>
        <v>OK</v>
      </c>
      <c r="AL879" t="str">
        <f t="shared" si="92"/>
        <v>OK</v>
      </c>
      <c r="AM879" t="str">
        <f t="shared" si="93"/>
        <v>OK</v>
      </c>
      <c r="AN879" s="1">
        <f>IF(AF879=0,0,AH879/AF879)</f>
        <v>0.16666666666666666</v>
      </c>
      <c r="AO879" s="1">
        <f t="shared" si="94"/>
        <v>0.5</v>
      </c>
      <c r="AP879" s="1">
        <f t="shared" si="95"/>
        <v>0.5</v>
      </c>
      <c r="AQ879" s="1">
        <f t="shared" si="96"/>
        <v>0.66666666666666663</v>
      </c>
    </row>
    <row r="880" spans="1:43"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91"/>
        <v>OK</v>
      </c>
      <c r="AK880" t="str">
        <f t="shared" si="97"/>
        <v>OK</v>
      </c>
      <c r="AL880" t="str">
        <f t="shared" si="92"/>
        <v>OK</v>
      </c>
      <c r="AM880" t="str">
        <f t="shared" si="93"/>
        <v>OK</v>
      </c>
      <c r="AN880" s="1">
        <f>IF(AF880=0,0,AH880/AF880)</f>
        <v>0</v>
      </c>
      <c r="AO880" s="1">
        <f t="shared" si="94"/>
        <v>0.75</v>
      </c>
      <c r="AP880" s="1">
        <f t="shared" si="95"/>
        <v>0.75</v>
      </c>
      <c r="AQ880" s="1">
        <f t="shared" si="96"/>
        <v>0.75</v>
      </c>
    </row>
    <row r="881" spans="1:43"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91"/>
        <v>OK</v>
      </c>
      <c r="AK881" t="str">
        <f t="shared" si="97"/>
        <v>OK</v>
      </c>
      <c r="AL881" t="str">
        <f t="shared" si="92"/>
        <v>OK</v>
      </c>
      <c r="AM881" t="str">
        <f t="shared" si="93"/>
        <v>OK</v>
      </c>
      <c r="AN881" s="1">
        <f>IF(AF881=0,0,AH881/AF881)</f>
        <v>9.0909090909090912E-2</v>
      </c>
      <c r="AO881" s="1">
        <f t="shared" si="94"/>
        <v>0.63636363636363635</v>
      </c>
      <c r="AP881" s="1">
        <f t="shared" si="95"/>
        <v>0.27272727272727271</v>
      </c>
      <c r="AQ881" s="1">
        <f t="shared" si="96"/>
        <v>0.81818181818181823</v>
      </c>
    </row>
    <row r="882" spans="1:43"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91"/>
        <v>OK</v>
      </c>
      <c r="AK882" t="str">
        <f t="shared" si="97"/>
        <v>OK</v>
      </c>
      <c r="AL882" t="str">
        <f t="shared" si="92"/>
        <v>OK</v>
      </c>
      <c r="AM882" t="str">
        <f t="shared" si="93"/>
        <v>OK</v>
      </c>
      <c r="AN882" s="1">
        <f>IF(AF882=0,0,AH882/AF882)</f>
        <v>1</v>
      </c>
      <c r="AO882" s="1">
        <f t="shared" si="94"/>
        <v>1</v>
      </c>
      <c r="AP882" s="1">
        <f t="shared" si="95"/>
        <v>1</v>
      </c>
      <c r="AQ882" s="1">
        <f t="shared" si="96"/>
        <v>1</v>
      </c>
    </row>
    <row r="883" spans="1:43"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91"/>
        <v>OK</v>
      </c>
      <c r="AK883" t="str">
        <f t="shared" si="97"/>
        <v>OK</v>
      </c>
      <c r="AL883" t="str">
        <f t="shared" si="92"/>
        <v>OK</v>
      </c>
      <c r="AM883" t="str">
        <f t="shared" si="93"/>
        <v>OK</v>
      </c>
      <c r="AN883" s="1">
        <f>IF(AF883=0,0,AH883/AF883)</f>
        <v>0</v>
      </c>
      <c r="AO883" s="1">
        <f t="shared" si="94"/>
        <v>0.875</v>
      </c>
      <c r="AP883" s="1">
        <f t="shared" si="95"/>
        <v>0.25</v>
      </c>
      <c r="AQ883" s="1">
        <f t="shared" si="96"/>
        <v>0.875</v>
      </c>
    </row>
    <row r="884" spans="1:43"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91"/>
        <v>OK</v>
      </c>
      <c r="AK884" t="str">
        <f t="shared" si="97"/>
        <v>OK</v>
      </c>
      <c r="AL884" t="str">
        <f t="shared" si="92"/>
        <v>OK</v>
      </c>
      <c r="AM884" t="str">
        <f t="shared" si="93"/>
        <v>OK</v>
      </c>
      <c r="AN884" s="1">
        <f>IF(AF884=0,0,AH884/AF884)</f>
        <v>1</v>
      </c>
      <c r="AO884" s="1">
        <f t="shared" si="94"/>
        <v>1</v>
      </c>
      <c r="AP884" s="1">
        <f t="shared" si="95"/>
        <v>0.2857142857142857</v>
      </c>
      <c r="AQ884" s="1">
        <f t="shared" si="96"/>
        <v>1</v>
      </c>
    </row>
    <row r="885" spans="1:43"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91"/>
        <v>OK</v>
      </c>
      <c r="AK885" t="str">
        <f t="shared" si="97"/>
        <v>OK</v>
      </c>
      <c r="AL885" t="str">
        <f t="shared" si="92"/>
        <v>OK</v>
      </c>
      <c r="AM885" t="str">
        <f t="shared" si="93"/>
        <v>OK</v>
      </c>
      <c r="AN885" s="1">
        <f>IF(AF885=0,0,AH885/AF885)</f>
        <v>0.2857142857142857</v>
      </c>
      <c r="AO885" s="1">
        <f t="shared" si="94"/>
        <v>0.7142857142857143</v>
      </c>
      <c r="AP885" s="1">
        <f t="shared" si="95"/>
        <v>0.35714285714285715</v>
      </c>
      <c r="AQ885" s="1">
        <f t="shared" si="96"/>
        <v>0.7142857142857143</v>
      </c>
    </row>
    <row r="886" spans="1:43"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91"/>
        <v>OK</v>
      </c>
      <c r="AK886" t="str">
        <f t="shared" si="97"/>
        <v>OK</v>
      </c>
      <c r="AL886" t="str">
        <f t="shared" si="92"/>
        <v>OK</v>
      </c>
      <c r="AM886" t="str">
        <f t="shared" si="93"/>
        <v>OK</v>
      </c>
      <c r="AN886" s="1">
        <f>IF(AF886=0,0,AH886/AF886)</f>
        <v>0.2</v>
      </c>
      <c r="AO886" s="1">
        <f t="shared" si="94"/>
        <v>0.2</v>
      </c>
      <c r="AP886" s="1">
        <f t="shared" si="95"/>
        <v>0.4</v>
      </c>
      <c r="AQ886" s="1">
        <f t="shared" si="96"/>
        <v>0.6</v>
      </c>
    </row>
    <row r="887" spans="1:43"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91"/>
        <v>OK</v>
      </c>
      <c r="AK887" t="str">
        <f t="shared" si="97"/>
        <v>OK</v>
      </c>
      <c r="AL887" t="str">
        <f t="shared" si="92"/>
        <v>OK</v>
      </c>
      <c r="AM887" t="str">
        <f t="shared" si="93"/>
        <v>OK</v>
      </c>
      <c r="AN887" s="1">
        <f>IF(AF887=0,0,AH887/AF887)</f>
        <v>0.25</v>
      </c>
      <c r="AO887" s="1">
        <f t="shared" si="94"/>
        <v>0.75</v>
      </c>
      <c r="AP887" s="1">
        <f t="shared" si="95"/>
        <v>1</v>
      </c>
      <c r="AQ887" s="1">
        <f t="shared" si="96"/>
        <v>0.25</v>
      </c>
    </row>
    <row r="888" spans="1:43"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91"/>
        <v>OK</v>
      </c>
      <c r="AK888" t="str">
        <f t="shared" si="97"/>
        <v>OK</v>
      </c>
      <c r="AL888" t="str">
        <f t="shared" si="92"/>
        <v>OK</v>
      </c>
      <c r="AM888" t="str">
        <f t="shared" si="93"/>
        <v>OK</v>
      </c>
      <c r="AN888" s="1">
        <f>IF(AF888=0,0,AH888/AF888)</f>
        <v>0.45454545454545453</v>
      </c>
      <c r="AO888" s="1">
        <f t="shared" si="94"/>
        <v>0.81818181818181823</v>
      </c>
      <c r="AP888" s="1">
        <f t="shared" si="95"/>
        <v>0.18181818181818182</v>
      </c>
      <c r="AQ888" s="1">
        <f t="shared" si="96"/>
        <v>0.63636363636363635</v>
      </c>
    </row>
    <row r="889" spans="1:43"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91"/>
        <v>OK</v>
      </c>
      <c r="AK889" t="str">
        <f t="shared" si="97"/>
        <v>OK</v>
      </c>
      <c r="AL889" t="str">
        <f t="shared" si="92"/>
        <v>OK</v>
      </c>
      <c r="AM889" t="str">
        <f t="shared" si="93"/>
        <v>OK</v>
      </c>
      <c r="AN889" s="1">
        <f>IF(AF889=0,0,AH889/AF889)</f>
        <v>0</v>
      </c>
      <c r="AO889" s="1">
        <f t="shared" si="94"/>
        <v>0</v>
      </c>
      <c r="AP889" s="1">
        <f t="shared" si="95"/>
        <v>6</v>
      </c>
      <c r="AQ889" s="1">
        <f t="shared" si="96"/>
        <v>0</v>
      </c>
    </row>
    <row r="890" spans="1:43"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91"/>
        <v>OK</v>
      </c>
      <c r="AK890" t="str">
        <f t="shared" si="97"/>
        <v>OK</v>
      </c>
      <c r="AL890" t="str">
        <f t="shared" si="92"/>
        <v>OK</v>
      </c>
      <c r="AM890" t="str">
        <f t="shared" si="93"/>
        <v>OK</v>
      </c>
      <c r="AN890" s="1">
        <f>IF(AF890=0,0,AH890/AF890)</f>
        <v>0.30769230769230771</v>
      </c>
      <c r="AO890" s="1">
        <f t="shared" si="94"/>
        <v>0.15384615384615385</v>
      </c>
      <c r="AP890" s="1">
        <f t="shared" si="95"/>
        <v>0.46153846153846156</v>
      </c>
      <c r="AQ890" s="1">
        <f t="shared" si="96"/>
        <v>0.92307692307692313</v>
      </c>
    </row>
    <row r="891" spans="1:43"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91"/>
        <v>OK</v>
      </c>
      <c r="AK891" t="str">
        <f t="shared" si="97"/>
        <v>OK</v>
      </c>
      <c r="AL891" t="str">
        <f t="shared" si="92"/>
        <v>OK</v>
      </c>
      <c r="AM891" t="str">
        <f t="shared" si="93"/>
        <v>OK</v>
      </c>
      <c r="AN891" s="1">
        <f>IF(AF891=0,0,AH891/AF891)</f>
        <v>0.66666666666666663</v>
      </c>
      <c r="AO891" s="1">
        <f t="shared" si="94"/>
        <v>0.77777777777777779</v>
      </c>
      <c r="AP891" s="1">
        <f t="shared" si="95"/>
        <v>0.33333333333333331</v>
      </c>
      <c r="AQ891" s="1">
        <f t="shared" si="96"/>
        <v>0.88888888888888884</v>
      </c>
    </row>
    <row r="892" spans="1:43"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91"/>
        <v>OK</v>
      </c>
      <c r="AK892" t="str">
        <f t="shared" si="97"/>
        <v>OK</v>
      </c>
      <c r="AL892" t="str">
        <f t="shared" si="92"/>
        <v>OK</v>
      </c>
      <c r="AM892" t="str">
        <f t="shared" si="93"/>
        <v>OK</v>
      </c>
      <c r="AN892" s="1">
        <f>IF(AF892=0,0,AH892/AF892)</f>
        <v>0.2</v>
      </c>
      <c r="AO892" s="1">
        <f t="shared" si="94"/>
        <v>0.8</v>
      </c>
      <c r="AP892" s="1">
        <f t="shared" si="95"/>
        <v>0.4</v>
      </c>
      <c r="AQ892" s="1">
        <f t="shared" si="96"/>
        <v>0.8</v>
      </c>
    </row>
    <row r="893" spans="1:43"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91"/>
        <v>OK</v>
      </c>
      <c r="AK893" t="str">
        <f t="shared" si="97"/>
        <v>OK</v>
      </c>
      <c r="AL893" t="str">
        <f t="shared" si="92"/>
        <v>OK</v>
      </c>
      <c r="AM893" t="str">
        <f t="shared" si="93"/>
        <v>OK</v>
      </c>
      <c r="AN893" s="1">
        <f>IF(AF893=0,0,AH893/AF893)</f>
        <v>0.7</v>
      </c>
      <c r="AO893" s="1">
        <f t="shared" si="94"/>
        <v>0.5</v>
      </c>
      <c r="AP893" s="1">
        <f t="shared" si="95"/>
        <v>0.5</v>
      </c>
      <c r="AQ893" s="1">
        <f t="shared" si="96"/>
        <v>0.7</v>
      </c>
    </row>
    <row r="894" spans="1:43"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91"/>
        <v>OK</v>
      </c>
      <c r="AK894" t="str">
        <f t="shared" si="97"/>
        <v>OK</v>
      </c>
      <c r="AL894" t="str">
        <f t="shared" si="92"/>
        <v>OK</v>
      </c>
      <c r="AM894" t="str">
        <f t="shared" si="93"/>
        <v>OK</v>
      </c>
      <c r="AN894" s="1">
        <f>IF(AF894=0,0,AH894/AF894)</f>
        <v>0</v>
      </c>
      <c r="AO894" s="1">
        <f t="shared" si="94"/>
        <v>1</v>
      </c>
      <c r="AP894" s="1">
        <f t="shared" si="95"/>
        <v>2</v>
      </c>
      <c r="AQ894" s="1">
        <f t="shared" si="96"/>
        <v>0</v>
      </c>
    </row>
    <row r="895" spans="1:43"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91"/>
        <v>OK</v>
      </c>
      <c r="AK895" t="str">
        <f t="shared" si="97"/>
        <v>OK</v>
      </c>
      <c r="AL895" t="str">
        <f t="shared" si="92"/>
        <v>OK</v>
      </c>
      <c r="AM895" t="str">
        <f t="shared" si="93"/>
        <v>OK</v>
      </c>
      <c r="AN895" s="1">
        <f>IF(AF895=0,0,AH895/AF895)</f>
        <v>0.33333333333333331</v>
      </c>
      <c r="AO895" s="1">
        <f t="shared" si="94"/>
        <v>0.66666666666666663</v>
      </c>
      <c r="AP895" s="1">
        <f t="shared" si="95"/>
        <v>1.6666666666666667</v>
      </c>
      <c r="AQ895" s="1">
        <f t="shared" si="96"/>
        <v>0.66666666666666663</v>
      </c>
    </row>
    <row r="896" spans="1:43"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91"/>
        <v>OK</v>
      </c>
      <c r="AK896" t="str">
        <f t="shared" si="97"/>
        <v>OK</v>
      </c>
      <c r="AL896" t="str">
        <f t="shared" si="92"/>
        <v>OK</v>
      </c>
      <c r="AM896" t="str">
        <f t="shared" si="93"/>
        <v>OK</v>
      </c>
      <c r="AN896" s="1">
        <f>IF(AF896=0,0,AH896/AF896)</f>
        <v>0</v>
      </c>
      <c r="AO896" s="1">
        <f t="shared" si="94"/>
        <v>0.9</v>
      </c>
      <c r="AP896" s="1">
        <f t="shared" si="95"/>
        <v>0.2</v>
      </c>
      <c r="AQ896" s="1">
        <f t="shared" si="96"/>
        <v>0.9</v>
      </c>
    </row>
    <row r="897" spans="1:43"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91"/>
        <v>OK</v>
      </c>
      <c r="AK897" t="str">
        <f t="shared" si="97"/>
        <v>OK</v>
      </c>
      <c r="AL897" t="str">
        <f t="shared" si="92"/>
        <v>OK</v>
      </c>
      <c r="AM897" t="str">
        <f t="shared" si="93"/>
        <v>OK</v>
      </c>
      <c r="AN897" s="1">
        <f>IF(AF897=0,0,AH897/AF897)</f>
        <v>0</v>
      </c>
      <c r="AO897" s="1">
        <f t="shared" si="94"/>
        <v>0.83333333333333337</v>
      </c>
      <c r="AP897" s="1">
        <f t="shared" si="95"/>
        <v>0.33333333333333331</v>
      </c>
      <c r="AQ897" s="1">
        <f t="shared" si="96"/>
        <v>0.16666666666666666</v>
      </c>
    </row>
    <row r="898" spans="1:43"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si="91"/>
        <v>OK</v>
      </c>
      <c r="AK898" t="str">
        <f t="shared" si="97"/>
        <v>OK</v>
      </c>
      <c r="AL898" t="str">
        <f t="shared" si="92"/>
        <v>OK</v>
      </c>
      <c r="AM898" t="str">
        <f t="shared" si="93"/>
        <v>OK</v>
      </c>
      <c r="AN898" s="1">
        <f>IF(AF898=0,0,AH898/AF898)</f>
        <v>0.1</v>
      </c>
      <c r="AO898" s="1">
        <f t="shared" si="94"/>
        <v>0.9</v>
      </c>
      <c r="AP898" s="1">
        <f t="shared" si="95"/>
        <v>0.2</v>
      </c>
      <c r="AQ898" s="1">
        <f t="shared" si="96"/>
        <v>0.8</v>
      </c>
    </row>
    <row r="899" spans="1:43"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ref="AJ899:AJ962" si="98">IF(AF899&lt;=AC899, "OK", "ERROR")</f>
        <v>OK</v>
      </c>
      <c r="AK899" t="str">
        <f t="shared" si="97"/>
        <v>OK</v>
      </c>
      <c r="AL899" t="str">
        <f t="shared" ref="AL899:AL962" si="99">IF(AG899&lt;=AF899,"OK","ERROR")</f>
        <v>OK</v>
      </c>
      <c r="AM899" t="str">
        <f t="shared" ref="AM899:AM962" si="100">IF(AI899&lt;=AF899,"OK","ERROR")</f>
        <v>OK</v>
      </c>
      <c r="AN899" s="1">
        <f>IF(AF899=0,0,AH899/AF899)</f>
        <v>0</v>
      </c>
      <c r="AO899" s="1">
        <f t="shared" ref="AO899:AO962" si="101">IF(AF899=0,0,AG899/AF899)</f>
        <v>0.16666666666666666</v>
      </c>
      <c r="AP899" s="1">
        <f t="shared" ref="AP899:AP962" si="102">IF(AF899=0,0,AD899/AF899)</f>
        <v>0.33333333333333331</v>
      </c>
      <c r="AQ899" s="1">
        <f t="shared" ref="AQ899:AQ962" si="103">IF(AF899=0,0,AI899/AF899)</f>
        <v>0.83333333333333337</v>
      </c>
    </row>
    <row r="900" spans="1:43"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98"/>
        <v>OK</v>
      </c>
      <c r="AK900" t="str">
        <f t="shared" ref="AK900:AK963" si="104">IF(AH900&lt;=AF900,"OK", "ERROR")</f>
        <v>OK</v>
      </c>
      <c r="AL900" t="str">
        <f t="shared" si="99"/>
        <v>OK</v>
      </c>
      <c r="AM900" t="str">
        <f t="shared" si="100"/>
        <v>OK</v>
      </c>
      <c r="AN900" s="1">
        <f>IF(AF900=0,0,AH900/AF900)</f>
        <v>0</v>
      </c>
      <c r="AO900" s="1">
        <f t="shared" si="101"/>
        <v>0.875</v>
      </c>
      <c r="AP900" s="1">
        <f t="shared" si="102"/>
        <v>0.25</v>
      </c>
      <c r="AQ900" s="1">
        <f t="shared" si="103"/>
        <v>0.875</v>
      </c>
    </row>
    <row r="901" spans="1:43"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98"/>
        <v>OK</v>
      </c>
      <c r="AK901" t="str">
        <f t="shared" si="104"/>
        <v>OK</v>
      </c>
      <c r="AL901" t="str">
        <f t="shared" si="99"/>
        <v>OK</v>
      </c>
      <c r="AM901" t="str">
        <f t="shared" si="100"/>
        <v>OK</v>
      </c>
      <c r="AN901" s="1">
        <f>IF(AF901=0,0,AH901/AF901)</f>
        <v>0</v>
      </c>
      <c r="AO901" s="1">
        <f t="shared" si="101"/>
        <v>0</v>
      </c>
      <c r="AP901" s="1">
        <f t="shared" si="102"/>
        <v>2</v>
      </c>
      <c r="AQ901" s="1">
        <f t="shared" si="103"/>
        <v>0</v>
      </c>
    </row>
    <row r="902" spans="1:43"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98"/>
        <v>OK</v>
      </c>
      <c r="AK902" t="str">
        <f t="shared" si="104"/>
        <v>OK</v>
      </c>
      <c r="AL902" t="str">
        <f t="shared" si="99"/>
        <v>OK</v>
      </c>
      <c r="AM902" t="str">
        <f t="shared" si="100"/>
        <v>OK</v>
      </c>
      <c r="AN902" s="1">
        <f>IF(AF902=0,0,AH902/AF902)</f>
        <v>0</v>
      </c>
      <c r="AO902" s="1">
        <f t="shared" si="101"/>
        <v>0.90909090909090906</v>
      </c>
      <c r="AP902" s="1">
        <f t="shared" si="102"/>
        <v>0.18181818181818182</v>
      </c>
      <c r="AQ902" s="1">
        <f t="shared" si="103"/>
        <v>0.63636363636363635</v>
      </c>
    </row>
    <row r="903" spans="1:43"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98"/>
        <v>OK</v>
      </c>
      <c r="AK903" t="str">
        <f t="shared" si="104"/>
        <v>OK</v>
      </c>
      <c r="AL903" t="str">
        <f t="shared" si="99"/>
        <v>OK</v>
      </c>
      <c r="AM903" t="str">
        <f t="shared" si="100"/>
        <v>OK</v>
      </c>
      <c r="AN903" s="1">
        <f>IF(AF903=0,0,AH903/AF903)</f>
        <v>0</v>
      </c>
      <c r="AO903" s="1">
        <f t="shared" si="101"/>
        <v>0</v>
      </c>
      <c r="AP903" s="1">
        <f t="shared" si="102"/>
        <v>4</v>
      </c>
      <c r="AQ903" s="1">
        <f t="shared" si="103"/>
        <v>0</v>
      </c>
    </row>
    <row r="904" spans="1:43"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98"/>
        <v>OK</v>
      </c>
      <c r="AK904" t="str">
        <f t="shared" si="104"/>
        <v>OK</v>
      </c>
      <c r="AL904" t="str">
        <f t="shared" si="99"/>
        <v>OK</v>
      </c>
      <c r="AM904" t="str">
        <f t="shared" si="100"/>
        <v>OK</v>
      </c>
      <c r="AN904" s="1">
        <f>IF(AF904=0,0,AH904/AF904)</f>
        <v>0</v>
      </c>
      <c r="AO904" s="1">
        <f t="shared" si="101"/>
        <v>0.6</v>
      </c>
      <c r="AP904" s="1">
        <f t="shared" si="102"/>
        <v>0.4</v>
      </c>
      <c r="AQ904" s="1">
        <f t="shared" si="103"/>
        <v>0.6</v>
      </c>
    </row>
    <row r="905" spans="1:43"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98"/>
        <v>OK</v>
      </c>
      <c r="AK905" t="str">
        <f t="shared" si="104"/>
        <v>OK</v>
      </c>
      <c r="AL905" t="str">
        <f t="shared" si="99"/>
        <v>OK</v>
      </c>
      <c r="AM905" t="str">
        <f t="shared" si="100"/>
        <v>OK</v>
      </c>
      <c r="AN905" s="1">
        <f>IF(AF905=0,0,AH905/AF905)</f>
        <v>0.16666666666666666</v>
      </c>
      <c r="AO905" s="1">
        <f t="shared" si="101"/>
        <v>0</v>
      </c>
      <c r="AP905" s="1">
        <f t="shared" si="102"/>
        <v>0.33333333333333331</v>
      </c>
      <c r="AQ905" s="1">
        <f t="shared" si="103"/>
        <v>0</v>
      </c>
    </row>
    <row r="906" spans="1:43"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98"/>
        <v>OK</v>
      </c>
      <c r="AK906" t="str">
        <f t="shared" si="104"/>
        <v>OK</v>
      </c>
      <c r="AL906" t="str">
        <f t="shared" si="99"/>
        <v>OK</v>
      </c>
      <c r="AM906" t="str">
        <f t="shared" si="100"/>
        <v>OK</v>
      </c>
      <c r="AN906" s="1">
        <f>IF(AF906=0,0,AH906/AF906)</f>
        <v>0</v>
      </c>
      <c r="AO906" s="1">
        <f t="shared" si="101"/>
        <v>0</v>
      </c>
      <c r="AP906" s="1">
        <f t="shared" si="102"/>
        <v>3</v>
      </c>
      <c r="AQ906" s="1">
        <f t="shared" si="103"/>
        <v>0</v>
      </c>
    </row>
    <row r="907" spans="1:43"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98"/>
        <v>OK</v>
      </c>
      <c r="AK907" t="str">
        <f t="shared" si="104"/>
        <v>OK</v>
      </c>
      <c r="AL907" t="str">
        <f t="shared" si="99"/>
        <v>OK</v>
      </c>
      <c r="AM907" t="str">
        <f t="shared" si="100"/>
        <v>OK</v>
      </c>
      <c r="AN907" s="1">
        <f>IF(AF907=0,0,AH907/AF907)</f>
        <v>0.14285714285714285</v>
      </c>
      <c r="AO907" s="1">
        <f t="shared" si="101"/>
        <v>1</v>
      </c>
      <c r="AP907" s="1">
        <f t="shared" si="102"/>
        <v>0.2857142857142857</v>
      </c>
      <c r="AQ907" s="1">
        <f t="shared" si="103"/>
        <v>1</v>
      </c>
    </row>
    <row r="908" spans="1:43"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98"/>
        <v>OK</v>
      </c>
      <c r="AK908" t="str">
        <f t="shared" si="104"/>
        <v>OK</v>
      </c>
      <c r="AL908" t="str">
        <f t="shared" si="99"/>
        <v>OK</v>
      </c>
      <c r="AM908" t="str">
        <f t="shared" si="100"/>
        <v>OK</v>
      </c>
      <c r="AN908" s="1">
        <f>IF(AF908=0,0,AH908/AF908)</f>
        <v>0</v>
      </c>
      <c r="AO908" s="1">
        <f t="shared" si="101"/>
        <v>0</v>
      </c>
      <c r="AP908" s="1">
        <f t="shared" si="102"/>
        <v>5</v>
      </c>
      <c r="AQ908" s="1">
        <f t="shared" si="103"/>
        <v>0</v>
      </c>
    </row>
    <row r="909" spans="1:43"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98"/>
        <v>OK</v>
      </c>
      <c r="AK909" t="str">
        <f t="shared" si="104"/>
        <v>OK</v>
      </c>
      <c r="AL909" t="str">
        <f t="shared" si="99"/>
        <v>OK</v>
      </c>
      <c r="AM909" t="str">
        <f t="shared" si="100"/>
        <v>OK</v>
      </c>
      <c r="AN909" s="1">
        <f>IF(AF909=0,0,AH909/AF909)</f>
        <v>0.13636363636363635</v>
      </c>
      <c r="AO909" s="1">
        <f t="shared" si="101"/>
        <v>0.40909090909090912</v>
      </c>
      <c r="AP909" s="1">
        <f t="shared" si="102"/>
        <v>0.22727272727272727</v>
      </c>
      <c r="AQ909" s="1">
        <f t="shared" si="103"/>
        <v>0.45454545454545453</v>
      </c>
    </row>
    <row r="910" spans="1:43"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98"/>
        <v>OK</v>
      </c>
      <c r="AK910" t="str">
        <f t="shared" si="104"/>
        <v>OK</v>
      </c>
      <c r="AL910" t="str">
        <f t="shared" si="99"/>
        <v>OK</v>
      </c>
      <c r="AM910" t="str">
        <f t="shared" si="100"/>
        <v>OK</v>
      </c>
      <c r="AN910" s="1">
        <f>IF(AF910=0,0,AH910/AF910)</f>
        <v>0</v>
      </c>
      <c r="AO910" s="1">
        <f t="shared" si="101"/>
        <v>0.88888888888888884</v>
      </c>
      <c r="AP910" s="1">
        <f t="shared" si="102"/>
        <v>0.33333333333333331</v>
      </c>
      <c r="AQ910" s="1">
        <f t="shared" si="103"/>
        <v>0.88888888888888884</v>
      </c>
    </row>
    <row r="911" spans="1:43"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98"/>
        <v>OK</v>
      </c>
      <c r="AK911" t="str">
        <f t="shared" si="104"/>
        <v>OK</v>
      </c>
      <c r="AL911" t="str">
        <f t="shared" si="99"/>
        <v>OK</v>
      </c>
      <c r="AM911" t="str">
        <f t="shared" si="100"/>
        <v>OK</v>
      </c>
      <c r="AN911" s="1">
        <f>IF(AF911=0,0,AH911/AF911)</f>
        <v>0</v>
      </c>
      <c r="AO911" s="1">
        <f t="shared" si="101"/>
        <v>0</v>
      </c>
      <c r="AP911" s="1">
        <f t="shared" si="102"/>
        <v>2</v>
      </c>
      <c r="AQ911" s="1">
        <f t="shared" si="103"/>
        <v>1</v>
      </c>
    </row>
    <row r="912" spans="1:43"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98"/>
        <v>OK</v>
      </c>
      <c r="AK912" t="str">
        <f t="shared" si="104"/>
        <v>OK</v>
      </c>
      <c r="AL912" t="str">
        <f t="shared" si="99"/>
        <v>OK</v>
      </c>
      <c r="AM912" t="str">
        <f t="shared" si="100"/>
        <v>OK</v>
      </c>
      <c r="AN912" s="1">
        <f>IF(AF912=0,0,AH912/AF912)</f>
        <v>0</v>
      </c>
      <c r="AO912" s="1">
        <f t="shared" si="101"/>
        <v>0</v>
      </c>
      <c r="AP912" s="1">
        <f t="shared" si="102"/>
        <v>2</v>
      </c>
      <c r="AQ912" s="1">
        <f t="shared" si="103"/>
        <v>1</v>
      </c>
    </row>
    <row r="913" spans="1:43"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98"/>
        <v>OK</v>
      </c>
      <c r="AK913" t="str">
        <f t="shared" si="104"/>
        <v>OK</v>
      </c>
      <c r="AL913" t="str">
        <f t="shared" si="99"/>
        <v>OK</v>
      </c>
      <c r="AM913" t="str">
        <f t="shared" si="100"/>
        <v>OK</v>
      </c>
      <c r="AN913" s="1">
        <f>IF(AF913=0,0,AH913/AF913)</f>
        <v>1</v>
      </c>
      <c r="AO913" s="1">
        <f t="shared" si="101"/>
        <v>0</v>
      </c>
      <c r="AP913" s="1">
        <f t="shared" si="102"/>
        <v>4</v>
      </c>
      <c r="AQ913" s="1">
        <f t="shared" si="103"/>
        <v>0</v>
      </c>
    </row>
    <row r="914" spans="1:43"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98"/>
        <v>OK</v>
      </c>
      <c r="AK914" t="str">
        <f t="shared" si="104"/>
        <v>OK</v>
      </c>
      <c r="AL914" t="str">
        <f t="shared" si="99"/>
        <v>OK</v>
      </c>
      <c r="AM914" t="str">
        <f t="shared" si="100"/>
        <v>OK</v>
      </c>
      <c r="AN914" s="1">
        <f>IF(AF914=0,0,AH914/AF914)</f>
        <v>0.25</v>
      </c>
      <c r="AO914" s="1">
        <f t="shared" si="101"/>
        <v>0.625</v>
      </c>
      <c r="AP914" s="1">
        <f t="shared" si="102"/>
        <v>0.25</v>
      </c>
      <c r="AQ914" s="1">
        <f t="shared" si="103"/>
        <v>0.25</v>
      </c>
    </row>
    <row r="915" spans="1:43"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98"/>
        <v>OK</v>
      </c>
      <c r="AK915" t="str">
        <f t="shared" si="104"/>
        <v>OK</v>
      </c>
      <c r="AL915" t="str">
        <f t="shared" si="99"/>
        <v>OK</v>
      </c>
      <c r="AM915" t="str">
        <f t="shared" si="100"/>
        <v>OK</v>
      </c>
      <c r="AN915" s="1">
        <f>IF(AF915=0,0,AH915/AF915)</f>
        <v>4.1666666666666664E-2</v>
      </c>
      <c r="AO915" s="1">
        <f t="shared" si="101"/>
        <v>0.41666666666666669</v>
      </c>
      <c r="AP915" s="1">
        <f t="shared" si="102"/>
        <v>8.3333333333333329E-2</v>
      </c>
      <c r="AQ915" s="1">
        <f t="shared" si="103"/>
        <v>0.45833333333333331</v>
      </c>
    </row>
    <row r="916" spans="1:43"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98"/>
        <v>OK</v>
      </c>
      <c r="AK916" t="str">
        <f t="shared" si="104"/>
        <v>OK</v>
      </c>
      <c r="AL916" t="str">
        <f t="shared" si="99"/>
        <v>OK</v>
      </c>
      <c r="AM916" t="str">
        <f t="shared" si="100"/>
        <v>OK</v>
      </c>
      <c r="AN916" s="1">
        <f>IF(AF916=0,0,AH916/AF916)</f>
        <v>0.45454545454545453</v>
      </c>
      <c r="AO916" s="1">
        <f t="shared" si="101"/>
        <v>0.27272727272727271</v>
      </c>
      <c r="AP916" s="1">
        <f t="shared" si="102"/>
        <v>9.0909090909090912E-2</v>
      </c>
      <c r="AQ916" s="1">
        <f t="shared" si="103"/>
        <v>0</v>
      </c>
    </row>
    <row r="917" spans="1:43"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98"/>
        <v>OK</v>
      </c>
      <c r="AK917" t="str">
        <f t="shared" si="104"/>
        <v>OK</v>
      </c>
      <c r="AL917" t="str">
        <f t="shared" si="99"/>
        <v>OK</v>
      </c>
      <c r="AM917" t="str">
        <f t="shared" si="100"/>
        <v>OK</v>
      </c>
      <c r="AN917" s="1">
        <f>IF(AF917=0,0,AH917/AF917)</f>
        <v>1</v>
      </c>
      <c r="AO917" s="1">
        <f t="shared" si="101"/>
        <v>1</v>
      </c>
      <c r="AP917" s="1">
        <f t="shared" si="102"/>
        <v>1</v>
      </c>
      <c r="AQ917" s="1">
        <f t="shared" si="103"/>
        <v>1</v>
      </c>
    </row>
    <row r="918" spans="1:43"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98"/>
        <v>OK</v>
      </c>
      <c r="AK918" t="str">
        <f t="shared" si="104"/>
        <v>OK</v>
      </c>
      <c r="AL918" t="str">
        <f t="shared" si="99"/>
        <v>OK</v>
      </c>
      <c r="AM918" t="str">
        <f t="shared" si="100"/>
        <v>OK</v>
      </c>
      <c r="AN918" s="1">
        <f>IF(AF918=0,0,AH918/AF918)</f>
        <v>0</v>
      </c>
      <c r="AO918" s="1">
        <f t="shared" si="101"/>
        <v>0.36363636363636365</v>
      </c>
      <c r="AP918" s="1">
        <f t="shared" si="102"/>
        <v>0.18181818181818182</v>
      </c>
      <c r="AQ918" s="1">
        <f t="shared" si="103"/>
        <v>0.72727272727272729</v>
      </c>
    </row>
    <row r="919" spans="1:43"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98"/>
        <v>OK</v>
      </c>
      <c r="AK919" t="str">
        <f t="shared" si="104"/>
        <v>OK</v>
      </c>
      <c r="AL919" t="str">
        <f t="shared" si="99"/>
        <v>OK</v>
      </c>
      <c r="AM919" t="str">
        <f t="shared" si="100"/>
        <v>OK</v>
      </c>
      <c r="AN919" s="1">
        <f>IF(AF919=0,0,AH919/AF919)</f>
        <v>0</v>
      </c>
      <c r="AO919" s="1">
        <f t="shared" si="101"/>
        <v>0.66666666666666663</v>
      </c>
      <c r="AP919" s="1">
        <f t="shared" si="102"/>
        <v>1</v>
      </c>
      <c r="AQ919" s="1">
        <f t="shared" si="103"/>
        <v>0.66666666666666663</v>
      </c>
    </row>
    <row r="920" spans="1:43"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98"/>
        <v>OK</v>
      </c>
      <c r="AK920" t="str">
        <f t="shared" si="104"/>
        <v>OK</v>
      </c>
      <c r="AL920" t="str">
        <f t="shared" si="99"/>
        <v>OK</v>
      </c>
      <c r="AM920" t="str">
        <f t="shared" si="100"/>
        <v>OK</v>
      </c>
      <c r="AN920" s="1">
        <f>IF(AF920=0,0,AH920/AF920)</f>
        <v>0.37931034482758619</v>
      </c>
      <c r="AO920" s="1">
        <f t="shared" si="101"/>
        <v>0.34482758620689657</v>
      </c>
      <c r="AP920" s="1">
        <f t="shared" si="102"/>
        <v>0.17241379310344829</v>
      </c>
      <c r="AQ920" s="1">
        <f t="shared" si="103"/>
        <v>0.34482758620689657</v>
      </c>
    </row>
    <row r="921" spans="1:43"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98"/>
        <v>OK</v>
      </c>
      <c r="AK921" t="str">
        <f t="shared" si="104"/>
        <v>OK</v>
      </c>
      <c r="AL921" t="str">
        <f t="shared" si="99"/>
        <v>OK</v>
      </c>
      <c r="AM921" t="str">
        <f t="shared" si="100"/>
        <v>OK</v>
      </c>
      <c r="AN921" s="1">
        <f>IF(AF921=0,0,AH921/AF921)</f>
        <v>0.55555555555555558</v>
      </c>
      <c r="AO921" s="1">
        <f t="shared" si="101"/>
        <v>0.77777777777777779</v>
      </c>
      <c r="AP921" s="1">
        <f t="shared" si="102"/>
        <v>0.66666666666666663</v>
      </c>
      <c r="AQ921" s="1">
        <f t="shared" si="103"/>
        <v>0.44444444444444442</v>
      </c>
    </row>
    <row r="922" spans="1:43"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98"/>
        <v>OK</v>
      </c>
      <c r="AK922" t="str">
        <f t="shared" si="104"/>
        <v>OK</v>
      </c>
      <c r="AL922" t="str">
        <f t="shared" si="99"/>
        <v>OK</v>
      </c>
      <c r="AM922" t="str">
        <f t="shared" si="100"/>
        <v>OK</v>
      </c>
      <c r="AN922" s="1">
        <f>IF(AF922=0,0,AH922/AF922)</f>
        <v>0.45454545454545453</v>
      </c>
      <c r="AO922" s="1">
        <f t="shared" si="101"/>
        <v>0.72727272727272729</v>
      </c>
      <c r="AP922" s="1">
        <f t="shared" si="102"/>
        <v>0.18181818181818182</v>
      </c>
      <c r="AQ922" s="1">
        <f t="shared" si="103"/>
        <v>0.90909090909090906</v>
      </c>
    </row>
    <row r="923" spans="1:43"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98"/>
        <v>OK</v>
      </c>
      <c r="AK923" t="str">
        <f t="shared" si="104"/>
        <v>OK</v>
      </c>
      <c r="AL923" t="str">
        <f t="shared" si="99"/>
        <v>OK</v>
      </c>
      <c r="AM923" t="str">
        <f t="shared" si="100"/>
        <v>OK</v>
      </c>
      <c r="AN923" s="1">
        <f>IF(AF923=0,0,AH923/AF923)</f>
        <v>0</v>
      </c>
      <c r="AO923" s="1">
        <f t="shared" si="101"/>
        <v>0.5</v>
      </c>
      <c r="AP923" s="1">
        <f t="shared" si="102"/>
        <v>0.5</v>
      </c>
      <c r="AQ923" s="1">
        <f t="shared" si="103"/>
        <v>0.5</v>
      </c>
    </row>
    <row r="924" spans="1:43"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98"/>
        <v>OK</v>
      </c>
      <c r="AK924" t="str">
        <f t="shared" si="104"/>
        <v>OK</v>
      </c>
      <c r="AL924" t="str">
        <f t="shared" si="99"/>
        <v>OK</v>
      </c>
      <c r="AM924" t="str">
        <f t="shared" si="100"/>
        <v>OK</v>
      </c>
      <c r="AN924" s="1">
        <f>IF(AF924=0,0,AH924/AF924)</f>
        <v>0.56000000000000005</v>
      </c>
      <c r="AO924" s="1">
        <f t="shared" si="101"/>
        <v>0.36</v>
      </c>
      <c r="AP924" s="1">
        <f t="shared" si="102"/>
        <v>0.16</v>
      </c>
      <c r="AQ924" s="1">
        <f t="shared" si="103"/>
        <v>0.52</v>
      </c>
    </row>
    <row r="925" spans="1:43"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98"/>
        <v>OK</v>
      </c>
      <c r="AK925" t="str">
        <f t="shared" si="104"/>
        <v>OK</v>
      </c>
      <c r="AL925" t="str">
        <f t="shared" si="99"/>
        <v>OK</v>
      </c>
      <c r="AM925" t="str">
        <f t="shared" si="100"/>
        <v>OK</v>
      </c>
      <c r="AN925" s="1">
        <f>IF(AF925=0,0,AH925/AF925)</f>
        <v>0.1</v>
      </c>
      <c r="AO925" s="1">
        <f t="shared" si="101"/>
        <v>0.9</v>
      </c>
      <c r="AP925" s="1">
        <f t="shared" si="102"/>
        <v>0.5</v>
      </c>
      <c r="AQ925" s="1">
        <f t="shared" si="103"/>
        <v>0.8</v>
      </c>
    </row>
    <row r="926" spans="1:43"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98"/>
        <v>OK</v>
      </c>
      <c r="AK926" t="str">
        <f t="shared" si="104"/>
        <v>OK</v>
      </c>
      <c r="AL926" t="str">
        <f t="shared" si="99"/>
        <v>OK</v>
      </c>
      <c r="AM926" t="str">
        <f t="shared" si="100"/>
        <v>OK</v>
      </c>
      <c r="AN926" s="1">
        <f>IF(AF926=0,0,AH926/AF926)</f>
        <v>0.66666666666666663</v>
      </c>
      <c r="AO926" s="1">
        <f t="shared" si="101"/>
        <v>0.66666666666666663</v>
      </c>
      <c r="AP926" s="1">
        <f t="shared" si="102"/>
        <v>1</v>
      </c>
      <c r="AQ926" s="1">
        <f t="shared" si="103"/>
        <v>0.66666666666666663</v>
      </c>
    </row>
    <row r="927" spans="1:43"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98"/>
        <v>OK</v>
      </c>
      <c r="AK927" t="str">
        <f t="shared" si="104"/>
        <v>OK</v>
      </c>
      <c r="AL927" t="str">
        <f t="shared" si="99"/>
        <v>OK</v>
      </c>
      <c r="AM927" t="str">
        <f t="shared" si="100"/>
        <v>OK</v>
      </c>
      <c r="AN927" s="1">
        <f>IF(AF927=0,0,AH927/AF927)</f>
        <v>0</v>
      </c>
      <c r="AO927" s="1">
        <f t="shared" si="101"/>
        <v>0</v>
      </c>
      <c r="AP927" s="1">
        <f t="shared" si="102"/>
        <v>2</v>
      </c>
      <c r="AQ927" s="1">
        <f t="shared" si="103"/>
        <v>0</v>
      </c>
    </row>
    <row r="928" spans="1:43"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98"/>
        <v>OK</v>
      </c>
      <c r="AK928" t="str">
        <f t="shared" si="104"/>
        <v>OK</v>
      </c>
      <c r="AL928" t="str">
        <f t="shared" si="99"/>
        <v>OK</v>
      </c>
      <c r="AM928" t="str">
        <f t="shared" si="100"/>
        <v>OK</v>
      </c>
      <c r="AN928" s="1">
        <f>IF(AF928=0,0,AH928/AF928)</f>
        <v>0.7142857142857143</v>
      </c>
      <c r="AO928" s="1">
        <f t="shared" si="101"/>
        <v>0.33333333333333331</v>
      </c>
      <c r="AP928" s="1">
        <f t="shared" si="102"/>
        <v>0.14285714285714285</v>
      </c>
      <c r="AQ928" s="1">
        <f t="shared" si="103"/>
        <v>0.80952380952380953</v>
      </c>
    </row>
    <row r="929" spans="1:43"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98"/>
        <v>OK</v>
      </c>
      <c r="AK929" t="str">
        <f t="shared" si="104"/>
        <v>OK</v>
      </c>
      <c r="AL929" t="str">
        <f t="shared" si="99"/>
        <v>OK</v>
      </c>
      <c r="AM929" t="str">
        <f t="shared" si="100"/>
        <v>OK</v>
      </c>
      <c r="AN929" s="1">
        <f>IF(AF929=0,0,AH929/AF929)</f>
        <v>0.3125</v>
      </c>
      <c r="AO929" s="1">
        <f t="shared" si="101"/>
        <v>0.875</v>
      </c>
      <c r="AP929" s="1">
        <f t="shared" si="102"/>
        <v>0.125</v>
      </c>
      <c r="AQ929" s="1">
        <f t="shared" si="103"/>
        <v>0.75</v>
      </c>
    </row>
    <row r="930" spans="1:43"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98"/>
        <v>OK</v>
      </c>
      <c r="AK930" t="str">
        <f t="shared" si="104"/>
        <v>OK</v>
      </c>
      <c r="AL930" t="str">
        <f t="shared" si="99"/>
        <v>OK</v>
      </c>
      <c r="AM930" t="str">
        <f t="shared" si="100"/>
        <v>OK</v>
      </c>
      <c r="AN930" s="1">
        <f>IF(AF930=0,0,AH930/AF930)</f>
        <v>0</v>
      </c>
      <c r="AO930" s="1">
        <f t="shared" si="101"/>
        <v>0.7</v>
      </c>
      <c r="AP930" s="1">
        <f t="shared" si="102"/>
        <v>0.2</v>
      </c>
      <c r="AQ930" s="1">
        <f t="shared" si="103"/>
        <v>0.5</v>
      </c>
    </row>
    <row r="931" spans="1:43"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98"/>
        <v>OK</v>
      </c>
      <c r="AK931" t="str">
        <f t="shared" si="104"/>
        <v>OK</v>
      </c>
      <c r="AL931" t="str">
        <f t="shared" si="99"/>
        <v>OK</v>
      </c>
      <c r="AM931" t="str">
        <f t="shared" si="100"/>
        <v>OK</v>
      </c>
      <c r="AN931" s="1">
        <f>IF(AF931=0,0,AH931/AF931)</f>
        <v>1</v>
      </c>
      <c r="AO931" s="1">
        <f t="shared" si="101"/>
        <v>1</v>
      </c>
      <c r="AP931" s="1">
        <f t="shared" si="102"/>
        <v>1</v>
      </c>
      <c r="AQ931" s="1">
        <f t="shared" si="103"/>
        <v>1</v>
      </c>
    </row>
    <row r="932" spans="1:43"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98"/>
        <v>OK</v>
      </c>
      <c r="AK932" t="str">
        <f t="shared" si="104"/>
        <v>OK</v>
      </c>
      <c r="AL932" t="str">
        <f t="shared" si="99"/>
        <v>OK</v>
      </c>
      <c r="AM932" t="str">
        <f t="shared" si="100"/>
        <v>OK</v>
      </c>
      <c r="AN932" s="1">
        <f>IF(AF932=0,0,AH932/AF932)</f>
        <v>1</v>
      </c>
      <c r="AO932" s="1">
        <f t="shared" si="101"/>
        <v>0</v>
      </c>
      <c r="AP932" s="1">
        <f t="shared" si="102"/>
        <v>0.8571428571428571</v>
      </c>
      <c r="AQ932" s="1">
        <f t="shared" si="103"/>
        <v>1</v>
      </c>
    </row>
    <row r="933" spans="1:43"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98"/>
        <v>OK</v>
      </c>
      <c r="AK933" t="str">
        <f t="shared" si="104"/>
        <v>OK</v>
      </c>
      <c r="AL933" t="str">
        <f t="shared" si="99"/>
        <v>OK</v>
      </c>
      <c r="AM933" t="str">
        <f t="shared" si="100"/>
        <v>OK</v>
      </c>
      <c r="AN933" s="1">
        <f>IF(AF933=0,0,AH933/AF933)</f>
        <v>0.125</v>
      </c>
      <c r="AO933" s="1">
        <f t="shared" si="101"/>
        <v>0.5</v>
      </c>
      <c r="AP933" s="1">
        <f t="shared" si="102"/>
        <v>0.375</v>
      </c>
      <c r="AQ933" s="1">
        <f t="shared" si="103"/>
        <v>0.875</v>
      </c>
    </row>
    <row r="934" spans="1:43"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98"/>
        <v>OK</v>
      </c>
      <c r="AK934" t="str">
        <f t="shared" si="104"/>
        <v>OK</v>
      </c>
      <c r="AL934" t="str">
        <f t="shared" si="99"/>
        <v>OK</v>
      </c>
      <c r="AM934" t="str">
        <f t="shared" si="100"/>
        <v>OK</v>
      </c>
      <c r="AN934" s="1">
        <f>IF(AF934=0,0,AH934/AF934)</f>
        <v>1</v>
      </c>
      <c r="AO934" s="1">
        <f t="shared" si="101"/>
        <v>1</v>
      </c>
      <c r="AP934" s="1">
        <f t="shared" si="102"/>
        <v>0.2857142857142857</v>
      </c>
      <c r="AQ934" s="1">
        <f t="shared" si="103"/>
        <v>1</v>
      </c>
    </row>
    <row r="935" spans="1:43"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98"/>
        <v>OK</v>
      </c>
      <c r="AK935" t="str">
        <f t="shared" si="104"/>
        <v>OK</v>
      </c>
      <c r="AL935" t="str">
        <f t="shared" si="99"/>
        <v>OK</v>
      </c>
      <c r="AM935" t="str">
        <f t="shared" si="100"/>
        <v>OK</v>
      </c>
      <c r="AN935" s="1">
        <f>IF(AF935=0,0,AH935/AF935)</f>
        <v>0.33333333333333331</v>
      </c>
      <c r="AO935" s="1">
        <f t="shared" si="101"/>
        <v>0.66666666666666663</v>
      </c>
      <c r="AP935" s="1">
        <f t="shared" si="102"/>
        <v>0.66666666666666663</v>
      </c>
      <c r="AQ935" s="1">
        <f t="shared" si="103"/>
        <v>0.66666666666666663</v>
      </c>
    </row>
    <row r="936" spans="1:43"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98"/>
        <v>OK</v>
      </c>
      <c r="AK936" t="str">
        <f t="shared" si="104"/>
        <v>OK</v>
      </c>
      <c r="AL936" t="str">
        <f t="shared" si="99"/>
        <v>OK</v>
      </c>
      <c r="AM936" t="str">
        <f t="shared" si="100"/>
        <v>OK</v>
      </c>
      <c r="AN936" s="1">
        <f>IF(AF936=0,0,AH936/AF936)</f>
        <v>1</v>
      </c>
      <c r="AO936" s="1">
        <f t="shared" si="101"/>
        <v>1</v>
      </c>
      <c r="AP936" s="1">
        <f t="shared" si="102"/>
        <v>1.5</v>
      </c>
      <c r="AQ936" s="1">
        <f t="shared" si="103"/>
        <v>0.5</v>
      </c>
    </row>
    <row r="937" spans="1:43"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98"/>
        <v>OK</v>
      </c>
      <c r="AK937" t="str">
        <f t="shared" si="104"/>
        <v>OK</v>
      </c>
      <c r="AL937" t="str">
        <f t="shared" si="99"/>
        <v>OK</v>
      </c>
      <c r="AM937" t="str">
        <f t="shared" si="100"/>
        <v>OK</v>
      </c>
      <c r="AN937" s="1">
        <f>IF(AF937=0,0,AH937/AF937)</f>
        <v>0</v>
      </c>
      <c r="AO937" s="1">
        <f t="shared" si="101"/>
        <v>0.7</v>
      </c>
      <c r="AP937" s="1">
        <f t="shared" si="102"/>
        <v>0.4</v>
      </c>
      <c r="AQ937" s="1">
        <f t="shared" si="103"/>
        <v>0.8</v>
      </c>
    </row>
    <row r="938" spans="1:43"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98"/>
        <v>OK</v>
      </c>
      <c r="AK938" t="str">
        <f t="shared" si="104"/>
        <v>OK</v>
      </c>
      <c r="AL938" t="str">
        <f t="shared" si="99"/>
        <v>OK</v>
      </c>
      <c r="AM938" t="str">
        <f t="shared" si="100"/>
        <v>OK</v>
      </c>
      <c r="AN938" s="1">
        <f>IF(AF938=0,0,AH938/AF938)</f>
        <v>0</v>
      </c>
      <c r="AO938" s="1">
        <f t="shared" si="101"/>
        <v>0</v>
      </c>
      <c r="AP938" s="1">
        <f t="shared" si="102"/>
        <v>0</v>
      </c>
      <c r="AQ938" s="1">
        <f t="shared" si="103"/>
        <v>0</v>
      </c>
    </row>
    <row r="939" spans="1:43"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98"/>
        <v>OK</v>
      </c>
      <c r="AK939" t="str">
        <f t="shared" si="104"/>
        <v>OK</v>
      </c>
      <c r="AL939" t="str">
        <f t="shared" si="99"/>
        <v>OK</v>
      </c>
      <c r="AM939" t="str">
        <f t="shared" si="100"/>
        <v>OK</v>
      </c>
      <c r="AN939" s="1">
        <f>IF(AF939=0,0,AH939/AF939)</f>
        <v>0.78947368421052633</v>
      </c>
      <c r="AO939" s="1">
        <f t="shared" si="101"/>
        <v>0.47368421052631576</v>
      </c>
      <c r="AP939" s="1">
        <f t="shared" si="102"/>
        <v>0.21052631578947367</v>
      </c>
      <c r="AQ939" s="1">
        <f t="shared" si="103"/>
        <v>0.10526315789473684</v>
      </c>
    </row>
    <row r="940" spans="1:43"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98"/>
        <v>OK</v>
      </c>
      <c r="AK940" t="str">
        <f t="shared" si="104"/>
        <v>OK</v>
      </c>
      <c r="AL940" t="str">
        <f t="shared" si="99"/>
        <v>OK</v>
      </c>
      <c r="AM940" t="str">
        <f t="shared" si="100"/>
        <v>OK</v>
      </c>
      <c r="AN940" s="1">
        <f>IF(AF940=0,0,AH940/AF940)</f>
        <v>1</v>
      </c>
      <c r="AO940" s="1">
        <f t="shared" si="101"/>
        <v>1</v>
      </c>
      <c r="AP940" s="1">
        <f t="shared" si="102"/>
        <v>1.5</v>
      </c>
      <c r="AQ940" s="1">
        <f t="shared" si="103"/>
        <v>1</v>
      </c>
    </row>
    <row r="941" spans="1:43"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98"/>
        <v>OK</v>
      </c>
      <c r="AK941" t="str">
        <f t="shared" si="104"/>
        <v>OK</v>
      </c>
      <c r="AL941" t="str">
        <f t="shared" si="99"/>
        <v>OK</v>
      </c>
      <c r="AM941" t="str">
        <f t="shared" si="100"/>
        <v>OK</v>
      </c>
      <c r="AN941" s="1">
        <f>IF(AF941=0,0,AH941/AF941)</f>
        <v>0.1</v>
      </c>
      <c r="AO941" s="1">
        <f t="shared" si="101"/>
        <v>0.4</v>
      </c>
      <c r="AP941" s="1">
        <f t="shared" si="102"/>
        <v>0.3</v>
      </c>
      <c r="AQ941" s="1">
        <f t="shared" si="103"/>
        <v>0.1</v>
      </c>
    </row>
    <row r="942" spans="1:43"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98"/>
        <v>OK</v>
      </c>
      <c r="AK942" t="str">
        <f t="shared" si="104"/>
        <v>OK</v>
      </c>
      <c r="AL942" t="str">
        <f t="shared" si="99"/>
        <v>OK</v>
      </c>
      <c r="AM942" t="str">
        <f t="shared" si="100"/>
        <v>OK</v>
      </c>
      <c r="AN942" s="1">
        <f>IF(AF942=0,0,AH942/AF942)</f>
        <v>0</v>
      </c>
      <c r="AO942" s="1">
        <f t="shared" si="101"/>
        <v>0.4</v>
      </c>
      <c r="AP942" s="1">
        <f t="shared" si="102"/>
        <v>0.4</v>
      </c>
      <c r="AQ942" s="1">
        <f t="shared" si="103"/>
        <v>0.6</v>
      </c>
    </row>
    <row r="943" spans="1:43"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98"/>
        <v>OK</v>
      </c>
      <c r="AK943" t="str">
        <f t="shared" si="104"/>
        <v>OK</v>
      </c>
      <c r="AL943" t="str">
        <f t="shared" si="99"/>
        <v>OK</v>
      </c>
      <c r="AM943" t="str">
        <f t="shared" si="100"/>
        <v>OK</v>
      </c>
      <c r="AN943" s="1">
        <f>IF(AF943=0,0,AH943/AF943)</f>
        <v>0.66666666666666663</v>
      </c>
      <c r="AO943" s="1">
        <f t="shared" si="101"/>
        <v>0.22222222222222221</v>
      </c>
      <c r="AP943" s="1">
        <f t="shared" si="102"/>
        <v>0.66666666666666663</v>
      </c>
      <c r="AQ943" s="1">
        <f t="shared" si="103"/>
        <v>0.77777777777777779</v>
      </c>
    </row>
    <row r="944" spans="1:43"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98"/>
        <v>OK</v>
      </c>
      <c r="AK944" t="str">
        <f t="shared" si="104"/>
        <v>OK</v>
      </c>
      <c r="AL944" t="str">
        <f t="shared" si="99"/>
        <v>OK</v>
      </c>
      <c r="AM944" t="str">
        <f t="shared" si="100"/>
        <v>OK</v>
      </c>
      <c r="AN944" s="1">
        <f>IF(AF944=0,0,AH944/AF944)</f>
        <v>0.14285714285714285</v>
      </c>
      <c r="AO944" s="1">
        <f t="shared" si="101"/>
        <v>1</v>
      </c>
      <c r="AP944" s="1">
        <f t="shared" si="102"/>
        <v>0</v>
      </c>
      <c r="AQ944" s="1">
        <f t="shared" si="103"/>
        <v>1</v>
      </c>
    </row>
    <row r="945" spans="1:43"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98"/>
        <v>OK</v>
      </c>
      <c r="AK945" t="str">
        <f t="shared" si="104"/>
        <v>OK</v>
      </c>
      <c r="AL945" t="str">
        <f t="shared" si="99"/>
        <v>OK</v>
      </c>
      <c r="AM945" t="str">
        <f t="shared" si="100"/>
        <v>OK</v>
      </c>
      <c r="AN945" s="1">
        <f>IF(AF945=0,0,AH945/AF945)</f>
        <v>0.7142857142857143</v>
      </c>
      <c r="AO945" s="1">
        <f t="shared" si="101"/>
        <v>0.8571428571428571</v>
      </c>
      <c r="AP945" s="1">
        <f t="shared" si="102"/>
        <v>0.42857142857142855</v>
      </c>
      <c r="AQ945" s="1">
        <f t="shared" si="103"/>
        <v>1</v>
      </c>
    </row>
    <row r="946" spans="1:43"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98"/>
        <v>OK</v>
      </c>
      <c r="AK946" t="str">
        <f t="shared" si="104"/>
        <v>OK</v>
      </c>
      <c r="AL946" t="str">
        <f t="shared" si="99"/>
        <v>OK</v>
      </c>
      <c r="AM946" t="str">
        <f t="shared" si="100"/>
        <v>OK</v>
      </c>
      <c r="AN946" s="1">
        <f>IF(AF946=0,0,AH946/AF946)</f>
        <v>0.77777777777777779</v>
      </c>
      <c r="AO946" s="1">
        <f t="shared" si="101"/>
        <v>0.88888888888888884</v>
      </c>
      <c r="AP946" s="1">
        <f t="shared" si="102"/>
        <v>0.66666666666666663</v>
      </c>
      <c r="AQ946" s="1">
        <f t="shared" si="103"/>
        <v>0.55555555555555558</v>
      </c>
    </row>
    <row r="947" spans="1:43"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98"/>
        <v>OK</v>
      </c>
      <c r="AK947" t="str">
        <f t="shared" si="104"/>
        <v>OK</v>
      </c>
      <c r="AL947" t="str">
        <f t="shared" si="99"/>
        <v>OK</v>
      </c>
      <c r="AM947" t="str">
        <f t="shared" si="100"/>
        <v>OK</v>
      </c>
      <c r="AN947" s="1">
        <f>IF(AF947=0,0,AH947/AF947)</f>
        <v>0.33333333333333331</v>
      </c>
      <c r="AO947" s="1">
        <f t="shared" si="101"/>
        <v>0.66666666666666663</v>
      </c>
      <c r="AP947" s="1">
        <f t="shared" si="102"/>
        <v>0.66666666666666663</v>
      </c>
      <c r="AQ947" s="1">
        <f t="shared" si="103"/>
        <v>0.66666666666666663</v>
      </c>
    </row>
    <row r="948" spans="1:43"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98"/>
        <v>OK</v>
      </c>
      <c r="AK948" t="str">
        <f t="shared" si="104"/>
        <v>OK</v>
      </c>
      <c r="AL948" t="str">
        <f t="shared" si="99"/>
        <v>OK</v>
      </c>
      <c r="AM948" t="str">
        <f t="shared" si="100"/>
        <v>OK</v>
      </c>
      <c r="AN948" s="1">
        <f>IF(AF948=0,0,AH948/AF948)</f>
        <v>0.2</v>
      </c>
      <c r="AO948" s="1">
        <f t="shared" si="101"/>
        <v>0.8</v>
      </c>
      <c r="AP948" s="1">
        <f t="shared" si="102"/>
        <v>0.4</v>
      </c>
      <c r="AQ948" s="1">
        <f t="shared" si="103"/>
        <v>0</v>
      </c>
    </row>
    <row r="949" spans="1:43"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98"/>
        <v>OK</v>
      </c>
      <c r="AK949" t="str">
        <f t="shared" si="104"/>
        <v>OK</v>
      </c>
      <c r="AL949" t="str">
        <f t="shared" si="99"/>
        <v>OK</v>
      </c>
      <c r="AM949" t="str">
        <f t="shared" si="100"/>
        <v>OK</v>
      </c>
      <c r="AN949" s="1">
        <f>IF(AF949=0,0,AH949/AF949)</f>
        <v>0.875</v>
      </c>
      <c r="AO949" s="1">
        <f t="shared" si="101"/>
        <v>0.875</v>
      </c>
      <c r="AP949" s="1">
        <f t="shared" si="102"/>
        <v>0.25</v>
      </c>
      <c r="AQ949" s="1">
        <f t="shared" si="103"/>
        <v>0.875</v>
      </c>
    </row>
    <row r="950" spans="1:43"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98"/>
        <v>OK</v>
      </c>
      <c r="AK950" t="str">
        <f t="shared" si="104"/>
        <v>OK</v>
      </c>
      <c r="AL950" t="str">
        <f t="shared" si="99"/>
        <v>OK</v>
      </c>
      <c r="AM950" t="str">
        <f t="shared" si="100"/>
        <v>OK</v>
      </c>
      <c r="AN950" s="1">
        <f>IF(AF950=0,0,AH950/AF950)</f>
        <v>0</v>
      </c>
      <c r="AO950" s="1">
        <f t="shared" si="101"/>
        <v>0.1111111111111111</v>
      </c>
      <c r="AP950" s="1">
        <f t="shared" si="102"/>
        <v>0.22222222222222221</v>
      </c>
      <c r="AQ950" s="1">
        <f t="shared" si="103"/>
        <v>0.88888888888888884</v>
      </c>
    </row>
    <row r="951" spans="1:43"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98"/>
        <v>OK</v>
      </c>
      <c r="AK951" t="str">
        <f t="shared" si="104"/>
        <v>OK</v>
      </c>
      <c r="AL951" t="str">
        <f t="shared" si="99"/>
        <v>OK</v>
      </c>
      <c r="AM951" t="str">
        <f t="shared" si="100"/>
        <v>OK</v>
      </c>
      <c r="AN951" s="1">
        <f>IF(AF951=0,0,AH951/AF951)</f>
        <v>0.125</v>
      </c>
      <c r="AO951" s="1">
        <f t="shared" si="101"/>
        <v>0.875</v>
      </c>
      <c r="AP951" s="1">
        <f t="shared" si="102"/>
        <v>0.75</v>
      </c>
      <c r="AQ951" s="1">
        <f t="shared" si="103"/>
        <v>0.875</v>
      </c>
    </row>
    <row r="952" spans="1:43"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98"/>
        <v>OK</v>
      </c>
      <c r="AK952" t="str">
        <f t="shared" si="104"/>
        <v>OK</v>
      </c>
      <c r="AL952" t="str">
        <f t="shared" si="99"/>
        <v>OK</v>
      </c>
      <c r="AM952" t="str">
        <f t="shared" si="100"/>
        <v>OK</v>
      </c>
      <c r="AN952" s="1">
        <f>IF(AF952=0,0,AH952/AF952)</f>
        <v>0.9</v>
      </c>
      <c r="AO952" s="1">
        <f t="shared" si="101"/>
        <v>0.8</v>
      </c>
      <c r="AP952" s="1">
        <f t="shared" si="102"/>
        <v>0.5</v>
      </c>
      <c r="AQ952" s="1">
        <f t="shared" si="103"/>
        <v>0.6</v>
      </c>
    </row>
    <row r="953" spans="1:43"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98"/>
        <v>OK</v>
      </c>
      <c r="AK953" t="str">
        <f t="shared" si="104"/>
        <v>OK</v>
      </c>
      <c r="AL953" t="str">
        <f t="shared" si="99"/>
        <v>OK</v>
      </c>
      <c r="AM953" t="str">
        <f t="shared" si="100"/>
        <v>OK</v>
      </c>
      <c r="AN953" s="1">
        <f>IF(AF953=0,0,AH953/AF953)</f>
        <v>0.57894736842105265</v>
      </c>
      <c r="AO953" s="1">
        <f t="shared" si="101"/>
        <v>0.10526315789473684</v>
      </c>
      <c r="AP953" s="1">
        <f t="shared" si="102"/>
        <v>0.21052631578947367</v>
      </c>
      <c r="AQ953" s="1">
        <f t="shared" si="103"/>
        <v>0.47368421052631576</v>
      </c>
    </row>
    <row r="954" spans="1:43"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98"/>
        <v>OK</v>
      </c>
      <c r="AK954" t="str">
        <f t="shared" si="104"/>
        <v>OK</v>
      </c>
      <c r="AL954" t="str">
        <f t="shared" si="99"/>
        <v>OK</v>
      </c>
      <c r="AM954" t="str">
        <f t="shared" si="100"/>
        <v>OK</v>
      </c>
      <c r="AN954" s="1">
        <f>IF(AF954=0,0,AH954/AF954)</f>
        <v>0.66666666666666663</v>
      </c>
      <c r="AO954" s="1">
        <f t="shared" si="101"/>
        <v>0.66666666666666663</v>
      </c>
      <c r="AP954" s="1">
        <f t="shared" si="102"/>
        <v>0.66666666666666663</v>
      </c>
      <c r="AQ954" s="1">
        <f t="shared" si="103"/>
        <v>0.66666666666666663</v>
      </c>
    </row>
    <row r="955" spans="1:43"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98"/>
        <v>OK</v>
      </c>
      <c r="AK955" t="str">
        <f t="shared" si="104"/>
        <v>OK</v>
      </c>
      <c r="AL955" t="str">
        <f t="shared" si="99"/>
        <v>OK</v>
      </c>
      <c r="AM955" t="str">
        <f t="shared" si="100"/>
        <v>OK</v>
      </c>
      <c r="AN955" s="1">
        <f>IF(AF955=0,0,AH955/AF955)</f>
        <v>0.33333333333333331</v>
      </c>
      <c r="AO955" s="1">
        <f t="shared" si="101"/>
        <v>0.66666666666666663</v>
      </c>
      <c r="AP955" s="1">
        <f t="shared" si="102"/>
        <v>1.3333333333333333</v>
      </c>
      <c r="AQ955" s="1">
        <f t="shared" si="103"/>
        <v>0.66666666666666663</v>
      </c>
    </row>
    <row r="956" spans="1:43"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98"/>
        <v>OK</v>
      </c>
      <c r="AK956" t="str">
        <f t="shared" si="104"/>
        <v>OK</v>
      </c>
      <c r="AL956" t="str">
        <f t="shared" si="99"/>
        <v>OK</v>
      </c>
      <c r="AM956" t="str">
        <f t="shared" si="100"/>
        <v>OK</v>
      </c>
      <c r="AN956" s="1">
        <f>IF(AF956=0,0,AH956/AF956)</f>
        <v>0.1</v>
      </c>
      <c r="AO956" s="1">
        <f t="shared" si="101"/>
        <v>0.4</v>
      </c>
      <c r="AP956" s="1">
        <f t="shared" si="102"/>
        <v>0.15</v>
      </c>
      <c r="AQ956" s="1">
        <f t="shared" si="103"/>
        <v>0.5</v>
      </c>
    </row>
    <row r="957" spans="1:43"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98"/>
        <v>OK</v>
      </c>
      <c r="AK957" t="str">
        <f t="shared" si="104"/>
        <v>OK</v>
      </c>
      <c r="AL957" t="str">
        <f t="shared" si="99"/>
        <v>OK</v>
      </c>
      <c r="AM957" t="str">
        <f t="shared" si="100"/>
        <v>OK</v>
      </c>
      <c r="AN957" s="1">
        <f>IF(AF957=0,0,AH957/AF957)</f>
        <v>0.47368421052631576</v>
      </c>
      <c r="AO957" s="1">
        <f t="shared" si="101"/>
        <v>0.47368421052631576</v>
      </c>
      <c r="AP957" s="1">
        <f t="shared" si="102"/>
        <v>0.26315789473684209</v>
      </c>
      <c r="AQ957" s="1">
        <f t="shared" si="103"/>
        <v>0.57894736842105265</v>
      </c>
    </row>
    <row r="958" spans="1:43"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98"/>
        <v>OK</v>
      </c>
      <c r="AK958" t="str">
        <f t="shared" si="104"/>
        <v>OK</v>
      </c>
      <c r="AL958" t="str">
        <f t="shared" si="99"/>
        <v>OK</v>
      </c>
      <c r="AM958" t="str">
        <f t="shared" si="100"/>
        <v>OK</v>
      </c>
      <c r="AN958" s="1">
        <f>IF(AF958=0,0,AH958/AF958)</f>
        <v>1</v>
      </c>
      <c r="AO958" s="1">
        <f t="shared" si="101"/>
        <v>0.42857142857142855</v>
      </c>
      <c r="AP958" s="1">
        <f t="shared" si="102"/>
        <v>0.5714285714285714</v>
      </c>
      <c r="AQ958" s="1">
        <f t="shared" si="103"/>
        <v>1</v>
      </c>
    </row>
    <row r="959" spans="1:43"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98"/>
        <v>OK</v>
      </c>
      <c r="AK959" t="str">
        <f t="shared" si="104"/>
        <v>OK</v>
      </c>
      <c r="AL959" t="str">
        <f t="shared" si="99"/>
        <v>OK</v>
      </c>
      <c r="AM959" t="str">
        <f t="shared" si="100"/>
        <v>OK</v>
      </c>
      <c r="AN959" s="1">
        <f>IF(AF959=0,0,AH959/AF959)</f>
        <v>0</v>
      </c>
      <c r="AO959" s="1">
        <f t="shared" si="101"/>
        <v>0.5</v>
      </c>
      <c r="AP959" s="1">
        <f t="shared" si="102"/>
        <v>0</v>
      </c>
      <c r="AQ959" s="1">
        <f t="shared" si="103"/>
        <v>0</v>
      </c>
    </row>
    <row r="960" spans="1:43"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98"/>
        <v>OK</v>
      </c>
      <c r="AK960" t="str">
        <f t="shared" si="104"/>
        <v>OK</v>
      </c>
      <c r="AL960" t="str">
        <f t="shared" si="99"/>
        <v>OK</v>
      </c>
      <c r="AM960" t="str">
        <f t="shared" si="100"/>
        <v>OK</v>
      </c>
      <c r="AN960" s="1">
        <f>IF(AF960=0,0,AH960/AF960)</f>
        <v>0.1111111111111111</v>
      </c>
      <c r="AO960" s="1">
        <f t="shared" si="101"/>
        <v>0.77777777777777779</v>
      </c>
      <c r="AP960" s="1">
        <f t="shared" si="102"/>
        <v>0</v>
      </c>
      <c r="AQ960" s="1">
        <f t="shared" si="103"/>
        <v>0.66666666666666663</v>
      </c>
    </row>
    <row r="961" spans="1:43"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98"/>
        <v>OK</v>
      </c>
      <c r="AK961" t="str">
        <f t="shared" si="104"/>
        <v>OK</v>
      </c>
      <c r="AL961" t="str">
        <f t="shared" si="99"/>
        <v>OK</v>
      </c>
      <c r="AM961" t="str">
        <f t="shared" si="100"/>
        <v>OK</v>
      </c>
      <c r="AN961" s="1">
        <f>IF(AF961=0,0,AH961/AF961)</f>
        <v>0.88888888888888884</v>
      </c>
      <c r="AO961" s="1">
        <f t="shared" si="101"/>
        <v>0.88888888888888884</v>
      </c>
      <c r="AP961" s="1">
        <f t="shared" si="102"/>
        <v>0.44444444444444442</v>
      </c>
      <c r="AQ961" s="1">
        <f t="shared" si="103"/>
        <v>0.88888888888888884</v>
      </c>
    </row>
    <row r="962" spans="1:43"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si="98"/>
        <v>OK</v>
      </c>
      <c r="AK962" t="str">
        <f t="shared" si="104"/>
        <v>OK</v>
      </c>
      <c r="AL962" t="str">
        <f t="shared" si="99"/>
        <v>OK</v>
      </c>
      <c r="AM962" t="str">
        <f t="shared" si="100"/>
        <v>OK</v>
      </c>
      <c r="AN962" s="1">
        <f>IF(AF962=0,0,AH962/AF962)</f>
        <v>0.1111111111111111</v>
      </c>
      <c r="AO962" s="1">
        <f t="shared" si="101"/>
        <v>0.33333333333333331</v>
      </c>
      <c r="AP962" s="1">
        <f t="shared" si="102"/>
        <v>0.22222222222222221</v>
      </c>
      <c r="AQ962" s="1">
        <f t="shared" si="103"/>
        <v>0.77777777777777779</v>
      </c>
    </row>
    <row r="963" spans="1:43"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ref="AJ963:AJ1026" si="105">IF(AF963&lt;=AC963, "OK", "ERROR")</f>
        <v>OK</v>
      </c>
      <c r="AK963" t="str">
        <f t="shared" si="104"/>
        <v>OK</v>
      </c>
      <c r="AL963" t="str">
        <f t="shared" ref="AL963:AL1026" si="106">IF(AG963&lt;=AF963,"OK","ERROR")</f>
        <v>OK</v>
      </c>
      <c r="AM963" t="str">
        <f t="shared" ref="AM963:AM1026" si="107">IF(AI963&lt;=AF963,"OK","ERROR")</f>
        <v>OK</v>
      </c>
      <c r="AN963" s="1">
        <f>IF(AF963=0,0,AH963/AF963)</f>
        <v>0.1111111111111111</v>
      </c>
      <c r="AO963" s="1">
        <f t="shared" ref="AO963:AO1026" si="108">IF(AF963=0,0,AG963/AF963)</f>
        <v>0.66666666666666663</v>
      </c>
      <c r="AP963" s="1">
        <f t="shared" ref="AP963:AP1026" si="109">IF(AF963=0,0,AD963/AF963)</f>
        <v>0.33333333333333331</v>
      </c>
      <c r="AQ963" s="1">
        <f t="shared" ref="AQ963:AQ1026" si="110">IF(AF963=0,0,AI963/AF963)</f>
        <v>0.1111111111111111</v>
      </c>
    </row>
    <row r="964" spans="1:43"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105"/>
        <v>OK</v>
      </c>
      <c r="AK964" t="str">
        <f t="shared" ref="AK964:AK1027" si="111">IF(AH964&lt;=AF964,"OK", "ERROR")</f>
        <v>OK</v>
      </c>
      <c r="AL964" t="str">
        <f t="shared" si="106"/>
        <v>OK</v>
      </c>
      <c r="AM964" t="str">
        <f t="shared" si="107"/>
        <v>OK</v>
      </c>
      <c r="AN964" s="1">
        <f>IF(AF964=0,0,AH964/AF964)</f>
        <v>0</v>
      </c>
      <c r="AO964" s="1">
        <f t="shared" si="108"/>
        <v>0.27272727272727271</v>
      </c>
      <c r="AP964" s="1">
        <f t="shared" si="109"/>
        <v>6.0606060606060608E-2</v>
      </c>
      <c r="AQ964" s="1">
        <f t="shared" si="110"/>
        <v>0.30303030303030304</v>
      </c>
    </row>
    <row r="965" spans="1:43"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105"/>
        <v>OK</v>
      </c>
      <c r="AK965" t="str">
        <f t="shared" si="111"/>
        <v>OK</v>
      </c>
      <c r="AL965" t="str">
        <f t="shared" si="106"/>
        <v>OK</v>
      </c>
      <c r="AM965" t="str">
        <f t="shared" si="107"/>
        <v>OK</v>
      </c>
      <c r="AN965" s="1">
        <f>IF(AF965=0,0,AH965/AF965)</f>
        <v>0.14285714285714285</v>
      </c>
      <c r="AO965" s="1">
        <f t="shared" si="108"/>
        <v>1</v>
      </c>
      <c r="AP965" s="1">
        <f t="shared" si="109"/>
        <v>0.42857142857142855</v>
      </c>
      <c r="AQ965" s="1">
        <f t="shared" si="110"/>
        <v>1</v>
      </c>
    </row>
    <row r="966" spans="1:43"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105"/>
        <v>OK</v>
      </c>
      <c r="AK966" t="str">
        <f t="shared" si="111"/>
        <v>OK</v>
      </c>
      <c r="AL966" t="str">
        <f t="shared" si="106"/>
        <v>OK</v>
      </c>
      <c r="AM966" t="str">
        <f t="shared" si="107"/>
        <v>OK</v>
      </c>
      <c r="AN966" s="1">
        <f>IF(AF966=0,0,AH966/AF966)</f>
        <v>0.9</v>
      </c>
      <c r="AO966" s="1">
        <f t="shared" si="108"/>
        <v>0.8</v>
      </c>
      <c r="AP966" s="1">
        <f t="shared" si="109"/>
        <v>0.6</v>
      </c>
      <c r="AQ966" s="1">
        <f t="shared" si="110"/>
        <v>0.6</v>
      </c>
    </row>
    <row r="967" spans="1:43"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105"/>
        <v>OK</v>
      </c>
      <c r="AK967" t="str">
        <f t="shared" si="111"/>
        <v>OK</v>
      </c>
      <c r="AL967" t="str">
        <f t="shared" si="106"/>
        <v>OK</v>
      </c>
      <c r="AM967" t="str">
        <f t="shared" si="107"/>
        <v>OK</v>
      </c>
      <c r="AN967" s="1">
        <f>IF(AF967=0,0,AH967/AF967)</f>
        <v>0.33333333333333331</v>
      </c>
      <c r="AO967" s="1">
        <f t="shared" si="108"/>
        <v>0.66666666666666663</v>
      </c>
      <c r="AP967" s="1">
        <f t="shared" si="109"/>
        <v>2</v>
      </c>
      <c r="AQ967" s="1">
        <f t="shared" si="110"/>
        <v>0.66666666666666663</v>
      </c>
    </row>
    <row r="968" spans="1:43"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105"/>
        <v>OK</v>
      </c>
      <c r="AK968" t="str">
        <f t="shared" si="111"/>
        <v>OK</v>
      </c>
      <c r="AL968" t="str">
        <f t="shared" si="106"/>
        <v>OK</v>
      </c>
      <c r="AM968" t="str">
        <f t="shared" si="107"/>
        <v>OK</v>
      </c>
      <c r="AN968" s="1">
        <f>IF(AF968=0,0,AH968/AF968)</f>
        <v>0.5</v>
      </c>
      <c r="AO968" s="1">
        <f t="shared" si="108"/>
        <v>0.9</v>
      </c>
      <c r="AP968" s="1">
        <f t="shared" si="109"/>
        <v>0</v>
      </c>
      <c r="AQ968" s="1">
        <f t="shared" si="110"/>
        <v>0.9</v>
      </c>
    </row>
    <row r="969" spans="1:43"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105"/>
        <v>OK</v>
      </c>
      <c r="AK969" t="str">
        <f t="shared" si="111"/>
        <v>OK</v>
      </c>
      <c r="AL969" t="str">
        <f t="shared" si="106"/>
        <v>OK</v>
      </c>
      <c r="AM969" t="str">
        <f t="shared" si="107"/>
        <v>OK</v>
      </c>
      <c r="AN969" s="1">
        <f>IF(AF969=0,0,AH969/AF969)</f>
        <v>0</v>
      </c>
      <c r="AO969" s="1">
        <f t="shared" si="108"/>
        <v>0.5</v>
      </c>
      <c r="AP969" s="1">
        <f t="shared" si="109"/>
        <v>0.75</v>
      </c>
      <c r="AQ969" s="1">
        <f t="shared" si="110"/>
        <v>0.75</v>
      </c>
    </row>
    <row r="970" spans="1:43"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105"/>
        <v>OK</v>
      </c>
      <c r="AK970" t="str">
        <f t="shared" si="111"/>
        <v>OK</v>
      </c>
      <c r="AL970" t="str">
        <f t="shared" si="106"/>
        <v>OK</v>
      </c>
      <c r="AM970" t="str">
        <f t="shared" si="107"/>
        <v>OK</v>
      </c>
      <c r="AN970" s="1">
        <f>IF(AF970=0,0,AH970/AF970)</f>
        <v>0.4</v>
      </c>
      <c r="AO970" s="1">
        <f t="shared" si="108"/>
        <v>0.46666666666666667</v>
      </c>
      <c r="AP970" s="1">
        <f t="shared" si="109"/>
        <v>0.13333333333333333</v>
      </c>
      <c r="AQ970" s="1">
        <f t="shared" si="110"/>
        <v>0.8666666666666667</v>
      </c>
    </row>
    <row r="971" spans="1:43"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105"/>
        <v>OK</v>
      </c>
      <c r="AK971" t="str">
        <f t="shared" si="111"/>
        <v>OK</v>
      </c>
      <c r="AL971" t="str">
        <f t="shared" si="106"/>
        <v>OK</v>
      </c>
      <c r="AM971" t="str">
        <f t="shared" si="107"/>
        <v>OK</v>
      </c>
      <c r="AN971" s="1">
        <f>IF(AF971=0,0,AH971/AF971)</f>
        <v>0</v>
      </c>
      <c r="AO971" s="1">
        <f t="shared" si="108"/>
        <v>0.9</v>
      </c>
      <c r="AP971" s="1">
        <f t="shared" si="109"/>
        <v>0.2</v>
      </c>
      <c r="AQ971" s="1">
        <f t="shared" si="110"/>
        <v>0.8</v>
      </c>
    </row>
    <row r="972" spans="1:43"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105"/>
        <v>OK</v>
      </c>
      <c r="AK972" t="str">
        <f t="shared" si="111"/>
        <v>OK</v>
      </c>
      <c r="AL972" t="str">
        <f t="shared" si="106"/>
        <v>OK</v>
      </c>
      <c r="AM972" t="str">
        <f t="shared" si="107"/>
        <v>OK</v>
      </c>
      <c r="AN972" s="1">
        <f>IF(AF972=0,0,AH972/AF972)</f>
        <v>0</v>
      </c>
      <c r="AO972" s="1">
        <f t="shared" si="108"/>
        <v>0</v>
      </c>
      <c r="AP972" s="1">
        <f t="shared" si="109"/>
        <v>4</v>
      </c>
      <c r="AQ972" s="1">
        <f t="shared" si="110"/>
        <v>0</v>
      </c>
    </row>
    <row r="973" spans="1:43"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105"/>
        <v>OK</v>
      </c>
      <c r="AK973" t="str">
        <f t="shared" si="111"/>
        <v>OK</v>
      </c>
      <c r="AL973" t="str">
        <f t="shared" si="106"/>
        <v>OK</v>
      </c>
      <c r="AM973" t="str">
        <f t="shared" si="107"/>
        <v>OK</v>
      </c>
      <c r="AN973" s="1">
        <f>IF(AF973=0,0,AH973/AF973)</f>
        <v>0</v>
      </c>
      <c r="AO973" s="1">
        <f t="shared" si="108"/>
        <v>0.4</v>
      </c>
      <c r="AP973" s="1">
        <f t="shared" si="109"/>
        <v>0.2</v>
      </c>
      <c r="AQ973" s="1">
        <f t="shared" si="110"/>
        <v>0.6</v>
      </c>
    </row>
    <row r="974" spans="1:43"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105"/>
        <v>OK</v>
      </c>
      <c r="AK974" t="str">
        <f t="shared" si="111"/>
        <v>OK</v>
      </c>
      <c r="AL974" t="str">
        <f t="shared" si="106"/>
        <v>OK</v>
      </c>
      <c r="AM974" t="str">
        <f t="shared" si="107"/>
        <v>OK</v>
      </c>
      <c r="AN974" s="1">
        <f>IF(AF974=0,0,AH974/AF974)</f>
        <v>0</v>
      </c>
      <c r="AO974" s="1">
        <f t="shared" si="108"/>
        <v>0</v>
      </c>
      <c r="AP974" s="1">
        <f t="shared" si="109"/>
        <v>0</v>
      </c>
      <c r="AQ974" s="1">
        <f t="shared" si="110"/>
        <v>0</v>
      </c>
    </row>
    <row r="975" spans="1:43"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105"/>
        <v>OK</v>
      </c>
      <c r="AK975" t="str">
        <f t="shared" si="111"/>
        <v>OK</v>
      </c>
      <c r="AL975" t="str">
        <f t="shared" si="106"/>
        <v>OK</v>
      </c>
      <c r="AM975" t="str">
        <f t="shared" si="107"/>
        <v>OK</v>
      </c>
      <c r="AN975" s="1">
        <f>IF(AF975=0,0,AH975/AF975)</f>
        <v>0</v>
      </c>
      <c r="AO975" s="1">
        <f t="shared" si="108"/>
        <v>0.77777777777777779</v>
      </c>
      <c r="AP975" s="1">
        <f t="shared" si="109"/>
        <v>0</v>
      </c>
      <c r="AQ975" s="1">
        <f t="shared" si="110"/>
        <v>0</v>
      </c>
    </row>
    <row r="976" spans="1:43"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105"/>
        <v>OK</v>
      </c>
      <c r="AK976" t="str">
        <f t="shared" si="111"/>
        <v>OK</v>
      </c>
      <c r="AL976" t="str">
        <f t="shared" si="106"/>
        <v>OK</v>
      </c>
      <c r="AM976" t="str">
        <f t="shared" si="107"/>
        <v>OK</v>
      </c>
      <c r="AN976" s="1">
        <f>IF(AF976=0,0,AH976/AF976)</f>
        <v>0</v>
      </c>
      <c r="AO976" s="1">
        <f t="shared" si="108"/>
        <v>0.33333333333333331</v>
      </c>
      <c r="AP976" s="1">
        <f t="shared" si="109"/>
        <v>0.5</v>
      </c>
      <c r="AQ976" s="1">
        <f t="shared" si="110"/>
        <v>0</v>
      </c>
    </row>
    <row r="977" spans="1:43"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105"/>
        <v>OK</v>
      </c>
      <c r="AK977" t="str">
        <f t="shared" si="111"/>
        <v>OK</v>
      </c>
      <c r="AL977" t="str">
        <f t="shared" si="106"/>
        <v>OK</v>
      </c>
      <c r="AM977" t="str">
        <f t="shared" si="107"/>
        <v>OK</v>
      </c>
      <c r="AN977" s="1">
        <f>IF(AF977=0,0,AH977/AF977)</f>
        <v>0.15789473684210525</v>
      </c>
      <c r="AO977" s="1">
        <f t="shared" si="108"/>
        <v>0.36842105263157893</v>
      </c>
      <c r="AP977" s="1">
        <f t="shared" si="109"/>
        <v>0.10526315789473684</v>
      </c>
      <c r="AQ977" s="1">
        <f t="shared" si="110"/>
        <v>0.42105263157894735</v>
      </c>
    </row>
    <row r="978" spans="1:43"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105"/>
        <v>OK</v>
      </c>
      <c r="AK978" t="str">
        <f t="shared" si="111"/>
        <v>OK</v>
      </c>
      <c r="AL978" t="str">
        <f t="shared" si="106"/>
        <v>OK</v>
      </c>
      <c r="AM978" t="str">
        <f t="shared" si="107"/>
        <v>OK</v>
      </c>
      <c r="AN978" s="1">
        <f>IF(AF978=0,0,AH978/AF978)</f>
        <v>0.78947368421052633</v>
      </c>
      <c r="AO978" s="1">
        <f t="shared" si="108"/>
        <v>0.84210526315789469</v>
      </c>
      <c r="AP978" s="1">
        <f t="shared" si="109"/>
        <v>0</v>
      </c>
      <c r="AQ978" s="1">
        <f t="shared" si="110"/>
        <v>0.47368421052631576</v>
      </c>
    </row>
    <row r="979" spans="1:43"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105"/>
        <v>OK</v>
      </c>
      <c r="AK979" t="str">
        <f t="shared" si="111"/>
        <v>OK</v>
      </c>
      <c r="AL979" t="str">
        <f t="shared" si="106"/>
        <v>OK</v>
      </c>
      <c r="AM979" t="str">
        <f t="shared" si="107"/>
        <v>OK</v>
      </c>
      <c r="AN979" s="1">
        <f>IF(AF979=0,0,AH979/AF979)</f>
        <v>0</v>
      </c>
      <c r="AO979" s="1">
        <f t="shared" si="108"/>
        <v>0.8</v>
      </c>
      <c r="AP979" s="1">
        <f t="shared" si="109"/>
        <v>0.4</v>
      </c>
      <c r="AQ979" s="1">
        <f t="shared" si="110"/>
        <v>0</v>
      </c>
    </row>
    <row r="980" spans="1:43"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105"/>
        <v>OK</v>
      </c>
      <c r="AK980" t="str">
        <f t="shared" si="111"/>
        <v>OK</v>
      </c>
      <c r="AL980" t="str">
        <f t="shared" si="106"/>
        <v>OK</v>
      </c>
      <c r="AM980" t="str">
        <f t="shared" si="107"/>
        <v>OK</v>
      </c>
      <c r="AN980" s="1">
        <f>IF(AF980=0,0,AH980/AF980)</f>
        <v>0.91666666666666663</v>
      </c>
      <c r="AO980" s="1">
        <f t="shared" si="108"/>
        <v>0.91666666666666663</v>
      </c>
      <c r="AP980" s="1">
        <f t="shared" si="109"/>
        <v>0</v>
      </c>
      <c r="AQ980" s="1">
        <f t="shared" si="110"/>
        <v>0.66666666666666663</v>
      </c>
    </row>
    <row r="981" spans="1:43"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105"/>
        <v>OK</v>
      </c>
      <c r="AK981" t="str">
        <f t="shared" si="111"/>
        <v>OK</v>
      </c>
      <c r="AL981" t="str">
        <f t="shared" si="106"/>
        <v>OK</v>
      </c>
      <c r="AM981" t="str">
        <f t="shared" si="107"/>
        <v>OK</v>
      </c>
      <c r="AN981" s="1">
        <f>IF(AF981=0,0,AH981/AF981)</f>
        <v>0.875</v>
      </c>
      <c r="AO981" s="1">
        <f t="shared" si="108"/>
        <v>0.875</v>
      </c>
      <c r="AP981" s="1">
        <f t="shared" si="109"/>
        <v>0.125</v>
      </c>
      <c r="AQ981" s="1">
        <f t="shared" si="110"/>
        <v>0.875</v>
      </c>
    </row>
    <row r="982" spans="1:43"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105"/>
        <v>OK</v>
      </c>
      <c r="AK982" t="str">
        <f t="shared" si="111"/>
        <v>OK</v>
      </c>
      <c r="AL982" t="str">
        <f t="shared" si="106"/>
        <v>OK</v>
      </c>
      <c r="AM982" t="str">
        <f t="shared" si="107"/>
        <v>OK</v>
      </c>
      <c r="AN982" s="1">
        <f>IF(AF982=0,0,AH982/AF982)</f>
        <v>0</v>
      </c>
      <c r="AO982" s="1">
        <f t="shared" si="108"/>
        <v>0</v>
      </c>
      <c r="AP982" s="1">
        <f t="shared" si="109"/>
        <v>3</v>
      </c>
      <c r="AQ982" s="1">
        <f t="shared" si="110"/>
        <v>0</v>
      </c>
    </row>
    <row r="983" spans="1:43"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105"/>
        <v>OK</v>
      </c>
      <c r="AK983" t="str">
        <f t="shared" si="111"/>
        <v>OK</v>
      </c>
      <c r="AL983" t="str">
        <f t="shared" si="106"/>
        <v>OK</v>
      </c>
      <c r="AM983" t="str">
        <f t="shared" si="107"/>
        <v>OK</v>
      </c>
      <c r="AN983" s="1">
        <f>IF(AF983=0,0,AH983/AF983)</f>
        <v>0.75</v>
      </c>
      <c r="AO983" s="1">
        <f t="shared" si="108"/>
        <v>0.5</v>
      </c>
      <c r="AP983" s="1">
        <f t="shared" si="109"/>
        <v>0</v>
      </c>
      <c r="AQ983" s="1">
        <f t="shared" si="110"/>
        <v>0.5</v>
      </c>
    </row>
    <row r="984" spans="1:43"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105"/>
        <v>OK</v>
      </c>
      <c r="AK984" t="str">
        <f t="shared" si="111"/>
        <v>OK</v>
      </c>
      <c r="AL984" t="str">
        <f t="shared" si="106"/>
        <v>OK</v>
      </c>
      <c r="AM984" t="str">
        <f t="shared" si="107"/>
        <v>OK</v>
      </c>
      <c r="AN984" s="1">
        <f>IF(AF984=0,0,AH984/AF984)</f>
        <v>0</v>
      </c>
      <c r="AO984" s="1">
        <f t="shared" si="108"/>
        <v>0.5</v>
      </c>
      <c r="AP984" s="1">
        <f t="shared" si="109"/>
        <v>0.5</v>
      </c>
      <c r="AQ984" s="1">
        <f t="shared" si="110"/>
        <v>0.75</v>
      </c>
    </row>
    <row r="985" spans="1:43"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105"/>
        <v>OK</v>
      </c>
      <c r="AK985" t="str">
        <f t="shared" si="111"/>
        <v>OK</v>
      </c>
      <c r="AL985" t="str">
        <f t="shared" si="106"/>
        <v>OK</v>
      </c>
      <c r="AM985" t="str">
        <f t="shared" si="107"/>
        <v>OK</v>
      </c>
      <c r="AN985" s="1">
        <f>IF(AF985=0,0,AH985/AF985)</f>
        <v>0.2857142857142857</v>
      </c>
      <c r="AO985" s="1">
        <f t="shared" si="108"/>
        <v>0.7857142857142857</v>
      </c>
      <c r="AP985" s="1">
        <f t="shared" si="109"/>
        <v>0.14285714285714285</v>
      </c>
      <c r="AQ985" s="1">
        <f t="shared" si="110"/>
        <v>0.7857142857142857</v>
      </c>
    </row>
    <row r="986" spans="1:43"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105"/>
        <v>OK</v>
      </c>
      <c r="AK986" t="str">
        <f t="shared" si="111"/>
        <v>OK</v>
      </c>
      <c r="AL986" t="str">
        <f t="shared" si="106"/>
        <v>OK</v>
      </c>
      <c r="AM986" t="str">
        <f t="shared" si="107"/>
        <v>OK</v>
      </c>
      <c r="AN986" s="1">
        <f>IF(AF986=0,0,AH986/AF986)</f>
        <v>0</v>
      </c>
      <c r="AO986" s="1">
        <f t="shared" si="108"/>
        <v>0.6</v>
      </c>
      <c r="AP986" s="1">
        <f t="shared" si="109"/>
        <v>0</v>
      </c>
      <c r="AQ986" s="1">
        <f t="shared" si="110"/>
        <v>0.8</v>
      </c>
    </row>
    <row r="987" spans="1:43"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105"/>
        <v>OK</v>
      </c>
      <c r="AK987" t="str">
        <f t="shared" si="111"/>
        <v>OK</v>
      </c>
      <c r="AL987" t="str">
        <f t="shared" si="106"/>
        <v>OK</v>
      </c>
      <c r="AM987" t="str">
        <f t="shared" si="107"/>
        <v>OK</v>
      </c>
      <c r="AN987" s="1">
        <f>IF(AF987=0,0,AH987/AF987)</f>
        <v>0.6</v>
      </c>
      <c r="AO987" s="1">
        <f t="shared" si="108"/>
        <v>0.2</v>
      </c>
      <c r="AP987" s="1">
        <f t="shared" si="109"/>
        <v>0.3</v>
      </c>
      <c r="AQ987" s="1">
        <f t="shared" si="110"/>
        <v>0.7</v>
      </c>
    </row>
    <row r="988" spans="1:43"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105"/>
        <v>OK</v>
      </c>
      <c r="AK988" t="str">
        <f t="shared" si="111"/>
        <v>OK</v>
      </c>
      <c r="AL988" t="str">
        <f t="shared" si="106"/>
        <v>OK</v>
      </c>
      <c r="AM988" t="str">
        <f t="shared" si="107"/>
        <v>OK</v>
      </c>
      <c r="AN988" s="1">
        <f>IF(AF988=0,0,AH988/AF988)</f>
        <v>0.2</v>
      </c>
      <c r="AO988" s="1">
        <f t="shared" si="108"/>
        <v>0.8</v>
      </c>
      <c r="AP988" s="1">
        <f t="shared" si="109"/>
        <v>0.4</v>
      </c>
      <c r="AQ988" s="1">
        <f t="shared" si="110"/>
        <v>0.8</v>
      </c>
    </row>
    <row r="989" spans="1:43"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105"/>
        <v>OK</v>
      </c>
      <c r="AK989" t="str">
        <f t="shared" si="111"/>
        <v>OK</v>
      </c>
      <c r="AL989" t="str">
        <f t="shared" si="106"/>
        <v>OK</v>
      </c>
      <c r="AM989" t="str">
        <f t="shared" si="107"/>
        <v>OK</v>
      </c>
      <c r="AN989" s="1">
        <f>IF(AF989=0,0,AH989/AF989)</f>
        <v>0.75</v>
      </c>
      <c r="AO989" s="1">
        <f t="shared" si="108"/>
        <v>0.5</v>
      </c>
      <c r="AP989" s="1">
        <f t="shared" si="109"/>
        <v>1.25</v>
      </c>
      <c r="AQ989" s="1">
        <f t="shared" si="110"/>
        <v>0.5</v>
      </c>
    </row>
    <row r="990" spans="1:43"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105"/>
        <v>OK</v>
      </c>
      <c r="AK990" t="str">
        <f t="shared" si="111"/>
        <v>OK</v>
      </c>
      <c r="AL990" t="str">
        <f t="shared" si="106"/>
        <v>OK</v>
      </c>
      <c r="AM990" t="str">
        <f t="shared" si="107"/>
        <v>OK</v>
      </c>
      <c r="AN990" s="1">
        <f>IF(AF990=0,0,AH990/AF990)</f>
        <v>0.5</v>
      </c>
      <c r="AO990" s="1">
        <f t="shared" si="108"/>
        <v>0.33333333333333331</v>
      </c>
      <c r="AP990" s="1">
        <f t="shared" si="109"/>
        <v>0.66666666666666663</v>
      </c>
      <c r="AQ990" s="1">
        <f t="shared" si="110"/>
        <v>0.5</v>
      </c>
    </row>
    <row r="991" spans="1:43"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105"/>
        <v>OK</v>
      </c>
      <c r="AK991" t="str">
        <f t="shared" si="111"/>
        <v>OK</v>
      </c>
      <c r="AL991" t="str">
        <f t="shared" si="106"/>
        <v>OK</v>
      </c>
      <c r="AM991" t="str">
        <f t="shared" si="107"/>
        <v>OK</v>
      </c>
      <c r="AN991" s="1">
        <f>IF(AF991=0,0,AH991/AF991)</f>
        <v>0.16666666666666666</v>
      </c>
      <c r="AO991" s="1">
        <f t="shared" si="108"/>
        <v>0.66666666666666663</v>
      </c>
      <c r="AP991" s="1">
        <f t="shared" si="109"/>
        <v>0.33333333333333331</v>
      </c>
      <c r="AQ991" s="1">
        <f t="shared" si="110"/>
        <v>0.5</v>
      </c>
    </row>
    <row r="992" spans="1:43"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105"/>
        <v>OK</v>
      </c>
      <c r="AK992" t="str">
        <f t="shared" si="111"/>
        <v>OK</v>
      </c>
      <c r="AL992" t="str">
        <f t="shared" si="106"/>
        <v>OK</v>
      </c>
      <c r="AM992" t="str">
        <f t="shared" si="107"/>
        <v>OK</v>
      </c>
      <c r="AN992" s="1">
        <f>IF(AF992=0,0,AH992/AF992)</f>
        <v>0.2</v>
      </c>
      <c r="AO992" s="1">
        <f t="shared" si="108"/>
        <v>0.8</v>
      </c>
      <c r="AP992" s="1">
        <f t="shared" si="109"/>
        <v>0.4</v>
      </c>
      <c r="AQ992" s="1">
        <f t="shared" si="110"/>
        <v>0.4</v>
      </c>
    </row>
    <row r="993" spans="1:43"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105"/>
        <v>OK</v>
      </c>
      <c r="AK993" t="str">
        <f t="shared" si="111"/>
        <v>OK</v>
      </c>
      <c r="AL993" t="str">
        <f t="shared" si="106"/>
        <v>OK</v>
      </c>
      <c r="AM993" t="str">
        <f t="shared" si="107"/>
        <v>OK</v>
      </c>
      <c r="AN993" s="1">
        <f>IF(AF993=0,0,AH993/AF993)</f>
        <v>0.33333333333333331</v>
      </c>
      <c r="AO993" s="1">
        <f t="shared" si="108"/>
        <v>0.66666666666666663</v>
      </c>
      <c r="AP993" s="1">
        <f t="shared" si="109"/>
        <v>1</v>
      </c>
      <c r="AQ993" s="1">
        <f t="shared" si="110"/>
        <v>0.66666666666666663</v>
      </c>
    </row>
    <row r="994" spans="1:43"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105"/>
        <v>OK</v>
      </c>
      <c r="AK994" t="str">
        <f t="shared" si="111"/>
        <v>OK</v>
      </c>
      <c r="AL994" t="str">
        <f t="shared" si="106"/>
        <v>OK</v>
      </c>
      <c r="AM994" t="str">
        <f t="shared" si="107"/>
        <v>OK</v>
      </c>
      <c r="AN994" s="1">
        <f>IF(AF994=0,0,AH994/AF994)</f>
        <v>0</v>
      </c>
      <c r="AO994" s="1">
        <f t="shared" si="108"/>
        <v>0.66666666666666663</v>
      </c>
      <c r="AP994" s="1">
        <f t="shared" si="109"/>
        <v>0.33333333333333331</v>
      </c>
      <c r="AQ994" s="1">
        <f t="shared" si="110"/>
        <v>0.83333333333333337</v>
      </c>
    </row>
    <row r="995" spans="1:43"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105"/>
        <v>OK</v>
      </c>
      <c r="AK995" t="str">
        <f t="shared" si="111"/>
        <v>OK</v>
      </c>
      <c r="AL995" t="str">
        <f t="shared" si="106"/>
        <v>OK</v>
      </c>
      <c r="AM995" t="str">
        <f t="shared" si="107"/>
        <v>OK</v>
      </c>
      <c r="AN995" s="1">
        <f>IF(AF995=0,0,AH995/AF995)</f>
        <v>0.33333333333333331</v>
      </c>
      <c r="AO995" s="1">
        <f t="shared" si="108"/>
        <v>0.66666666666666663</v>
      </c>
      <c r="AP995" s="1">
        <f t="shared" si="109"/>
        <v>1</v>
      </c>
      <c r="AQ995" s="1">
        <f t="shared" si="110"/>
        <v>0.66666666666666663</v>
      </c>
    </row>
    <row r="996" spans="1:43"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105"/>
        <v>OK</v>
      </c>
      <c r="AK996" t="str">
        <f t="shared" si="111"/>
        <v>OK</v>
      </c>
      <c r="AL996" t="str">
        <f t="shared" si="106"/>
        <v>OK</v>
      </c>
      <c r="AM996" t="str">
        <f t="shared" si="107"/>
        <v>OK</v>
      </c>
      <c r="AN996" s="1">
        <f>IF(AF996=0,0,AH996/AF996)</f>
        <v>0</v>
      </c>
      <c r="AO996" s="1">
        <f t="shared" si="108"/>
        <v>0.6</v>
      </c>
      <c r="AP996" s="1">
        <f t="shared" si="109"/>
        <v>0.6</v>
      </c>
      <c r="AQ996" s="1">
        <f t="shared" si="110"/>
        <v>0.4</v>
      </c>
    </row>
    <row r="997" spans="1:43"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105"/>
        <v>OK</v>
      </c>
      <c r="AK997" t="str">
        <f t="shared" si="111"/>
        <v>OK</v>
      </c>
      <c r="AL997" t="str">
        <f t="shared" si="106"/>
        <v>OK</v>
      </c>
      <c r="AM997" t="str">
        <f t="shared" si="107"/>
        <v>OK</v>
      </c>
      <c r="AN997" s="1">
        <f>IF(AF997=0,0,AH997/AF997)</f>
        <v>0.05</v>
      </c>
      <c r="AO997" s="1">
        <f t="shared" si="108"/>
        <v>0.35</v>
      </c>
      <c r="AP997" s="1">
        <f t="shared" si="109"/>
        <v>0.15</v>
      </c>
      <c r="AQ997" s="1">
        <f t="shared" si="110"/>
        <v>0.4</v>
      </c>
    </row>
    <row r="998" spans="1:43"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105"/>
        <v>OK</v>
      </c>
      <c r="AK998" t="str">
        <f t="shared" si="111"/>
        <v>OK</v>
      </c>
      <c r="AL998" t="str">
        <f t="shared" si="106"/>
        <v>OK</v>
      </c>
      <c r="AM998" t="str">
        <f t="shared" si="107"/>
        <v>OK</v>
      </c>
      <c r="AN998" s="1">
        <f>IF(AF998=0,0,AH998/AF998)</f>
        <v>0.66666666666666663</v>
      </c>
      <c r="AO998" s="1">
        <f t="shared" si="108"/>
        <v>0.33333333333333331</v>
      </c>
      <c r="AP998" s="1">
        <f t="shared" si="109"/>
        <v>0.5</v>
      </c>
      <c r="AQ998" s="1">
        <f t="shared" si="110"/>
        <v>0.66666666666666663</v>
      </c>
    </row>
    <row r="999" spans="1:43"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105"/>
        <v>OK</v>
      </c>
      <c r="AK999" t="str">
        <f t="shared" si="111"/>
        <v>OK</v>
      </c>
      <c r="AL999" t="str">
        <f t="shared" si="106"/>
        <v>OK</v>
      </c>
      <c r="AM999" t="str">
        <f t="shared" si="107"/>
        <v>OK</v>
      </c>
      <c r="AN999" s="1">
        <f>IF(AF999=0,0,AH999/AF999)</f>
        <v>0.875</v>
      </c>
      <c r="AO999" s="1">
        <f t="shared" si="108"/>
        <v>0.25</v>
      </c>
      <c r="AP999" s="1">
        <f t="shared" si="109"/>
        <v>0.25</v>
      </c>
      <c r="AQ999" s="1">
        <f t="shared" si="110"/>
        <v>0.875</v>
      </c>
    </row>
    <row r="1000" spans="1:43"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105"/>
        <v>OK</v>
      </c>
      <c r="AK1000" t="str">
        <f t="shared" si="111"/>
        <v>OK</v>
      </c>
      <c r="AL1000" t="str">
        <f t="shared" si="106"/>
        <v>OK</v>
      </c>
      <c r="AM1000" t="str">
        <f t="shared" si="107"/>
        <v>OK</v>
      </c>
      <c r="AN1000" s="1">
        <f>IF(AF1000=0,0,AH1000/AF1000)</f>
        <v>0.25</v>
      </c>
      <c r="AO1000" s="1">
        <f t="shared" si="108"/>
        <v>0.75</v>
      </c>
      <c r="AP1000" s="1">
        <f t="shared" si="109"/>
        <v>0.5</v>
      </c>
      <c r="AQ1000" s="1">
        <f t="shared" si="110"/>
        <v>0.25</v>
      </c>
    </row>
    <row r="1001" spans="1:43"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105"/>
        <v>OK</v>
      </c>
      <c r="AK1001" t="str">
        <f t="shared" si="111"/>
        <v>OK</v>
      </c>
      <c r="AL1001" t="str">
        <f t="shared" si="106"/>
        <v>OK</v>
      </c>
      <c r="AM1001" t="str">
        <f t="shared" si="107"/>
        <v>OK</v>
      </c>
      <c r="AN1001" s="1">
        <f>IF(AF1001=0,0,AH1001/AF1001)</f>
        <v>0</v>
      </c>
      <c r="AO1001" s="1">
        <f t="shared" si="108"/>
        <v>0.35</v>
      </c>
      <c r="AP1001" s="1">
        <f t="shared" si="109"/>
        <v>0.25</v>
      </c>
      <c r="AQ1001" s="1">
        <f t="shared" si="110"/>
        <v>0.45</v>
      </c>
    </row>
    <row r="1002" spans="1:43"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105"/>
        <v>OK</v>
      </c>
      <c r="AK1002" t="str">
        <f t="shared" si="111"/>
        <v>OK</v>
      </c>
      <c r="AL1002" t="str">
        <f t="shared" si="106"/>
        <v>OK</v>
      </c>
      <c r="AM1002" t="str">
        <f t="shared" si="107"/>
        <v>OK</v>
      </c>
      <c r="AN1002" s="1">
        <f>IF(AF1002=0,0,AH1002/AF1002)</f>
        <v>0</v>
      </c>
      <c r="AO1002" s="1">
        <f t="shared" si="108"/>
        <v>0.8</v>
      </c>
      <c r="AP1002" s="1">
        <f t="shared" si="109"/>
        <v>0.4</v>
      </c>
      <c r="AQ1002" s="1">
        <f t="shared" si="110"/>
        <v>0.8</v>
      </c>
    </row>
    <row r="1003" spans="1:43"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105"/>
        <v>OK</v>
      </c>
      <c r="AK1003" t="str">
        <f t="shared" si="111"/>
        <v>OK</v>
      </c>
      <c r="AL1003" t="str">
        <f t="shared" si="106"/>
        <v>OK</v>
      </c>
      <c r="AM1003" t="str">
        <f t="shared" si="107"/>
        <v>OK</v>
      </c>
      <c r="AN1003" s="1">
        <f>IF(AF1003=0,0,AH1003/AF1003)</f>
        <v>0</v>
      </c>
      <c r="AO1003" s="1">
        <f t="shared" si="108"/>
        <v>0.66666666666666663</v>
      </c>
      <c r="AP1003" s="1">
        <f t="shared" si="109"/>
        <v>2</v>
      </c>
      <c r="AQ1003" s="1">
        <f t="shared" si="110"/>
        <v>0.66666666666666663</v>
      </c>
    </row>
    <row r="1004" spans="1:43"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105"/>
        <v>OK</v>
      </c>
      <c r="AK1004" t="str">
        <f t="shared" si="111"/>
        <v>OK</v>
      </c>
      <c r="AL1004" t="str">
        <f t="shared" si="106"/>
        <v>OK</v>
      </c>
      <c r="AM1004" t="str">
        <f t="shared" si="107"/>
        <v>OK</v>
      </c>
      <c r="AN1004" s="1">
        <f>IF(AF1004=0,0,AH1004/AF1004)</f>
        <v>1</v>
      </c>
      <c r="AO1004" s="1">
        <f t="shared" si="108"/>
        <v>1</v>
      </c>
      <c r="AP1004" s="1">
        <f t="shared" si="109"/>
        <v>1</v>
      </c>
      <c r="AQ1004" s="1">
        <f t="shared" si="110"/>
        <v>1</v>
      </c>
    </row>
    <row r="1005" spans="1:43"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105"/>
        <v>OK</v>
      </c>
      <c r="AK1005" t="str">
        <f t="shared" si="111"/>
        <v>OK</v>
      </c>
      <c r="AL1005" t="str">
        <f t="shared" si="106"/>
        <v>OK</v>
      </c>
      <c r="AM1005" t="str">
        <f t="shared" si="107"/>
        <v>OK</v>
      </c>
      <c r="AN1005" s="1">
        <f>IF(AF1005=0,0,AH1005/AF1005)</f>
        <v>0</v>
      </c>
      <c r="AO1005" s="1">
        <f t="shared" si="108"/>
        <v>0.66666666666666663</v>
      </c>
      <c r="AP1005" s="1">
        <f t="shared" si="109"/>
        <v>0.66666666666666663</v>
      </c>
      <c r="AQ1005" s="1">
        <f t="shared" si="110"/>
        <v>0.66666666666666663</v>
      </c>
    </row>
    <row r="1006" spans="1:43"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105"/>
        <v>OK</v>
      </c>
      <c r="AK1006" t="str">
        <f t="shared" si="111"/>
        <v>OK</v>
      </c>
      <c r="AL1006" t="str">
        <f t="shared" si="106"/>
        <v>OK</v>
      </c>
      <c r="AM1006" t="str">
        <f t="shared" si="107"/>
        <v>OK</v>
      </c>
      <c r="AN1006" s="1">
        <f>IF(AF1006=0,0,AH1006/AF1006)</f>
        <v>0</v>
      </c>
      <c r="AO1006" s="1">
        <f t="shared" si="108"/>
        <v>1</v>
      </c>
      <c r="AP1006" s="1">
        <f t="shared" si="109"/>
        <v>0.2857142857142857</v>
      </c>
      <c r="AQ1006" s="1">
        <f t="shared" si="110"/>
        <v>1</v>
      </c>
    </row>
    <row r="1007" spans="1:43"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105"/>
        <v>OK</v>
      </c>
      <c r="AK1007" t="str">
        <f t="shared" si="111"/>
        <v>OK</v>
      </c>
      <c r="AL1007" t="str">
        <f t="shared" si="106"/>
        <v>OK</v>
      </c>
      <c r="AM1007" t="str">
        <f t="shared" si="107"/>
        <v>OK</v>
      </c>
      <c r="AN1007" s="1">
        <f>IF(AF1007=0,0,AH1007/AF1007)</f>
        <v>0</v>
      </c>
      <c r="AO1007" s="1">
        <f t="shared" si="108"/>
        <v>0.9</v>
      </c>
      <c r="AP1007" s="1">
        <f t="shared" si="109"/>
        <v>0.3</v>
      </c>
      <c r="AQ1007" s="1">
        <f t="shared" si="110"/>
        <v>0.9</v>
      </c>
    </row>
    <row r="1008" spans="1:43"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105"/>
        <v>OK</v>
      </c>
      <c r="AK1008" t="str">
        <f t="shared" si="111"/>
        <v>OK</v>
      </c>
      <c r="AL1008" t="str">
        <f t="shared" si="106"/>
        <v>OK</v>
      </c>
      <c r="AM1008" t="str">
        <f t="shared" si="107"/>
        <v>OK</v>
      </c>
      <c r="AN1008" s="1">
        <f>IF(AF1008=0,0,AH1008/AF1008)</f>
        <v>0.25</v>
      </c>
      <c r="AO1008" s="1">
        <f t="shared" si="108"/>
        <v>0.75</v>
      </c>
      <c r="AP1008" s="1">
        <f t="shared" si="109"/>
        <v>0.5</v>
      </c>
      <c r="AQ1008" s="1">
        <f t="shared" si="110"/>
        <v>0.75</v>
      </c>
    </row>
    <row r="1009" spans="1:43"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105"/>
        <v>OK</v>
      </c>
      <c r="AK1009" t="str">
        <f t="shared" si="111"/>
        <v>OK</v>
      </c>
      <c r="AL1009" t="str">
        <f t="shared" si="106"/>
        <v>OK</v>
      </c>
      <c r="AM1009" t="str">
        <f t="shared" si="107"/>
        <v>OK</v>
      </c>
      <c r="AN1009" s="1">
        <f>IF(AF1009=0,0,AH1009/AF1009)</f>
        <v>0.875</v>
      </c>
      <c r="AO1009" s="1">
        <f t="shared" si="108"/>
        <v>0.875</v>
      </c>
      <c r="AP1009" s="1">
        <f t="shared" si="109"/>
        <v>0.125</v>
      </c>
      <c r="AQ1009" s="1">
        <f t="shared" si="110"/>
        <v>0.875</v>
      </c>
    </row>
    <row r="1010" spans="1:43"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105"/>
        <v>OK</v>
      </c>
      <c r="AK1010" t="str">
        <f t="shared" si="111"/>
        <v>OK</v>
      </c>
      <c r="AL1010" t="str">
        <f t="shared" si="106"/>
        <v>OK</v>
      </c>
      <c r="AM1010" t="str">
        <f t="shared" si="107"/>
        <v>OK</v>
      </c>
      <c r="AN1010" s="1">
        <f>IF(AF1010=0,0,AH1010/AF1010)</f>
        <v>0.6</v>
      </c>
      <c r="AO1010" s="1">
        <f t="shared" si="108"/>
        <v>0.35</v>
      </c>
      <c r="AP1010" s="1">
        <f t="shared" si="109"/>
        <v>0.15</v>
      </c>
      <c r="AQ1010" s="1">
        <f t="shared" si="110"/>
        <v>0.35</v>
      </c>
    </row>
    <row r="1011" spans="1:43"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105"/>
        <v>OK</v>
      </c>
      <c r="AK1011" t="str">
        <f t="shared" si="111"/>
        <v>OK</v>
      </c>
      <c r="AL1011" t="str">
        <f t="shared" si="106"/>
        <v>OK</v>
      </c>
      <c r="AM1011" t="str">
        <f t="shared" si="107"/>
        <v>OK</v>
      </c>
      <c r="AN1011" s="1">
        <f>IF(AF1011=0,0,AH1011/AF1011)</f>
        <v>0.1111111111111111</v>
      </c>
      <c r="AO1011" s="1">
        <f t="shared" si="108"/>
        <v>0.88888888888888884</v>
      </c>
      <c r="AP1011" s="1">
        <f t="shared" si="109"/>
        <v>0.33333333333333331</v>
      </c>
      <c r="AQ1011" s="1">
        <f t="shared" si="110"/>
        <v>0.55555555555555558</v>
      </c>
    </row>
    <row r="1012" spans="1:43"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105"/>
        <v>OK</v>
      </c>
      <c r="AK1012" t="str">
        <f t="shared" si="111"/>
        <v>OK</v>
      </c>
      <c r="AL1012" t="str">
        <f t="shared" si="106"/>
        <v>OK</v>
      </c>
      <c r="AM1012" t="str">
        <f t="shared" si="107"/>
        <v>OK</v>
      </c>
      <c r="AN1012" s="1">
        <f>IF(AF1012=0,0,AH1012/AF1012)</f>
        <v>0</v>
      </c>
      <c r="AO1012" s="1">
        <f t="shared" si="108"/>
        <v>1</v>
      </c>
      <c r="AP1012" s="1">
        <f t="shared" si="109"/>
        <v>0.5714285714285714</v>
      </c>
      <c r="AQ1012" s="1">
        <f t="shared" si="110"/>
        <v>0</v>
      </c>
    </row>
    <row r="1013" spans="1:43"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105"/>
        <v>OK</v>
      </c>
      <c r="AK1013" t="str">
        <f t="shared" si="111"/>
        <v>OK</v>
      </c>
      <c r="AL1013" t="str">
        <f t="shared" si="106"/>
        <v>OK</v>
      </c>
      <c r="AM1013" t="str">
        <f t="shared" si="107"/>
        <v>OK</v>
      </c>
      <c r="AN1013" s="1">
        <f>IF(AF1013=0,0,AH1013/AF1013)</f>
        <v>0</v>
      </c>
      <c r="AO1013" s="1">
        <f t="shared" si="108"/>
        <v>0.8</v>
      </c>
      <c r="AP1013" s="1">
        <f t="shared" si="109"/>
        <v>0.6</v>
      </c>
      <c r="AQ1013" s="1">
        <f t="shared" si="110"/>
        <v>0.2</v>
      </c>
    </row>
    <row r="1014" spans="1:43"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105"/>
        <v>OK</v>
      </c>
      <c r="AK1014" t="str">
        <f t="shared" si="111"/>
        <v>OK</v>
      </c>
      <c r="AL1014" t="str">
        <f t="shared" si="106"/>
        <v>OK</v>
      </c>
      <c r="AM1014" t="str">
        <f t="shared" si="107"/>
        <v>OK</v>
      </c>
      <c r="AN1014" s="1">
        <f>IF(AF1014=0,0,AH1014/AF1014)</f>
        <v>0</v>
      </c>
      <c r="AO1014" s="1">
        <f t="shared" si="108"/>
        <v>0</v>
      </c>
      <c r="AP1014" s="1">
        <f t="shared" si="109"/>
        <v>3</v>
      </c>
      <c r="AQ1014" s="1">
        <f t="shared" si="110"/>
        <v>0</v>
      </c>
    </row>
    <row r="1015" spans="1:43"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105"/>
        <v>OK</v>
      </c>
      <c r="AK1015" t="str">
        <f t="shared" si="111"/>
        <v>OK</v>
      </c>
      <c r="AL1015" t="str">
        <f t="shared" si="106"/>
        <v>OK</v>
      </c>
      <c r="AM1015" t="str">
        <f t="shared" si="107"/>
        <v>OK</v>
      </c>
      <c r="AN1015" s="1">
        <f>IF(AF1015=0,0,AH1015/AF1015)</f>
        <v>0</v>
      </c>
      <c r="AO1015" s="1">
        <f t="shared" si="108"/>
        <v>0.66666666666666663</v>
      </c>
      <c r="AP1015" s="1">
        <f t="shared" si="109"/>
        <v>1</v>
      </c>
      <c r="AQ1015" s="1">
        <f t="shared" si="110"/>
        <v>0.66666666666666663</v>
      </c>
    </row>
    <row r="1016" spans="1:43"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105"/>
        <v>OK</v>
      </c>
      <c r="AK1016" t="str">
        <f t="shared" si="111"/>
        <v>OK</v>
      </c>
      <c r="AL1016" t="str">
        <f t="shared" si="106"/>
        <v>OK</v>
      </c>
      <c r="AM1016" t="str">
        <f t="shared" si="107"/>
        <v>OK</v>
      </c>
      <c r="AN1016" s="1">
        <f>IF(AF1016=0,0,AH1016/AF1016)</f>
        <v>0.33333333333333331</v>
      </c>
      <c r="AO1016" s="1">
        <f t="shared" si="108"/>
        <v>0.66666666666666663</v>
      </c>
      <c r="AP1016" s="1">
        <f t="shared" si="109"/>
        <v>1</v>
      </c>
      <c r="AQ1016" s="1">
        <f t="shared" si="110"/>
        <v>0</v>
      </c>
    </row>
    <row r="1017" spans="1:43"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105"/>
        <v>OK</v>
      </c>
      <c r="AK1017" t="str">
        <f t="shared" si="111"/>
        <v>OK</v>
      </c>
      <c r="AL1017" t="str">
        <f t="shared" si="106"/>
        <v>OK</v>
      </c>
      <c r="AM1017" t="str">
        <f t="shared" si="107"/>
        <v>OK</v>
      </c>
      <c r="AN1017" s="1">
        <f>IF(AF1017=0,0,AH1017/AF1017)</f>
        <v>0.25</v>
      </c>
      <c r="AO1017" s="1">
        <f t="shared" si="108"/>
        <v>0.75</v>
      </c>
      <c r="AP1017" s="1">
        <f t="shared" si="109"/>
        <v>0.5</v>
      </c>
      <c r="AQ1017" s="1">
        <f t="shared" si="110"/>
        <v>0.75</v>
      </c>
    </row>
    <row r="1018" spans="1:43"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105"/>
        <v>OK</v>
      </c>
      <c r="AK1018" t="str">
        <f t="shared" si="111"/>
        <v>OK</v>
      </c>
      <c r="AL1018" t="str">
        <f t="shared" si="106"/>
        <v>OK</v>
      </c>
      <c r="AM1018" t="str">
        <f t="shared" si="107"/>
        <v>OK</v>
      </c>
      <c r="AN1018" s="1">
        <f>IF(AF1018=0,0,AH1018/AF1018)</f>
        <v>0</v>
      </c>
      <c r="AO1018" s="1">
        <f t="shared" si="108"/>
        <v>0</v>
      </c>
      <c r="AP1018" s="1">
        <f t="shared" si="109"/>
        <v>3</v>
      </c>
      <c r="AQ1018" s="1">
        <f t="shared" si="110"/>
        <v>0</v>
      </c>
    </row>
    <row r="1019" spans="1:43"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105"/>
        <v>OK</v>
      </c>
      <c r="AK1019" t="str">
        <f t="shared" si="111"/>
        <v>OK</v>
      </c>
      <c r="AL1019" t="str">
        <f t="shared" si="106"/>
        <v>OK</v>
      </c>
      <c r="AM1019" t="str">
        <f t="shared" si="107"/>
        <v>OK</v>
      </c>
      <c r="AN1019" s="1">
        <f>IF(AF1019=0,0,AH1019/AF1019)</f>
        <v>0.2</v>
      </c>
      <c r="AO1019" s="1">
        <f t="shared" si="108"/>
        <v>0</v>
      </c>
      <c r="AP1019" s="1">
        <f t="shared" si="109"/>
        <v>0.6</v>
      </c>
      <c r="AQ1019" s="1">
        <f t="shared" si="110"/>
        <v>0.8</v>
      </c>
    </row>
    <row r="1020" spans="1:43"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105"/>
        <v>OK</v>
      </c>
      <c r="AK1020" t="str">
        <f t="shared" si="111"/>
        <v>OK</v>
      </c>
      <c r="AL1020" t="str">
        <f t="shared" si="106"/>
        <v>OK</v>
      </c>
      <c r="AM1020" t="str">
        <f t="shared" si="107"/>
        <v>OK</v>
      </c>
      <c r="AN1020" s="1">
        <f>IF(AF1020=0,0,AH1020/AF1020)</f>
        <v>0.1</v>
      </c>
      <c r="AO1020" s="1">
        <f t="shared" si="108"/>
        <v>0.4</v>
      </c>
      <c r="AP1020" s="1">
        <f t="shared" si="109"/>
        <v>0.2</v>
      </c>
      <c r="AQ1020" s="1">
        <f t="shared" si="110"/>
        <v>0.8</v>
      </c>
    </row>
    <row r="1021" spans="1:43"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105"/>
        <v>OK</v>
      </c>
      <c r="AK1021" t="str">
        <f t="shared" si="111"/>
        <v>OK</v>
      </c>
      <c r="AL1021" t="str">
        <f t="shared" si="106"/>
        <v>OK</v>
      </c>
      <c r="AM1021" t="str">
        <f t="shared" si="107"/>
        <v>OK</v>
      </c>
      <c r="AN1021" s="1">
        <f>IF(AF1021=0,0,AH1021/AF1021)</f>
        <v>0</v>
      </c>
      <c r="AO1021" s="1">
        <f t="shared" si="108"/>
        <v>0.66666666666666663</v>
      </c>
      <c r="AP1021" s="1">
        <f t="shared" si="109"/>
        <v>1</v>
      </c>
      <c r="AQ1021" s="1">
        <f t="shared" si="110"/>
        <v>0.66666666666666663</v>
      </c>
    </row>
    <row r="1022" spans="1:43"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105"/>
        <v>OK</v>
      </c>
      <c r="AK1022" t="str">
        <f t="shared" si="111"/>
        <v>OK</v>
      </c>
      <c r="AL1022" t="str">
        <f t="shared" si="106"/>
        <v>OK</v>
      </c>
      <c r="AM1022" t="str">
        <f t="shared" si="107"/>
        <v>OK</v>
      </c>
      <c r="AN1022" s="1">
        <f>IF(AF1022=0,0,AH1022/AF1022)</f>
        <v>0.16666666666666666</v>
      </c>
      <c r="AO1022" s="1">
        <f t="shared" si="108"/>
        <v>0.83333333333333337</v>
      </c>
      <c r="AP1022" s="1">
        <f t="shared" si="109"/>
        <v>0.33333333333333331</v>
      </c>
      <c r="AQ1022" s="1">
        <f t="shared" si="110"/>
        <v>0.33333333333333331</v>
      </c>
    </row>
    <row r="1023" spans="1:43"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105"/>
        <v>OK</v>
      </c>
      <c r="AK1023" t="str">
        <f t="shared" si="111"/>
        <v>OK</v>
      </c>
      <c r="AL1023" t="str">
        <f t="shared" si="106"/>
        <v>OK</v>
      </c>
      <c r="AM1023" t="str">
        <f t="shared" si="107"/>
        <v>OK</v>
      </c>
      <c r="AN1023" s="1">
        <f>IF(AF1023=0,0,AH1023/AF1023)</f>
        <v>0.66666666666666663</v>
      </c>
      <c r="AO1023" s="1">
        <f t="shared" si="108"/>
        <v>0.66666666666666663</v>
      </c>
      <c r="AP1023" s="1">
        <f t="shared" si="109"/>
        <v>0.66666666666666663</v>
      </c>
      <c r="AQ1023" s="1">
        <f t="shared" si="110"/>
        <v>0.66666666666666663</v>
      </c>
    </row>
    <row r="1024" spans="1:43"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105"/>
        <v>OK</v>
      </c>
      <c r="AK1024" t="str">
        <f t="shared" si="111"/>
        <v>OK</v>
      </c>
      <c r="AL1024" t="str">
        <f t="shared" si="106"/>
        <v>OK</v>
      </c>
      <c r="AM1024" t="str">
        <f t="shared" si="107"/>
        <v>OK</v>
      </c>
      <c r="AN1024" s="1">
        <f>IF(AF1024=0,0,AH1024/AF1024)</f>
        <v>0.16666666666666666</v>
      </c>
      <c r="AO1024" s="1">
        <f t="shared" si="108"/>
        <v>0.83333333333333337</v>
      </c>
      <c r="AP1024" s="1">
        <f t="shared" si="109"/>
        <v>0.33333333333333331</v>
      </c>
      <c r="AQ1024" s="1">
        <f t="shared" si="110"/>
        <v>0.5</v>
      </c>
    </row>
    <row r="1025" spans="1:43"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105"/>
        <v>OK</v>
      </c>
      <c r="AK1025" t="str">
        <f t="shared" si="111"/>
        <v>OK</v>
      </c>
      <c r="AL1025" t="str">
        <f t="shared" si="106"/>
        <v>OK</v>
      </c>
      <c r="AM1025" t="str">
        <f t="shared" si="107"/>
        <v>OK</v>
      </c>
      <c r="AN1025" s="1">
        <f>IF(AF1025=0,0,AH1025/AF1025)</f>
        <v>0.33333333333333331</v>
      </c>
      <c r="AO1025" s="1">
        <f t="shared" si="108"/>
        <v>0.66666666666666663</v>
      </c>
      <c r="AP1025" s="1">
        <f t="shared" si="109"/>
        <v>1</v>
      </c>
      <c r="AQ1025" s="1">
        <f t="shared" si="110"/>
        <v>0</v>
      </c>
    </row>
    <row r="1026" spans="1:43"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si="105"/>
        <v>OK</v>
      </c>
      <c r="AK1026" t="str">
        <f t="shared" si="111"/>
        <v>OK</v>
      </c>
      <c r="AL1026" t="str">
        <f t="shared" si="106"/>
        <v>OK</v>
      </c>
      <c r="AM1026" t="str">
        <f t="shared" si="107"/>
        <v>OK</v>
      </c>
      <c r="AN1026" s="1">
        <f>IF(AF1026=0,0,AH1026/AF1026)</f>
        <v>0.25</v>
      </c>
      <c r="AO1026" s="1">
        <f t="shared" si="108"/>
        <v>0.85</v>
      </c>
      <c r="AP1026" s="1">
        <f t="shared" si="109"/>
        <v>0.1</v>
      </c>
      <c r="AQ1026" s="1">
        <f t="shared" si="110"/>
        <v>0.3</v>
      </c>
    </row>
    <row r="1027" spans="1:43"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ref="AJ1027:AJ1090" si="112">IF(AF1027&lt;=AC1027, "OK", "ERROR")</f>
        <v>OK</v>
      </c>
      <c r="AK1027" t="str">
        <f t="shared" si="111"/>
        <v>OK</v>
      </c>
      <c r="AL1027" t="str">
        <f t="shared" ref="AL1027:AL1090" si="113">IF(AG1027&lt;=AF1027,"OK","ERROR")</f>
        <v>OK</v>
      </c>
      <c r="AM1027" t="str">
        <f t="shared" ref="AM1027:AM1090" si="114">IF(AI1027&lt;=AF1027,"OK","ERROR")</f>
        <v>OK</v>
      </c>
      <c r="AN1027" s="1">
        <f>IF(AF1027=0,0,AH1027/AF1027)</f>
        <v>0</v>
      </c>
      <c r="AO1027" s="1">
        <f t="shared" ref="AO1027:AO1090" si="115">IF(AF1027=0,0,AG1027/AF1027)</f>
        <v>0.8</v>
      </c>
      <c r="AP1027" s="1">
        <f t="shared" ref="AP1027:AP1090" si="116">IF(AF1027=0,0,AD1027/AF1027)</f>
        <v>0.6</v>
      </c>
      <c r="AQ1027" s="1">
        <f t="shared" ref="AQ1027:AQ1090" si="117">IF(AF1027=0,0,AI1027/AF1027)</f>
        <v>0.6</v>
      </c>
    </row>
    <row r="1028" spans="1:43"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112"/>
        <v>OK</v>
      </c>
      <c r="AK1028" t="str">
        <f t="shared" ref="AK1028:AK1091" si="118">IF(AH1028&lt;=AF1028,"OK", "ERROR")</f>
        <v>OK</v>
      </c>
      <c r="AL1028" t="str">
        <f t="shared" si="113"/>
        <v>OK</v>
      </c>
      <c r="AM1028" t="str">
        <f t="shared" si="114"/>
        <v>OK</v>
      </c>
      <c r="AN1028" s="1">
        <f>IF(AF1028=0,0,AH1028/AF1028)</f>
        <v>0</v>
      </c>
      <c r="AO1028" s="1">
        <f t="shared" si="115"/>
        <v>0.75</v>
      </c>
      <c r="AP1028" s="1">
        <f t="shared" si="116"/>
        <v>0.75</v>
      </c>
      <c r="AQ1028" s="1">
        <f t="shared" si="117"/>
        <v>0.75</v>
      </c>
    </row>
    <row r="1029" spans="1:43"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112"/>
        <v>OK</v>
      </c>
      <c r="AK1029" t="str">
        <f t="shared" si="118"/>
        <v>OK</v>
      </c>
      <c r="AL1029" t="str">
        <f t="shared" si="113"/>
        <v>OK</v>
      </c>
      <c r="AM1029" t="str">
        <f t="shared" si="114"/>
        <v>OK</v>
      </c>
      <c r="AN1029" s="1">
        <f>IF(AF1029=0,0,AH1029/AF1029)</f>
        <v>0</v>
      </c>
      <c r="AO1029" s="1">
        <f t="shared" si="115"/>
        <v>0.8</v>
      </c>
      <c r="AP1029" s="1">
        <f t="shared" si="116"/>
        <v>0.4</v>
      </c>
      <c r="AQ1029" s="1">
        <f t="shared" si="117"/>
        <v>0.4</v>
      </c>
    </row>
    <row r="1030" spans="1:43"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112"/>
        <v>OK</v>
      </c>
      <c r="AK1030" t="str">
        <f t="shared" si="118"/>
        <v>OK</v>
      </c>
      <c r="AL1030" t="str">
        <f t="shared" si="113"/>
        <v>OK</v>
      </c>
      <c r="AM1030" t="str">
        <f t="shared" si="114"/>
        <v>OK</v>
      </c>
      <c r="AN1030" s="1">
        <f>IF(AF1030=0,0,AH1030/AF1030)</f>
        <v>0</v>
      </c>
      <c r="AO1030" s="1">
        <f t="shared" si="115"/>
        <v>0.5</v>
      </c>
      <c r="AP1030" s="1">
        <f t="shared" si="116"/>
        <v>1.25</v>
      </c>
      <c r="AQ1030" s="1">
        <f t="shared" si="117"/>
        <v>0.75</v>
      </c>
    </row>
    <row r="1031" spans="1:43"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112"/>
        <v>OK</v>
      </c>
      <c r="AK1031" t="str">
        <f t="shared" si="118"/>
        <v>OK</v>
      </c>
      <c r="AL1031" t="str">
        <f t="shared" si="113"/>
        <v>OK</v>
      </c>
      <c r="AM1031" t="str">
        <f t="shared" si="114"/>
        <v>OK</v>
      </c>
      <c r="AN1031" s="1">
        <f>IF(AF1031=0,0,AH1031/AF1031)</f>
        <v>0</v>
      </c>
      <c r="AO1031" s="1">
        <f t="shared" si="115"/>
        <v>0.875</v>
      </c>
      <c r="AP1031" s="1">
        <f t="shared" si="116"/>
        <v>0.25</v>
      </c>
      <c r="AQ1031" s="1">
        <f t="shared" si="117"/>
        <v>0.875</v>
      </c>
    </row>
    <row r="1032" spans="1:43"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112"/>
        <v>OK</v>
      </c>
      <c r="AK1032" t="str">
        <f t="shared" si="118"/>
        <v>OK</v>
      </c>
      <c r="AL1032" t="str">
        <f t="shared" si="113"/>
        <v>OK</v>
      </c>
      <c r="AM1032" t="str">
        <f t="shared" si="114"/>
        <v>OK</v>
      </c>
      <c r="AN1032" s="1">
        <f>IF(AF1032=0,0,AH1032/AF1032)</f>
        <v>0.69230769230769229</v>
      </c>
      <c r="AO1032" s="1">
        <f t="shared" si="115"/>
        <v>0.53846153846153844</v>
      </c>
      <c r="AP1032" s="1">
        <f t="shared" si="116"/>
        <v>0.38461538461538464</v>
      </c>
      <c r="AQ1032" s="1">
        <f t="shared" si="117"/>
        <v>0.69230769230769229</v>
      </c>
    </row>
    <row r="1033" spans="1:43"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112"/>
        <v>OK</v>
      </c>
      <c r="AK1033" t="str">
        <f t="shared" si="118"/>
        <v>OK</v>
      </c>
      <c r="AL1033" t="str">
        <f t="shared" si="113"/>
        <v>OK</v>
      </c>
      <c r="AM1033" t="str">
        <f t="shared" si="114"/>
        <v>OK</v>
      </c>
      <c r="AN1033" s="1">
        <f>IF(AF1033=0,0,AH1033/AF1033)</f>
        <v>0.5714285714285714</v>
      </c>
      <c r="AO1033" s="1">
        <f t="shared" si="115"/>
        <v>1</v>
      </c>
      <c r="AP1033" s="1">
        <f t="shared" si="116"/>
        <v>0.14285714285714285</v>
      </c>
      <c r="AQ1033" s="1">
        <f t="shared" si="117"/>
        <v>0.42857142857142855</v>
      </c>
    </row>
    <row r="1034" spans="1:43"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112"/>
        <v>OK</v>
      </c>
      <c r="AK1034" t="str">
        <f t="shared" si="118"/>
        <v>OK</v>
      </c>
      <c r="AL1034" t="str">
        <f t="shared" si="113"/>
        <v>OK</v>
      </c>
      <c r="AM1034" t="str">
        <f t="shared" si="114"/>
        <v>OK</v>
      </c>
      <c r="AN1034" s="1">
        <f>IF(AF1034=0,0,AH1034/AF1034)</f>
        <v>0</v>
      </c>
      <c r="AO1034" s="1">
        <f t="shared" si="115"/>
        <v>0</v>
      </c>
      <c r="AP1034" s="1">
        <f t="shared" si="116"/>
        <v>2</v>
      </c>
      <c r="AQ1034" s="1">
        <f t="shared" si="117"/>
        <v>0</v>
      </c>
    </row>
    <row r="1035" spans="1:43"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112"/>
        <v>OK</v>
      </c>
      <c r="AK1035" t="str">
        <f t="shared" si="118"/>
        <v>OK</v>
      </c>
      <c r="AL1035" t="str">
        <f t="shared" si="113"/>
        <v>OK</v>
      </c>
      <c r="AM1035" t="str">
        <f t="shared" si="114"/>
        <v>OK</v>
      </c>
      <c r="AN1035" s="1">
        <f>IF(AF1035=0,0,AH1035/AF1035)</f>
        <v>0.4</v>
      </c>
      <c r="AO1035" s="1">
        <f t="shared" si="115"/>
        <v>0.8</v>
      </c>
      <c r="AP1035" s="1">
        <f t="shared" si="116"/>
        <v>0.2</v>
      </c>
      <c r="AQ1035" s="1">
        <f t="shared" si="117"/>
        <v>0.7</v>
      </c>
    </row>
    <row r="1036" spans="1:43"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112"/>
        <v>OK</v>
      </c>
      <c r="AK1036" t="str">
        <f t="shared" si="118"/>
        <v>OK</v>
      </c>
      <c r="AL1036" t="str">
        <f t="shared" si="113"/>
        <v>OK</v>
      </c>
      <c r="AM1036" t="str">
        <f t="shared" si="114"/>
        <v>OK</v>
      </c>
      <c r="AN1036" s="1">
        <f>IF(AF1036=0,0,AH1036/AF1036)</f>
        <v>0</v>
      </c>
      <c r="AO1036" s="1">
        <f t="shared" si="115"/>
        <v>1</v>
      </c>
      <c r="AP1036" s="1">
        <f t="shared" si="116"/>
        <v>0.2857142857142857</v>
      </c>
      <c r="AQ1036" s="1">
        <f t="shared" si="117"/>
        <v>1</v>
      </c>
    </row>
    <row r="1037" spans="1:43"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112"/>
        <v>OK</v>
      </c>
      <c r="AK1037" t="str">
        <f t="shared" si="118"/>
        <v>OK</v>
      </c>
      <c r="AL1037" t="str">
        <f t="shared" si="113"/>
        <v>OK</v>
      </c>
      <c r="AM1037" t="str">
        <f t="shared" si="114"/>
        <v>OK</v>
      </c>
      <c r="AN1037" s="1">
        <f>IF(AF1037=0,0,AH1037/AF1037)</f>
        <v>0</v>
      </c>
      <c r="AO1037" s="1">
        <f t="shared" si="115"/>
        <v>0.66666666666666663</v>
      </c>
      <c r="AP1037" s="1">
        <f t="shared" si="116"/>
        <v>1</v>
      </c>
      <c r="AQ1037" s="1">
        <f t="shared" si="117"/>
        <v>0.66666666666666663</v>
      </c>
    </row>
    <row r="1038" spans="1:43"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112"/>
        <v>OK</v>
      </c>
      <c r="AK1038" t="str">
        <f t="shared" si="118"/>
        <v>OK</v>
      </c>
      <c r="AL1038" t="str">
        <f t="shared" si="113"/>
        <v>OK</v>
      </c>
      <c r="AM1038" t="str">
        <f t="shared" si="114"/>
        <v>OK</v>
      </c>
      <c r="AN1038" s="1">
        <f>IF(AF1038=0,0,AH1038/AF1038)</f>
        <v>1</v>
      </c>
      <c r="AO1038" s="1">
        <f t="shared" si="115"/>
        <v>1</v>
      </c>
      <c r="AP1038" s="1">
        <f t="shared" si="116"/>
        <v>1</v>
      </c>
      <c r="AQ1038" s="1">
        <f t="shared" si="117"/>
        <v>1</v>
      </c>
    </row>
    <row r="1039" spans="1:43"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112"/>
        <v>OK</v>
      </c>
      <c r="AK1039" t="str">
        <f t="shared" si="118"/>
        <v>OK</v>
      </c>
      <c r="AL1039" t="str">
        <f t="shared" si="113"/>
        <v>OK</v>
      </c>
      <c r="AM1039" t="str">
        <f t="shared" si="114"/>
        <v>OK</v>
      </c>
      <c r="AN1039" s="1">
        <f>IF(AF1039=0,0,AH1039/AF1039)</f>
        <v>0.33333333333333331</v>
      </c>
      <c r="AO1039" s="1">
        <f t="shared" si="115"/>
        <v>0.33333333333333331</v>
      </c>
      <c r="AP1039" s="1">
        <f t="shared" si="116"/>
        <v>1.3333333333333333</v>
      </c>
      <c r="AQ1039" s="1">
        <f t="shared" si="117"/>
        <v>0.66666666666666663</v>
      </c>
    </row>
    <row r="1040" spans="1:43"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112"/>
        <v>OK</v>
      </c>
      <c r="AK1040" t="str">
        <f t="shared" si="118"/>
        <v>OK</v>
      </c>
      <c r="AL1040" t="str">
        <f t="shared" si="113"/>
        <v>OK</v>
      </c>
      <c r="AM1040" t="str">
        <f t="shared" si="114"/>
        <v>OK</v>
      </c>
      <c r="AN1040" s="1">
        <f>IF(AF1040=0,0,AH1040/AF1040)</f>
        <v>1</v>
      </c>
      <c r="AO1040" s="1">
        <f t="shared" si="115"/>
        <v>1</v>
      </c>
      <c r="AP1040" s="1">
        <f t="shared" si="116"/>
        <v>1.5</v>
      </c>
      <c r="AQ1040" s="1">
        <f t="shared" si="117"/>
        <v>1</v>
      </c>
    </row>
    <row r="1041" spans="1:43"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112"/>
        <v>OK</v>
      </c>
      <c r="AK1041" t="str">
        <f t="shared" si="118"/>
        <v>OK</v>
      </c>
      <c r="AL1041" t="str">
        <f t="shared" si="113"/>
        <v>OK</v>
      </c>
      <c r="AM1041" t="str">
        <f t="shared" si="114"/>
        <v>OK</v>
      </c>
      <c r="AN1041" s="1">
        <f>IF(AF1041=0,0,AH1041/AF1041)</f>
        <v>1</v>
      </c>
      <c r="AO1041" s="1">
        <f t="shared" si="115"/>
        <v>1</v>
      </c>
      <c r="AP1041" s="1">
        <f t="shared" si="116"/>
        <v>0</v>
      </c>
      <c r="AQ1041" s="1">
        <f t="shared" si="117"/>
        <v>1</v>
      </c>
    </row>
    <row r="1042" spans="1:43"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112"/>
        <v>OK</v>
      </c>
      <c r="AK1042" t="str">
        <f t="shared" si="118"/>
        <v>OK</v>
      </c>
      <c r="AL1042" t="str">
        <f t="shared" si="113"/>
        <v>OK</v>
      </c>
      <c r="AM1042" t="str">
        <f t="shared" si="114"/>
        <v>OK</v>
      </c>
      <c r="AN1042" s="1">
        <f>IF(AF1042=0,0,AH1042/AF1042)</f>
        <v>0.44444444444444442</v>
      </c>
      <c r="AO1042" s="1">
        <f t="shared" si="115"/>
        <v>0.88888888888888884</v>
      </c>
      <c r="AP1042" s="1">
        <f t="shared" si="116"/>
        <v>0.55555555555555558</v>
      </c>
      <c r="AQ1042" s="1">
        <f t="shared" si="117"/>
        <v>0.88888888888888884</v>
      </c>
    </row>
    <row r="1043" spans="1:43"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112"/>
        <v>OK</v>
      </c>
      <c r="AK1043" t="str">
        <f t="shared" si="118"/>
        <v>OK</v>
      </c>
      <c r="AL1043" t="str">
        <f t="shared" si="113"/>
        <v>OK</v>
      </c>
      <c r="AM1043" t="str">
        <f t="shared" si="114"/>
        <v>OK</v>
      </c>
      <c r="AN1043" s="1">
        <f>IF(AF1043=0,0,AH1043/AF1043)</f>
        <v>0.2</v>
      </c>
      <c r="AO1043" s="1">
        <f t="shared" si="115"/>
        <v>0.8</v>
      </c>
      <c r="AP1043" s="1">
        <f t="shared" si="116"/>
        <v>0.8</v>
      </c>
      <c r="AQ1043" s="1">
        <f t="shared" si="117"/>
        <v>0.6</v>
      </c>
    </row>
    <row r="1044" spans="1:43"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112"/>
        <v>OK</v>
      </c>
      <c r="AK1044" t="str">
        <f t="shared" si="118"/>
        <v>OK</v>
      </c>
      <c r="AL1044" t="str">
        <f t="shared" si="113"/>
        <v>OK</v>
      </c>
      <c r="AM1044" t="str">
        <f t="shared" si="114"/>
        <v>OK</v>
      </c>
      <c r="AN1044" s="1">
        <f>IF(AF1044=0,0,AH1044/AF1044)</f>
        <v>0</v>
      </c>
      <c r="AO1044" s="1">
        <f t="shared" si="115"/>
        <v>0.4</v>
      </c>
      <c r="AP1044" s="1">
        <f t="shared" si="116"/>
        <v>1</v>
      </c>
      <c r="AQ1044" s="1">
        <f t="shared" si="117"/>
        <v>0.6</v>
      </c>
    </row>
    <row r="1045" spans="1:43"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112"/>
        <v>OK</v>
      </c>
      <c r="AK1045" t="str">
        <f t="shared" si="118"/>
        <v>OK</v>
      </c>
      <c r="AL1045" t="str">
        <f t="shared" si="113"/>
        <v>OK</v>
      </c>
      <c r="AM1045" t="str">
        <f t="shared" si="114"/>
        <v>OK</v>
      </c>
      <c r="AN1045" s="1">
        <f>IF(AF1045=0,0,AH1045/AF1045)</f>
        <v>0.88888888888888884</v>
      </c>
      <c r="AO1045" s="1">
        <f t="shared" si="115"/>
        <v>0.88888888888888884</v>
      </c>
      <c r="AP1045" s="1">
        <f t="shared" si="116"/>
        <v>0.22222222222222221</v>
      </c>
      <c r="AQ1045" s="1">
        <f t="shared" si="117"/>
        <v>0.88888888888888884</v>
      </c>
    </row>
    <row r="1046" spans="1:43"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112"/>
        <v>OK</v>
      </c>
      <c r="AK1046" t="str">
        <f t="shared" si="118"/>
        <v>OK</v>
      </c>
      <c r="AL1046" t="str">
        <f t="shared" si="113"/>
        <v>OK</v>
      </c>
      <c r="AM1046" t="str">
        <f t="shared" si="114"/>
        <v>OK</v>
      </c>
      <c r="AN1046" s="1">
        <f>IF(AF1046=0,0,AH1046/AF1046)</f>
        <v>0.33333333333333331</v>
      </c>
      <c r="AO1046" s="1">
        <f t="shared" si="115"/>
        <v>0.66666666666666663</v>
      </c>
      <c r="AP1046" s="1">
        <f t="shared" si="116"/>
        <v>0</v>
      </c>
      <c r="AQ1046" s="1">
        <f t="shared" si="117"/>
        <v>0.66666666666666663</v>
      </c>
    </row>
    <row r="1047" spans="1:43"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112"/>
        <v>OK</v>
      </c>
      <c r="AK1047" t="str">
        <f t="shared" si="118"/>
        <v>OK</v>
      </c>
      <c r="AL1047" t="str">
        <f t="shared" si="113"/>
        <v>OK</v>
      </c>
      <c r="AM1047" t="str">
        <f t="shared" si="114"/>
        <v>OK</v>
      </c>
      <c r="AN1047" s="1">
        <f>IF(AF1047=0,0,AH1047/AF1047)</f>
        <v>0.33333333333333331</v>
      </c>
      <c r="AO1047" s="1">
        <f t="shared" si="115"/>
        <v>0.33333333333333331</v>
      </c>
      <c r="AP1047" s="1">
        <f t="shared" si="116"/>
        <v>1</v>
      </c>
      <c r="AQ1047" s="1">
        <f t="shared" si="117"/>
        <v>0.66666666666666663</v>
      </c>
    </row>
    <row r="1048" spans="1:43"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112"/>
        <v>OK</v>
      </c>
      <c r="AK1048" t="str">
        <f t="shared" si="118"/>
        <v>OK</v>
      </c>
      <c r="AL1048" t="str">
        <f t="shared" si="113"/>
        <v>OK</v>
      </c>
      <c r="AM1048" t="str">
        <f t="shared" si="114"/>
        <v>OK</v>
      </c>
      <c r="AN1048" s="1">
        <f>IF(AF1048=0,0,AH1048/AF1048)</f>
        <v>0.2</v>
      </c>
      <c r="AO1048" s="1">
        <f t="shared" si="115"/>
        <v>0.4</v>
      </c>
      <c r="AP1048" s="1">
        <f t="shared" si="116"/>
        <v>0.6</v>
      </c>
      <c r="AQ1048" s="1">
        <f t="shared" si="117"/>
        <v>0.6</v>
      </c>
    </row>
    <row r="1049" spans="1:43"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112"/>
        <v>OK</v>
      </c>
      <c r="AK1049" t="str">
        <f t="shared" si="118"/>
        <v>OK</v>
      </c>
      <c r="AL1049" t="str">
        <f t="shared" si="113"/>
        <v>OK</v>
      </c>
      <c r="AM1049" t="str">
        <f t="shared" si="114"/>
        <v>OK</v>
      </c>
      <c r="AN1049" s="1">
        <f>IF(AF1049=0,0,AH1049/AF1049)</f>
        <v>0</v>
      </c>
      <c r="AO1049" s="1">
        <f t="shared" si="115"/>
        <v>0.75</v>
      </c>
      <c r="AP1049" s="1">
        <f t="shared" si="116"/>
        <v>0.5</v>
      </c>
      <c r="AQ1049" s="1">
        <f t="shared" si="117"/>
        <v>0.75</v>
      </c>
    </row>
    <row r="1050" spans="1:43"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112"/>
        <v>OK</v>
      </c>
      <c r="AK1050" t="str">
        <f t="shared" si="118"/>
        <v>OK</v>
      </c>
      <c r="AL1050" t="str">
        <f t="shared" si="113"/>
        <v>OK</v>
      </c>
      <c r="AM1050" t="str">
        <f t="shared" si="114"/>
        <v>OK</v>
      </c>
      <c r="AN1050" s="1">
        <f>IF(AF1050=0,0,AH1050/AF1050)</f>
        <v>0.23076923076923078</v>
      </c>
      <c r="AO1050" s="1">
        <f t="shared" si="115"/>
        <v>0.69230769230769229</v>
      </c>
      <c r="AP1050" s="1">
        <f t="shared" si="116"/>
        <v>0.15384615384615385</v>
      </c>
      <c r="AQ1050" s="1">
        <f t="shared" si="117"/>
        <v>0.92307692307692313</v>
      </c>
    </row>
    <row r="1051" spans="1:43"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112"/>
        <v>OK</v>
      </c>
      <c r="AK1051" t="str">
        <f t="shared" si="118"/>
        <v>OK</v>
      </c>
      <c r="AL1051" t="str">
        <f t="shared" si="113"/>
        <v>OK</v>
      </c>
      <c r="AM1051" t="str">
        <f t="shared" si="114"/>
        <v>OK</v>
      </c>
      <c r="AN1051" s="1">
        <f>IF(AF1051=0,0,AH1051/AF1051)</f>
        <v>1</v>
      </c>
      <c r="AO1051" s="1">
        <f t="shared" si="115"/>
        <v>0.5</v>
      </c>
      <c r="AP1051" s="1">
        <f t="shared" si="116"/>
        <v>1</v>
      </c>
      <c r="AQ1051" s="1">
        <f t="shared" si="117"/>
        <v>1</v>
      </c>
    </row>
    <row r="1052" spans="1:43"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112"/>
        <v>OK</v>
      </c>
      <c r="AK1052" t="str">
        <f t="shared" si="118"/>
        <v>OK</v>
      </c>
      <c r="AL1052" t="str">
        <f t="shared" si="113"/>
        <v>OK</v>
      </c>
      <c r="AM1052" t="str">
        <f t="shared" si="114"/>
        <v>OK</v>
      </c>
      <c r="AN1052" s="1">
        <f>IF(AF1052=0,0,AH1052/AF1052)</f>
        <v>0.41666666666666669</v>
      </c>
      <c r="AO1052" s="1">
        <f t="shared" si="115"/>
        <v>0.75</v>
      </c>
      <c r="AP1052" s="1">
        <f t="shared" si="116"/>
        <v>0.25</v>
      </c>
      <c r="AQ1052" s="1">
        <f t="shared" si="117"/>
        <v>0.66666666666666663</v>
      </c>
    </row>
    <row r="1053" spans="1:43"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112"/>
        <v>OK</v>
      </c>
      <c r="AK1053" t="str">
        <f t="shared" si="118"/>
        <v>OK</v>
      </c>
      <c r="AL1053" t="str">
        <f t="shared" si="113"/>
        <v>OK</v>
      </c>
      <c r="AM1053" t="str">
        <f t="shared" si="114"/>
        <v>OK</v>
      </c>
      <c r="AN1053" s="1">
        <f>IF(AF1053=0,0,AH1053/AF1053)</f>
        <v>0</v>
      </c>
      <c r="AO1053" s="1">
        <f t="shared" si="115"/>
        <v>0</v>
      </c>
      <c r="AP1053" s="1">
        <f t="shared" si="116"/>
        <v>4</v>
      </c>
      <c r="AQ1053" s="1">
        <f t="shared" si="117"/>
        <v>0</v>
      </c>
    </row>
    <row r="1054" spans="1:43"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112"/>
        <v>OK</v>
      </c>
      <c r="AK1054" t="str">
        <f t="shared" si="118"/>
        <v>OK</v>
      </c>
      <c r="AL1054" t="str">
        <f t="shared" si="113"/>
        <v>OK</v>
      </c>
      <c r="AM1054" t="str">
        <f t="shared" si="114"/>
        <v>OK</v>
      </c>
      <c r="AN1054" s="1">
        <f>IF(AF1054=0,0,AH1054/AF1054)</f>
        <v>0</v>
      </c>
      <c r="AO1054" s="1">
        <f t="shared" si="115"/>
        <v>0</v>
      </c>
      <c r="AP1054" s="1">
        <f t="shared" si="116"/>
        <v>2</v>
      </c>
      <c r="AQ1054" s="1">
        <f t="shared" si="117"/>
        <v>0</v>
      </c>
    </row>
    <row r="1055" spans="1:43"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112"/>
        <v>OK</v>
      </c>
      <c r="AK1055" t="str">
        <f t="shared" si="118"/>
        <v>OK</v>
      </c>
      <c r="AL1055" t="str">
        <f t="shared" si="113"/>
        <v>OK</v>
      </c>
      <c r="AM1055" t="str">
        <f t="shared" si="114"/>
        <v>OK</v>
      </c>
      <c r="AN1055" s="1">
        <f>IF(AF1055=0,0,AH1055/AF1055)</f>
        <v>0.16666666666666666</v>
      </c>
      <c r="AO1055" s="1">
        <f t="shared" si="115"/>
        <v>0.75</v>
      </c>
      <c r="AP1055" s="1">
        <f t="shared" si="116"/>
        <v>0.16666666666666666</v>
      </c>
      <c r="AQ1055" s="1">
        <f t="shared" si="117"/>
        <v>0.66666666666666663</v>
      </c>
    </row>
    <row r="1056" spans="1:43"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112"/>
        <v>OK</v>
      </c>
      <c r="AK1056" t="str">
        <f t="shared" si="118"/>
        <v>OK</v>
      </c>
      <c r="AL1056" t="str">
        <f t="shared" si="113"/>
        <v>OK</v>
      </c>
      <c r="AM1056" t="str">
        <f t="shared" si="114"/>
        <v>OK</v>
      </c>
      <c r="AN1056" s="1">
        <f>IF(AF1056=0,0,AH1056/AF1056)</f>
        <v>0</v>
      </c>
      <c r="AO1056" s="1">
        <f t="shared" si="115"/>
        <v>0.875</v>
      </c>
      <c r="AP1056" s="1">
        <f t="shared" si="116"/>
        <v>0.375</v>
      </c>
      <c r="AQ1056" s="1">
        <f t="shared" si="117"/>
        <v>0.875</v>
      </c>
    </row>
    <row r="1057" spans="1:43"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112"/>
        <v>OK</v>
      </c>
      <c r="AK1057" t="str">
        <f t="shared" si="118"/>
        <v>OK</v>
      </c>
      <c r="AL1057" t="str">
        <f t="shared" si="113"/>
        <v>OK</v>
      </c>
      <c r="AM1057" t="str">
        <f t="shared" si="114"/>
        <v>OK</v>
      </c>
      <c r="AN1057" s="1">
        <f>IF(AF1057=0,0,AH1057/AF1057)</f>
        <v>0.42857142857142855</v>
      </c>
      <c r="AO1057" s="1">
        <f t="shared" si="115"/>
        <v>0.5714285714285714</v>
      </c>
      <c r="AP1057" s="1">
        <f t="shared" si="116"/>
        <v>0.21428571428571427</v>
      </c>
      <c r="AQ1057" s="1">
        <f t="shared" si="117"/>
        <v>0.6428571428571429</v>
      </c>
    </row>
    <row r="1058" spans="1:43"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112"/>
        <v>OK</v>
      </c>
      <c r="AK1058" t="str">
        <f t="shared" si="118"/>
        <v>OK</v>
      </c>
      <c r="AL1058" t="str">
        <f t="shared" si="113"/>
        <v>OK</v>
      </c>
      <c r="AM1058" t="str">
        <f t="shared" si="114"/>
        <v>OK</v>
      </c>
      <c r="AN1058" s="1">
        <f>IF(AF1058=0,0,AH1058/AF1058)</f>
        <v>0.33333333333333331</v>
      </c>
      <c r="AO1058" s="1">
        <f t="shared" si="115"/>
        <v>0.66666666666666663</v>
      </c>
      <c r="AP1058" s="1">
        <f t="shared" si="116"/>
        <v>1</v>
      </c>
      <c r="AQ1058" s="1">
        <f t="shared" si="117"/>
        <v>0.66666666666666663</v>
      </c>
    </row>
    <row r="1059" spans="1:43"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112"/>
        <v>OK</v>
      </c>
      <c r="AK1059" t="str">
        <f t="shared" si="118"/>
        <v>OK</v>
      </c>
      <c r="AL1059" t="str">
        <f t="shared" si="113"/>
        <v>OK</v>
      </c>
      <c r="AM1059" t="str">
        <f t="shared" si="114"/>
        <v>OK</v>
      </c>
      <c r="AN1059" s="1">
        <f>IF(AF1059=0,0,AH1059/AF1059)</f>
        <v>0</v>
      </c>
      <c r="AO1059" s="1">
        <f t="shared" si="115"/>
        <v>0.6</v>
      </c>
      <c r="AP1059" s="1">
        <f t="shared" si="116"/>
        <v>0.8</v>
      </c>
      <c r="AQ1059" s="1">
        <f t="shared" si="117"/>
        <v>0</v>
      </c>
    </row>
    <row r="1060" spans="1:43"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112"/>
        <v>OK</v>
      </c>
      <c r="AK1060" t="str">
        <f t="shared" si="118"/>
        <v>OK</v>
      </c>
      <c r="AL1060" t="str">
        <f t="shared" si="113"/>
        <v>OK</v>
      </c>
      <c r="AM1060" t="str">
        <f t="shared" si="114"/>
        <v>OK</v>
      </c>
      <c r="AN1060" s="1">
        <f>IF(AF1060=0,0,AH1060/AF1060)</f>
        <v>0.66666666666666663</v>
      </c>
      <c r="AO1060" s="1">
        <f t="shared" si="115"/>
        <v>0.6</v>
      </c>
      <c r="AP1060" s="1">
        <f t="shared" si="116"/>
        <v>0.13333333333333333</v>
      </c>
      <c r="AQ1060" s="1">
        <f t="shared" si="117"/>
        <v>0.66666666666666663</v>
      </c>
    </row>
    <row r="1061" spans="1:43"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112"/>
        <v>OK</v>
      </c>
      <c r="AK1061" t="str">
        <f t="shared" si="118"/>
        <v>OK</v>
      </c>
      <c r="AL1061" t="str">
        <f t="shared" si="113"/>
        <v>OK</v>
      </c>
      <c r="AM1061" t="str">
        <f t="shared" si="114"/>
        <v>OK</v>
      </c>
      <c r="AN1061" s="1">
        <f>IF(AF1061=0,0,AH1061/AF1061)</f>
        <v>0</v>
      </c>
      <c r="AO1061" s="1">
        <f t="shared" si="115"/>
        <v>0</v>
      </c>
      <c r="AP1061" s="1">
        <f t="shared" si="116"/>
        <v>3</v>
      </c>
      <c r="AQ1061" s="1">
        <f t="shared" si="117"/>
        <v>0</v>
      </c>
    </row>
    <row r="1062" spans="1:43"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112"/>
        <v>OK</v>
      </c>
      <c r="AK1062" t="str">
        <f t="shared" si="118"/>
        <v>OK</v>
      </c>
      <c r="AL1062" t="str">
        <f t="shared" si="113"/>
        <v>OK</v>
      </c>
      <c r="AM1062" t="str">
        <f t="shared" si="114"/>
        <v>OK</v>
      </c>
      <c r="AN1062" s="1">
        <f>IF(AF1062=0,0,AH1062/AF1062)</f>
        <v>0</v>
      </c>
      <c r="AO1062" s="1">
        <f t="shared" si="115"/>
        <v>0</v>
      </c>
      <c r="AP1062" s="1">
        <f t="shared" si="116"/>
        <v>0</v>
      </c>
      <c r="AQ1062" s="1">
        <f t="shared" si="117"/>
        <v>0</v>
      </c>
    </row>
    <row r="1063" spans="1:43"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112"/>
        <v>OK</v>
      </c>
      <c r="AK1063" t="str">
        <f t="shared" si="118"/>
        <v>OK</v>
      </c>
      <c r="AL1063" t="str">
        <f t="shared" si="113"/>
        <v>OK</v>
      </c>
      <c r="AM1063" t="str">
        <f t="shared" si="114"/>
        <v>OK</v>
      </c>
      <c r="AN1063" s="1">
        <f>IF(AF1063=0,0,AH1063/AF1063)</f>
        <v>0</v>
      </c>
      <c r="AO1063" s="1">
        <f t="shared" si="115"/>
        <v>0</v>
      </c>
      <c r="AP1063" s="1">
        <f t="shared" si="116"/>
        <v>2</v>
      </c>
      <c r="AQ1063" s="1">
        <f t="shared" si="117"/>
        <v>0</v>
      </c>
    </row>
    <row r="1064" spans="1:43"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112"/>
        <v>OK</v>
      </c>
      <c r="AK1064" t="str">
        <f t="shared" si="118"/>
        <v>OK</v>
      </c>
      <c r="AL1064" t="str">
        <f t="shared" si="113"/>
        <v>OK</v>
      </c>
      <c r="AM1064" t="str">
        <f t="shared" si="114"/>
        <v>OK</v>
      </c>
      <c r="AN1064" s="1">
        <f>IF(AF1064=0,0,AH1064/AF1064)</f>
        <v>1</v>
      </c>
      <c r="AO1064" s="1">
        <f t="shared" si="115"/>
        <v>1</v>
      </c>
      <c r="AP1064" s="1">
        <f t="shared" si="116"/>
        <v>1</v>
      </c>
      <c r="AQ1064" s="1">
        <f t="shared" si="117"/>
        <v>1</v>
      </c>
    </row>
    <row r="1065" spans="1:43"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112"/>
        <v>OK</v>
      </c>
      <c r="AK1065" t="str">
        <f t="shared" si="118"/>
        <v>OK</v>
      </c>
      <c r="AL1065" t="str">
        <f t="shared" si="113"/>
        <v>OK</v>
      </c>
      <c r="AM1065" t="str">
        <f t="shared" si="114"/>
        <v>OK</v>
      </c>
      <c r="AN1065" s="1">
        <f>IF(AF1065=0,0,AH1065/AF1065)</f>
        <v>0</v>
      </c>
      <c r="AO1065" s="1">
        <f t="shared" si="115"/>
        <v>0.7</v>
      </c>
      <c r="AP1065" s="1">
        <f t="shared" si="116"/>
        <v>0.3</v>
      </c>
      <c r="AQ1065" s="1">
        <f t="shared" si="117"/>
        <v>0.4</v>
      </c>
    </row>
    <row r="1066" spans="1:43"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112"/>
        <v>OK</v>
      </c>
      <c r="AK1066" t="str">
        <f t="shared" si="118"/>
        <v>OK</v>
      </c>
      <c r="AL1066" t="str">
        <f t="shared" si="113"/>
        <v>OK</v>
      </c>
      <c r="AM1066" t="str">
        <f t="shared" si="114"/>
        <v>OK</v>
      </c>
      <c r="AN1066" s="1">
        <f>IF(AF1066=0,0,AH1066/AF1066)</f>
        <v>0.2</v>
      </c>
      <c r="AO1066" s="1">
        <f t="shared" si="115"/>
        <v>0.6</v>
      </c>
      <c r="AP1066" s="1">
        <f t="shared" si="116"/>
        <v>0.6</v>
      </c>
      <c r="AQ1066" s="1">
        <f t="shared" si="117"/>
        <v>0.6</v>
      </c>
    </row>
    <row r="1067" spans="1:43"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112"/>
        <v>OK</v>
      </c>
      <c r="AK1067" t="str">
        <f t="shared" si="118"/>
        <v>OK</v>
      </c>
      <c r="AL1067" t="str">
        <f t="shared" si="113"/>
        <v>OK</v>
      </c>
      <c r="AM1067" t="str">
        <f t="shared" si="114"/>
        <v>OK</v>
      </c>
      <c r="AN1067" s="1">
        <f>IF(AF1067=0,0,AH1067/AF1067)</f>
        <v>0.33333333333333331</v>
      </c>
      <c r="AO1067" s="1">
        <f t="shared" si="115"/>
        <v>0.66666666666666663</v>
      </c>
      <c r="AP1067" s="1">
        <f t="shared" si="116"/>
        <v>0.66666666666666663</v>
      </c>
      <c r="AQ1067" s="1">
        <f t="shared" si="117"/>
        <v>0.66666666666666663</v>
      </c>
    </row>
    <row r="1068" spans="1:43"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112"/>
        <v>OK</v>
      </c>
      <c r="AK1068" t="str">
        <f t="shared" si="118"/>
        <v>OK</v>
      </c>
      <c r="AL1068" t="str">
        <f t="shared" si="113"/>
        <v>OK</v>
      </c>
      <c r="AM1068" t="str">
        <f t="shared" si="114"/>
        <v>OK</v>
      </c>
      <c r="AN1068" s="1">
        <f>IF(AF1068=0,0,AH1068/AF1068)</f>
        <v>0</v>
      </c>
      <c r="AO1068" s="1">
        <f t="shared" si="115"/>
        <v>0.8</v>
      </c>
      <c r="AP1068" s="1">
        <f t="shared" si="116"/>
        <v>1</v>
      </c>
      <c r="AQ1068" s="1">
        <f t="shared" si="117"/>
        <v>0.4</v>
      </c>
    </row>
    <row r="1069" spans="1:43"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112"/>
        <v>OK</v>
      </c>
      <c r="AK1069" t="str">
        <f t="shared" si="118"/>
        <v>OK</v>
      </c>
      <c r="AL1069" t="str">
        <f t="shared" si="113"/>
        <v>OK</v>
      </c>
      <c r="AM1069" t="str">
        <f t="shared" si="114"/>
        <v>OK</v>
      </c>
      <c r="AN1069" s="1">
        <f>IF(AF1069=0,0,AH1069/AF1069)</f>
        <v>0.2</v>
      </c>
      <c r="AO1069" s="1">
        <f t="shared" si="115"/>
        <v>0.8</v>
      </c>
      <c r="AP1069" s="1">
        <f t="shared" si="116"/>
        <v>0.8</v>
      </c>
      <c r="AQ1069" s="1">
        <f t="shared" si="117"/>
        <v>0.4</v>
      </c>
    </row>
    <row r="1070" spans="1:43"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112"/>
        <v>OK</v>
      </c>
      <c r="AK1070" t="str">
        <f t="shared" si="118"/>
        <v>OK</v>
      </c>
      <c r="AL1070" t="str">
        <f t="shared" si="113"/>
        <v>OK</v>
      </c>
      <c r="AM1070" t="str">
        <f t="shared" si="114"/>
        <v>OK</v>
      </c>
      <c r="AN1070" s="1">
        <f>IF(AF1070=0,0,AH1070/AF1070)</f>
        <v>0</v>
      </c>
      <c r="AO1070" s="1">
        <f t="shared" si="115"/>
        <v>0</v>
      </c>
      <c r="AP1070" s="1">
        <f t="shared" si="116"/>
        <v>0</v>
      </c>
      <c r="AQ1070" s="1">
        <f t="shared" si="117"/>
        <v>0</v>
      </c>
    </row>
    <row r="1071" spans="1:43"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112"/>
        <v>OK</v>
      </c>
      <c r="AK1071" t="str">
        <f t="shared" si="118"/>
        <v>OK</v>
      </c>
      <c r="AL1071" t="str">
        <f t="shared" si="113"/>
        <v>OK</v>
      </c>
      <c r="AM1071" t="str">
        <f t="shared" si="114"/>
        <v>OK</v>
      </c>
      <c r="AN1071" s="1">
        <f>IF(AF1071=0,0,AH1071/AF1071)</f>
        <v>0</v>
      </c>
      <c r="AO1071" s="1">
        <f t="shared" si="115"/>
        <v>0</v>
      </c>
      <c r="AP1071" s="1">
        <f t="shared" si="116"/>
        <v>2</v>
      </c>
      <c r="AQ1071" s="1">
        <f t="shared" si="117"/>
        <v>0</v>
      </c>
    </row>
    <row r="1072" spans="1:43"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112"/>
        <v>OK</v>
      </c>
      <c r="AK1072" t="str">
        <f t="shared" si="118"/>
        <v>OK</v>
      </c>
      <c r="AL1072" t="str">
        <f t="shared" si="113"/>
        <v>OK</v>
      </c>
      <c r="AM1072" t="str">
        <f t="shared" si="114"/>
        <v>OK</v>
      </c>
      <c r="AN1072" s="1">
        <f>IF(AF1072=0,0,AH1072/AF1072)</f>
        <v>0.25</v>
      </c>
      <c r="AO1072" s="1">
        <f t="shared" si="115"/>
        <v>0.5</v>
      </c>
      <c r="AP1072" s="1">
        <f t="shared" si="116"/>
        <v>1.25</v>
      </c>
      <c r="AQ1072" s="1">
        <f t="shared" si="117"/>
        <v>0.75</v>
      </c>
    </row>
    <row r="1073" spans="1:43"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112"/>
        <v>OK</v>
      </c>
      <c r="AK1073" t="str">
        <f t="shared" si="118"/>
        <v>OK</v>
      </c>
      <c r="AL1073" t="str">
        <f t="shared" si="113"/>
        <v>OK</v>
      </c>
      <c r="AM1073" t="str">
        <f t="shared" si="114"/>
        <v>OK</v>
      </c>
      <c r="AN1073" s="1">
        <f>IF(AF1073=0,0,AH1073/AF1073)</f>
        <v>0.33333333333333331</v>
      </c>
      <c r="AO1073" s="1">
        <f t="shared" si="115"/>
        <v>0.66666666666666663</v>
      </c>
      <c r="AP1073" s="1">
        <f t="shared" si="116"/>
        <v>1</v>
      </c>
      <c r="AQ1073" s="1">
        <f t="shared" si="117"/>
        <v>0.66666666666666663</v>
      </c>
    </row>
    <row r="1074" spans="1:43"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112"/>
        <v>OK</v>
      </c>
      <c r="AK1074" t="str">
        <f t="shared" si="118"/>
        <v>OK</v>
      </c>
      <c r="AL1074" t="str">
        <f t="shared" si="113"/>
        <v>OK</v>
      </c>
      <c r="AM1074" t="str">
        <f t="shared" si="114"/>
        <v>OK</v>
      </c>
      <c r="AN1074" s="1">
        <f>IF(AF1074=0,0,AH1074/AF1074)</f>
        <v>0</v>
      </c>
      <c r="AO1074" s="1">
        <f t="shared" si="115"/>
        <v>0.66666666666666663</v>
      </c>
      <c r="AP1074" s="1">
        <f t="shared" si="116"/>
        <v>1</v>
      </c>
      <c r="AQ1074" s="1">
        <f t="shared" si="117"/>
        <v>0.66666666666666663</v>
      </c>
    </row>
    <row r="1075" spans="1:43"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112"/>
        <v>OK</v>
      </c>
      <c r="AK1075" t="str">
        <f t="shared" si="118"/>
        <v>OK</v>
      </c>
      <c r="AL1075" t="str">
        <f t="shared" si="113"/>
        <v>OK</v>
      </c>
      <c r="AM1075" t="str">
        <f t="shared" si="114"/>
        <v>OK</v>
      </c>
      <c r="AN1075" s="1">
        <f>IF(AF1075=0,0,AH1075/AF1075)</f>
        <v>0.125</v>
      </c>
      <c r="AO1075" s="1">
        <f t="shared" si="115"/>
        <v>0.75</v>
      </c>
      <c r="AP1075" s="1">
        <f t="shared" si="116"/>
        <v>0.25</v>
      </c>
      <c r="AQ1075" s="1">
        <f t="shared" si="117"/>
        <v>0.875</v>
      </c>
    </row>
    <row r="1076" spans="1:43"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112"/>
        <v>OK</v>
      </c>
      <c r="AK1076" t="str">
        <f t="shared" si="118"/>
        <v>OK</v>
      </c>
      <c r="AL1076" t="str">
        <f t="shared" si="113"/>
        <v>OK</v>
      </c>
      <c r="AM1076" t="str">
        <f t="shared" si="114"/>
        <v>OK</v>
      </c>
      <c r="AN1076" s="1">
        <f>IF(AF1076=0,0,AH1076/AF1076)</f>
        <v>0</v>
      </c>
      <c r="AO1076" s="1">
        <f t="shared" si="115"/>
        <v>0</v>
      </c>
      <c r="AP1076" s="1">
        <f t="shared" si="116"/>
        <v>0</v>
      </c>
      <c r="AQ1076" s="1">
        <f t="shared" si="117"/>
        <v>0</v>
      </c>
    </row>
    <row r="1077" spans="1:43"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112"/>
        <v>OK</v>
      </c>
      <c r="AK1077" t="str">
        <f t="shared" si="118"/>
        <v>OK</v>
      </c>
      <c r="AL1077" t="str">
        <f t="shared" si="113"/>
        <v>OK</v>
      </c>
      <c r="AM1077" t="str">
        <f t="shared" si="114"/>
        <v>OK</v>
      </c>
      <c r="AN1077" s="1">
        <f>IF(AF1077=0,0,AH1077/AF1077)</f>
        <v>0</v>
      </c>
      <c r="AO1077" s="1">
        <f t="shared" si="115"/>
        <v>0.4</v>
      </c>
      <c r="AP1077" s="1">
        <f t="shared" si="116"/>
        <v>1</v>
      </c>
      <c r="AQ1077" s="1">
        <f t="shared" si="117"/>
        <v>0</v>
      </c>
    </row>
    <row r="1078" spans="1:43"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112"/>
        <v>OK</v>
      </c>
      <c r="AK1078" t="str">
        <f t="shared" si="118"/>
        <v>OK</v>
      </c>
      <c r="AL1078" t="str">
        <f t="shared" si="113"/>
        <v>OK</v>
      </c>
      <c r="AM1078" t="str">
        <f t="shared" si="114"/>
        <v>OK</v>
      </c>
      <c r="AN1078" s="1">
        <f>IF(AF1078=0,0,AH1078/AF1078)</f>
        <v>7.1428571428571425E-2</v>
      </c>
      <c r="AO1078" s="1">
        <f t="shared" si="115"/>
        <v>0.6428571428571429</v>
      </c>
      <c r="AP1078" s="1">
        <f t="shared" si="116"/>
        <v>0.14285714285714285</v>
      </c>
      <c r="AQ1078" s="1">
        <f t="shared" si="117"/>
        <v>0.8571428571428571</v>
      </c>
    </row>
    <row r="1079" spans="1:43"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112"/>
        <v>OK</v>
      </c>
      <c r="AK1079" t="str">
        <f t="shared" si="118"/>
        <v>OK</v>
      </c>
      <c r="AL1079" t="str">
        <f t="shared" si="113"/>
        <v>OK</v>
      </c>
      <c r="AM1079" t="str">
        <f t="shared" si="114"/>
        <v>OK</v>
      </c>
      <c r="AN1079" s="1">
        <f>IF(AF1079=0,0,AH1079/AF1079)</f>
        <v>0</v>
      </c>
      <c r="AO1079" s="1">
        <f t="shared" si="115"/>
        <v>0.77777777777777779</v>
      </c>
      <c r="AP1079" s="1">
        <f t="shared" si="116"/>
        <v>0.22222222222222221</v>
      </c>
      <c r="AQ1079" s="1">
        <f t="shared" si="117"/>
        <v>0.77777777777777779</v>
      </c>
    </row>
    <row r="1080" spans="1:43"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112"/>
        <v>OK</v>
      </c>
      <c r="AK1080" t="str">
        <f t="shared" si="118"/>
        <v>OK</v>
      </c>
      <c r="AL1080" t="str">
        <f t="shared" si="113"/>
        <v>OK</v>
      </c>
      <c r="AM1080" t="str">
        <f t="shared" si="114"/>
        <v>OK</v>
      </c>
      <c r="AN1080" s="1">
        <f>IF(AF1080=0,0,AH1080/AF1080)</f>
        <v>0.7</v>
      </c>
      <c r="AO1080" s="1">
        <f t="shared" si="115"/>
        <v>0.3</v>
      </c>
      <c r="AP1080" s="1">
        <f t="shared" si="116"/>
        <v>0.05</v>
      </c>
      <c r="AQ1080" s="1">
        <f t="shared" si="117"/>
        <v>0.85</v>
      </c>
    </row>
    <row r="1081" spans="1:43"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112"/>
        <v>OK</v>
      </c>
      <c r="AK1081" t="str">
        <f t="shared" si="118"/>
        <v>OK</v>
      </c>
      <c r="AL1081" t="str">
        <f t="shared" si="113"/>
        <v>OK</v>
      </c>
      <c r="AM1081" t="str">
        <f t="shared" si="114"/>
        <v>OK</v>
      </c>
      <c r="AN1081" s="1">
        <f>IF(AF1081=0,0,AH1081/AF1081)</f>
        <v>1</v>
      </c>
      <c r="AO1081" s="1">
        <f t="shared" si="115"/>
        <v>0</v>
      </c>
      <c r="AP1081" s="1">
        <f t="shared" si="116"/>
        <v>1.5</v>
      </c>
      <c r="AQ1081" s="1">
        <f t="shared" si="117"/>
        <v>1</v>
      </c>
    </row>
    <row r="1082" spans="1:43"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112"/>
        <v>OK</v>
      </c>
      <c r="AK1082" t="str">
        <f t="shared" si="118"/>
        <v>OK</v>
      </c>
      <c r="AL1082" t="str">
        <f t="shared" si="113"/>
        <v>OK</v>
      </c>
      <c r="AM1082" t="str">
        <f t="shared" si="114"/>
        <v>OK</v>
      </c>
      <c r="AN1082" s="1">
        <f>IF(AF1082=0,0,AH1082/AF1082)</f>
        <v>0.38461538461538464</v>
      </c>
      <c r="AO1082" s="1">
        <f t="shared" si="115"/>
        <v>0.92307692307692313</v>
      </c>
      <c r="AP1082" s="1">
        <f t="shared" si="116"/>
        <v>0.15384615384615385</v>
      </c>
      <c r="AQ1082" s="1">
        <f t="shared" si="117"/>
        <v>7.6923076923076927E-2</v>
      </c>
    </row>
    <row r="1083" spans="1:43"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112"/>
        <v>OK</v>
      </c>
      <c r="AK1083" t="str">
        <f t="shared" si="118"/>
        <v>OK</v>
      </c>
      <c r="AL1083" t="str">
        <f t="shared" si="113"/>
        <v>OK</v>
      </c>
      <c r="AM1083" t="str">
        <f t="shared" si="114"/>
        <v>OK</v>
      </c>
      <c r="AN1083" s="1">
        <f>IF(AF1083=0,0,AH1083/AF1083)</f>
        <v>0.27272727272727271</v>
      </c>
      <c r="AO1083" s="1">
        <f t="shared" si="115"/>
        <v>0.72727272727272729</v>
      </c>
      <c r="AP1083" s="1">
        <f t="shared" si="116"/>
        <v>0.27272727272727271</v>
      </c>
      <c r="AQ1083" s="1">
        <f t="shared" si="117"/>
        <v>0.27272727272727271</v>
      </c>
    </row>
    <row r="1084" spans="1:43"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112"/>
        <v>OK</v>
      </c>
      <c r="AK1084" t="str">
        <f t="shared" si="118"/>
        <v>OK</v>
      </c>
      <c r="AL1084" t="str">
        <f t="shared" si="113"/>
        <v>OK</v>
      </c>
      <c r="AM1084" t="str">
        <f t="shared" si="114"/>
        <v>OK</v>
      </c>
      <c r="AN1084" s="1">
        <f>IF(AF1084=0,0,AH1084/AF1084)</f>
        <v>0.25</v>
      </c>
      <c r="AO1084" s="1">
        <f t="shared" si="115"/>
        <v>0.75</v>
      </c>
      <c r="AP1084" s="1">
        <f t="shared" si="116"/>
        <v>0.5</v>
      </c>
      <c r="AQ1084" s="1">
        <f t="shared" si="117"/>
        <v>0.5</v>
      </c>
    </row>
    <row r="1085" spans="1:43"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112"/>
        <v>OK</v>
      </c>
      <c r="AK1085" t="str">
        <f t="shared" si="118"/>
        <v>OK</v>
      </c>
      <c r="AL1085" t="str">
        <f t="shared" si="113"/>
        <v>OK</v>
      </c>
      <c r="AM1085" t="str">
        <f t="shared" si="114"/>
        <v>OK</v>
      </c>
      <c r="AN1085" s="1">
        <f>IF(AF1085=0,0,AH1085/AF1085)</f>
        <v>0.2</v>
      </c>
      <c r="AO1085" s="1">
        <f t="shared" si="115"/>
        <v>0.8</v>
      </c>
      <c r="AP1085" s="1">
        <f t="shared" si="116"/>
        <v>0.6</v>
      </c>
      <c r="AQ1085" s="1">
        <f t="shared" si="117"/>
        <v>0</v>
      </c>
    </row>
    <row r="1086" spans="1:43"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112"/>
        <v>OK</v>
      </c>
      <c r="AK1086" t="str">
        <f t="shared" si="118"/>
        <v>OK</v>
      </c>
      <c r="AL1086" t="str">
        <f t="shared" si="113"/>
        <v>OK</v>
      </c>
      <c r="AM1086" t="str">
        <f t="shared" si="114"/>
        <v>OK</v>
      </c>
      <c r="AN1086" s="1">
        <f>IF(AF1086=0,0,AH1086/AF1086)</f>
        <v>0.8</v>
      </c>
      <c r="AO1086" s="1">
        <f t="shared" si="115"/>
        <v>0.9</v>
      </c>
      <c r="AP1086" s="1">
        <f t="shared" si="116"/>
        <v>0.3</v>
      </c>
      <c r="AQ1086" s="1">
        <f t="shared" si="117"/>
        <v>0.6</v>
      </c>
    </row>
    <row r="1087" spans="1:43"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112"/>
        <v>OK</v>
      </c>
      <c r="AK1087" t="str">
        <f t="shared" si="118"/>
        <v>OK</v>
      </c>
      <c r="AL1087" t="str">
        <f t="shared" si="113"/>
        <v>OK</v>
      </c>
      <c r="AM1087" t="str">
        <f t="shared" si="114"/>
        <v>OK</v>
      </c>
      <c r="AN1087" s="1">
        <f>IF(AF1087=0,0,AH1087/AF1087)</f>
        <v>1</v>
      </c>
      <c r="AO1087" s="1">
        <f t="shared" si="115"/>
        <v>0.2857142857142857</v>
      </c>
      <c r="AP1087" s="1">
        <f t="shared" si="116"/>
        <v>0.2857142857142857</v>
      </c>
      <c r="AQ1087" s="1">
        <f t="shared" si="117"/>
        <v>1</v>
      </c>
    </row>
    <row r="1088" spans="1:43"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112"/>
        <v>OK</v>
      </c>
      <c r="AK1088" t="str">
        <f t="shared" si="118"/>
        <v>OK</v>
      </c>
      <c r="AL1088" t="str">
        <f t="shared" si="113"/>
        <v>OK</v>
      </c>
      <c r="AM1088" t="str">
        <f t="shared" si="114"/>
        <v>OK</v>
      </c>
      <c r="AN1088" s="1">
        <f>IF(AF1088=0,0,AH1088/AF1088)</f>
        <v>0.40625</v>
      </c>
      <c r="AO1088" s="1">
        <f t="shared" si="115"/>
        <v>0.1875</v>
      </c>
      <c r="AP1088" s="1">
        <f t="shared" si="116"/>
        <v>6.25E-2</v>
      </c>
      <c r="AQ1088" s="1">
        <f t="shared" si="117"/>
        <v>0.28125</v>
      </c>
    </row>
    <row r="1089" spans="1:43"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112"/>
        <v>OK</v>
      </c>
      <c r="AK1089" t="str">
        <f t="shared" si="118"/>
        <v>OK</v>
      </c>
      <c r="AL1089" t="str">
        <f t="shared" si="113"/>
        <v>OK</v>
      </c>
      <c r="AM1089" t="str">
        <f t="shared" si="114"/>
        <v>OK</v>
      </c>
      <c r="AN1089" s="1">
        <f>IF(AF1089=0,0,AH1089/AF1089)</f>
        <v>0.45454545454545453</v>
      </c>
      <c r="AO1089" s="1">
        <f t="shared" si="115"/>
        <v>0.90909090909090906</v>
      </c>
      <c r="AP1089" s="1">
        <f t="shared" si="116"/>
        <v>0.36363636363636365</v>
      </c>
      <c r="AQ1089" s="1">
        <f t="shared" si="117"/>
        <v>0.63636363636363635</v>
      </c>
    </row>
    <row r="1090" spans="1:43"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si="112"/>
        <v>OK</v>
      </c>
      <c r="AK1090" t="str">
        <f t="shared" si="118"/>
        <v>OK</v>
      </c>
      <c r="AL1090" t="str">
        <f t="shared" si="113"/>
        <v>OK</v>
      </c>
      <c r="AM1090" t="str">
        <f t="shared" si="114"/>
        <v>OK</v>
      </c>
      <c r="AN1090" s="1">
        <f>IF(AF1090=0,0,AH1090/AF1090)</f>
        <v>0</v>
      </c>
      <c r="AO1090" s="1">
        <f t="shared" si="115"/>
        <v>0</v>
      </c>
      <c r="AP1090" s="1">
        <f t="shared" si="116"/>
        <v>3</v>
      </c>
      <c r="AQ1090" s="1">
        <f t="shared" si="117"/>
        <v>0</v>
      </c>
    </row>
    <row r="1091" spans="1:43"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ref="AJ1091:AJ1154" si="119">IF(AF1091&lt;=AC1091, "OK", "ERROR")</f>
        <v>OK</v>
      </c>
      <c r="AK1091" t="str">
        <f t="shared" si="118"/>
        <v>OK</v>
      </c>
      <c r="AL1091" t="str">
        <f t="shared" ref="AL1091:AL1154" si="120">IF(AG1091&lt;=AF1091,"OK","ERROR")</f>
        <v>OK</v>
      </c>
      <c r="AM1091" t="str">
        <f t="shared" ref="AM1091:AM1154" si="121">IF(AI1091&lt;=AF1091,"OK","ERROR")</f>
        <v>OK</v>
      </c>
      <c r="AN1091" s="1">
        <f>IF(AF1091=0,0,AH1091/AF1091)</f>
        <v>0.3</v>
      </c>
      <c r="AO1091" s="1">
        <f t="shared" ref="AO1091:AO1154" si="122">IF(AF1091=0,0,AG1091/AF1091)</f>
        <v>0.8</v>
      </c>
      <c r="AP1091" s="1">
        <f t="shared" ref="AP1091:AP1154" si="123">IF(AF1091=0,0,AD1091/AF1091)</f>
        <v>0.2</v>
      </c>
      <c r="AQ1091" s="1">
        <f t="shared" ref="AQ1091:AQ1154" si="124">IF(AF1091=0,0,AI1091/AF1091)</f>
        <v>0.7</v>
      </c>
    </row>
    <row r="1092" spans="1:43"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119"/>
        <v>OK</v>
      </c>
      <c r="AK1092" t="str">
        <f t="shared" ref="AK1092:AK1155" si="125">IF(AH1092&lt;=AF1092,"OK", "ERROR")</f>
        <v>OK</v>
      </c>
      <c r="AL1092" t="str">
        <f t="shared" si="120"/>
        <v>OK</v>
      </c>
      <c r="AM1092" t="str">
        <f t="shared" si="121"/>
        <v>OK</v>
      </c>
      <c r="AN1092" s="1">
        <f>IF(AF1092=0,0,AH1092/AF1092)</f>
        <v>0</v>
      </c>
      <c r="AO1092" s="1">
        <f t="shared" si="122"/>
        <v>1</v>
      </c>
      <c r="AP1092" s="1">
        <f t="shared" si="123"/>
        <v>0.42857142857142855</v>
      </c>
      <c r="AQ1092" s="1">
        <f t="shared" si="124"/>
        <v>1</v>
      </c>
    </row>
    <row r="1093" spans="1:43"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119"/>
        <v>OK</v>
      </c>
      <c r="AK1093" t="str">
        <f t="shared" si="125"/>
        <v>OK</v>
      </c>
      <c r="AL1093" t="str">
        <f t="shared" si="120"/>
        <v>OK</v>
      </c>
      <c r="AM1093" t="str">
        <f t="shared" si="121"/>
        <v>OK</v>
      </c>
      <c r="AN1093" s="1">
        <f>IF(AF1093=0,0,AH1093/AF1093)</f>
        <v>0</v>
      </c>
      <c r="AO1093" s="1">
        <f t="shared" si="122"/>
        <v>0.6</v>
      </c>
      <c r="AP1093" s="1">
        <f t="shared" si="123"/>
        <v>0.4</v>
      </c>
      <c r="AQ1093" s="1">
        <f t="shared" si="124"/>
        <v>0.4</v>
      </c>
    </row>
    <row r="1094" spans="1:43"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119"/>
        <v>OK</v>
      </c>
      <c r="AK1094" t="str">
        <f t="shared" si="125"/>
        <v>OK</v>
      </c>
      <c r="AL1094" t="str">
        <f t="shared" si="120"/>
        <v>OK</v>
      </c>
      <c r="AM1094" t="str">
        <f t="shared" si="121"/>
        <v>OK</v>
      </c>
      <c r="AN1094" s="1">
        <f>IF(AF1094=0,0,AH1094/AF1094)</f>
        <v>0</v>
      </c>
      <c r="AO1094" s="1">
        <f t="shared" si="122"/>
        <v>0.8</v>
      </c>
      <c r="AP1094" s="1">
        <f t="shared" si="123"/>
        <v>0.6</v>
      </c>
      <c r="AQ1094" s="1">
        <f t="shared" si="124"/>
        <v>0.6</v>
      </c>
    </row>
    <row r="1095" spans="1:43"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119"/>
        <v>OK</v>
      </c>
      <c r="AK1095" t="str">
        <f t="shared" si="125"/>
        <v>OK</v>
      </c>
      <c r="AL1095" t="str">
        <f t="shared" si="120"/>
        <v>OK</v>
      </c>
      <c r="AM1095" t="str">
        <f t="shared" si="121"/>
        <v>OK</v>
      </c>
      <c r="AN1095" s="1">
        <f>IF(AF1095=0,0,AH1095/AF1095)</f>
        <v>0.65</v>
      </c>
      <c r="AO1095" s="1">
        <f t="shared" si="122"/>
        <v>0.4</v>
      </c>
      <c r="AP1095" s="1">
        <f t="shared" si="123"/>
        <v>0.15</v>
      </c>
      <c r="AQ1095" s="1">
        <f t="shared" si="124"/>
        <v>0.45</v>
      </c>
    </row>
    <row r="1096" spans="1:43"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119"/>
        <v>OK</v>
      </c>
      <c r="AK1096" t="str">
        <f t="shared" si="125"/>
        <v>OK</v>
      </c>
      <c r="AL1096" t="str">
        <f t="shared" si="120"/>
        <v>OK</v>
      </c>
      <c r="AM1096" t="str">
        <f t="shared" si="121"/>
        <v>OK</v>
      </c>
      <c r="AN1096" s="1">
        <f>IF(AF1096=0,0,AH1096/AF1096)</f>
        <v>0.875</v>
      </c>
      <c r="AO1096" s="1">
        <f t="shared" si="122"/>
        <v>0.5</v>
      </c>
      <c r="AP1096" s="1">
        <f t="shared" si="123"/>
        <v>0.625</v>
      </c>
      <c r="AQ1096" s="1">
        <f t="shared" si="124"/>
        <v>0.125</v>
      </c>
    </row>
    <row r="1097" spans="1:43"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119"/>
        <v>OK</v>
      </c>
      <c r="AK1097" t="str">
        <f t="shared" si="125"/>
        <v>OK</v>
      </c>
      <c r="AL1097" t="str">
        <f t="shared" si="120"/>
        <v>OK</v>
      </c>
      <c r="AM1097" t="str">
        <f t="shared" si="121"/>
        <v>OK</v>
      </c>
      <c r="AN1097" s="1">
        <f>IF(AF1097=0,0,AH1097/AF1097)</f>
        <v>0.33333333333333331</v>
      </c>
      <c r="AO1097" s="1">
        <f t="shared" si="122"/>
        <v>0.93333333333333335</v>
      </c>
      <c r="AP1097" s="1">
        <f t="shared" si="123"/>
        <v>0.2</v>
      </c>
      <c r="AQ1097" s="1">
        <f t="shared" si="124"/>
        <v>0.46666666666666667</v>
      </c>
    </row>
    <row r="1098" spans="1:43"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119"/>
        <v>OK</v>
      </c>
      <c r="AK1098" t="str">
        <f t="shared" si="125"/>
        <v>OK</v>
      </c>
      <c r="AL1098" t="str">
        <f t="shared" si="120"/>
        <v>OK</v>
      </c>
      <c r="AM1098" t="str">
        <f t="shared" si="121"/>
        <v>OK</v>
      </c>
      <c r="AN1098" s="1">
        <f>IF(AF1098=0,0,AH1098/AF1098)</f>
        <v>0.33333333333333331</v>
      </c>
      <c r="AO1098" s="1">
        <f t="shared" si="122"/>
        <v>0.33333333333333331</v>
      </c>
      <c r="AP1098" s="1">
        <f t="shared" si="123"/>
        <v>9.5238095238095233E-2</v>
      </c>
      <c r="AQ1098" s="1">
        <f t="shared" si="124"/>
        <v>0.33333333333333331</v>
      </c>
    </row>
    <row r="1099" spans="1:43"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119"/>
        <v>OK</v>
      </c>
      <c r="AK1099" t="str">
        <f t="shared" si="125"/>
        <v>OK</v>
      </c>
      <c r="AL1099" t="str">
        <f t="shared" si="120"/>
        <v>OK</v>
      </c>
      <c r="AM1099" t="str">
        <f t="shared" si="121"/>
        <v>OK</v>
      </c>
      <c r="AN1099" s="1">
        <f>IF(AF1099=0,0,AH1099/AF1099)</f>
        <v>0</v>
      </c>
      <c r="AO1099" s="1">
        <f t="shared" si="122"/>
        <v>1</v>
      </c>
      <c r="AP1099" s="1">
        <f t="shared" si="123"/>
        <v>3</v>
      </c>
      <c r="AQ1099" s="1">
        <f t="shared" si="124"/>
        <v>0</v>
      </c>
    </row>
    <row r="1100" spans="1:43"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119"/>
        <v>OK</v>
      </c>
      <c r="AK1100" t="str">
        <f t="shared" si="125"/>
        <v>OK</v>
      </c>
      <c r="AL1100" t="str">
        <f t="shared" si="120"/>
        <v>OK</v>
      </c>
      <c r="AM1100" t="str">
        <f t="shared" si="121"/>
        <v>OK</v>
      </c>
      <c r="AN1100" s="1">
        <f>IF(AF1100=0,0,AH1100/AF1100)</f>
        <v>1</v>
      </c>
      <c r="AO1100" s="1">
        <f t="shared" si="122"/>
        <v>1</v>
      </c>
      <c r="AP1100" s="1">
        <f t="shared" si="123"/>
        <v>1</v>
      </c>
      <c r="AQ1100" s="1">
        <f t="shared" si="124"/>
        <v>1</v>
      </c>
    </row>
    <row r="1101" spans="1:43"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119"/>
        <v>OK</v>
      </c>
      <c r="AK1101" t="str">
        <f t="shared" si="125"/>
        <v>OK</v>
      </c>
      <c r="AL1101" t="str">
        <f t="shared" si="120"/>
        <v>OK</v>
      </c>
      <c r="AM1101" t="str">
        <f t="shared" si="121"/>
        <v>OK</v>
      </c>
      <c r="AN1101" s="1">
        <f>IF(AF1101=0,0,AH1101/AF1101)</f>
        <v>0.7</v>
      </c>
      <c r="AO1101" s="1">
        <f t="shared" si="122"/>
        <v>0.8</v>
      </c>
      <c r="AP1101" s="1">
        <f t="shared" si="123"/>
        <v>0.4</v>
      </c>
      <c r="AQ1101" s="1">
        <f t="shared" si="124"/>
        <v>0.7</v>
      </c>
    </row>
    <row r="1102" spans="1:43"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119"/>
        <v>OK</v>
      </c>
      <c r="AK1102" t="str">
        <f t="shared" si="125"/>
        <v>OK</v>
      </c>
      <c r="AL1102" t="str">
        <f t="shared" si="120"/>
        <v>OK</v>
      </c>
      <c r="AM1102" t="str">
        <f t="shared" si="121"/>
        <v>OK</v>
      </c>
      <c r="AN1102" s="1">
        <f>IF(AF1102=0,0,AH1102/AF1102)</f>
        <v>0.8</v>
      </c>
      <c r="AO1102" s="1">
        <f t="shared" si="122"/>
        <v>0.6</v>
      </c>
      <c r="AP1102" s="1">
        <f t="shared" si="123"/>
        <v>1</v>
      </c>
      <c r="AQ1102" s="1">
        <f t="shared" si="124"/>
        <v>0.4</v>
      </c>
    </row>
    <row r="1103" spans="1:43"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119"/>
        <v>OK</v>
      </c>
      <c r="AK1103" t="str">
        <f t="shared" si="125"/>
        <v>OK</v>
      </c>
      <c r="AL1103" t="str">
        <f t="shared" si="120"/>
        <v>OK</v>
      </c>
      <c r="AM1103" t="str">
        <f t="shared" si="121"/>
        <v>OK</v>
      </c>
      <c r="AN1103" s="1">
        <f>IF(AF1103=0,0,AH1103/AF1103)</f>
        <v>0.2857142857142857</v>
      </c>
      <c r="AO1103" s="1">
        <f t="shared" si="122"/>
        <v>0.14285714285714285</v>
      </c>
      <c r="AP1103" s="1">
        <f t="shared" si="123"/>
        <v>0.2857142857142857</v>
      </c>
      <c r="AQ1103" s="1">
        <f t="shared" si="124"/>
        <v>0.7142857142857143</v>
      </c>
    </row>
    <row r="1104" spans="1:43"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119"/>
        <v>OK</v>
      </c>
      <c r="AK1104" t="str">
        <f t="shared" si="125"/>
        <v>OK</v>
      </c>
      <c r="AL1104" t="str">
        <f t="shared" si="120"/>
        <v>OK</v>
      </c>
      <c r="AM1104" t="str">
        <f t="shared" si="121"/>
        <v>OK</v>
      </c>
      <c r="AN1104" s="1">
        <f>IF(AF1104=0,0,AH1104/AF1104)</f>
        <v>0.33333333333333331</v>
      </c>
      <c r="AO1104" s="1">
        <f t="shared" si="122"/>
        <v>0.66666666666666663</v>
      </c>
      <c r="AP1104" s="1">
        <f t="shared" si="123"/>
        <v>1</v>
      </c>
      <c r="AQ1104" s="1">
        <f t="shared" si="124"/>
        <v>0.66666666666666663</v>
      </c>
    </row>
    <row r="1105" spans="1:43"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119"/>
        <v>OK</v>
      </c>
      <c r="AK1105" t="str">
        <f t="shared" si="125"/>
        <v>OK</v>
      </c>
      <c r="AL1105" t="str">
        <f t="shared" si="120"/>
        <v>OK</v>
      </c>
      <c r="AM1105" t="str">
        <f t="shared" si="121"/>
        <v>OK</v>
      </c>
      <c r="AN1105" s="1">
        <f>IF(AF1105=0,0,AH1105/AF1105)</f>
        <v>0.875</v>
      </c>
      <c r="AO1105" s="1">
        <f t="shared" si="122"/>
        <v>0.875</v>
      </c>
      <c r="AP1105" s="1">
        <f t="shared" si="123"/>
        <v>0.25</v>
      </c>
      <c r="AQ1105" s="1">
        <f t="shared" si="124"/>
        <v>0.875</v>
      </c>
    </row>
    <row r="1106" spans="1:43"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119"/>
        <v>OK</v>
      </c>
      <c r="AK1106" t="str">
        <f t="shared" si="125"/>
        <v>OK</v>
      </c>
      <c r="AL1106" t="str">
        <f t="shared" si="120"/>
        <v>OK</v>
      </c>
      <c r="AM1106" t="str">
        <f t="shared" si="121"/>
        <v>OK</v>
      </c>
      <c r="AN1106" s="1">
        <f>IF(AF1106=0,0,AH1106/AF1106)</f>
        <v>0</v>
      </c>
      <c r="AO1106" s="1">
        <f t="shared" si="122"/>
        <v>0</v>
      </c>
      <c r="AP1106" s="1">
        <f t="shared" si="123"/>
        <v>2</v>
      </c>
      <c r="AQ1106" s="1">
        <f t="shared" si="124"/>
        <v>0</v>
      </c>
    </row>
    <row r="1107" spans="1:43"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119"/>
        <v>OK</v>
      </c>
      <c r="AK1107" t="str">
        <f t="shared" si="125"/>
        <v>OK</v>
      </c>
      <c r="AL1107" t="str">
        <f t="shared" si="120"/>
        <v>OK</v>
      </c>
      <c r="AM1107" t="str">
        <f t="shared" si="121"/>
        <v>OK</v>
      </c>
      <c r="AN1107" s="1">
        <f>IF(AF1107=0,0,AH1107/AF1107)</f>
        <v>1</v>
      </c>
      <c r="AO1107" s="1">
        <f t="shared" si="122"/>
        <v>1</v>
      </c>
      <c r="AP1107" s="1">
        <f t="shared" si="123"/>
        <v>3</v>
      </c>
      <c r="AQ1107" s="1">
        <f t="shared" si="124"/>
        <v>1</v>
      </c>
    </row>
    <row r="1108" spans="1:43"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119"/>
        <v>OK</v>
      </c>
      <c r="AK1108" t="str">
        <f t="shared" si="125"/>
        <v>OK</v>
      </c>
      <c r="AL1108" t="str">
        <f t="shared" si="120"/>
        <v>OK</v>
      </c>
      <c r="AM1108" t="str">
        <f t="shared" si="121"/>
        <v>OK</v>
      </c>
      <c r="AN1108" s="1">
        <f>IF(AF1108=0,0,AH1108/AF1108)</f>
        <v>0.6</v>
      </c>
      <c r="AO1108" s="1">
        <f t="shared" si="122"/>
        <v>0.8</v>
      </c>
      <c r="AP1108" s="1">
        <f t="shared" si="123"/>
        <v>0.4</v>
      </c>
      <c r="AQ1108" s="1">
        <f t="shared" si="124"/>
        <v>0.7</v>
      </c>
    </row>
    <row r="1109" spans="1:43"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119"/>
        <v>OK</v>
      </c>
      <c r="AK1109" t="str">
        <f t="shared" si="125"/>
        <v>OK</v>
      </c>
      <c r="AL1109" t="str">
        <f t="shared" si="120"/>
        <v>OK</v>
      </c>
      <c r="AM1109" t="str">
        <f t="shared" si="121"/>
        <v>OK</v>
      </c>
      <c r="AN1109" s="1">
        <f>IF(AF1109=0,0,AH1109/AF1109)</f>
        <v>0.16666666666666666</v>
      </c>
      <c r="AO1109" s="1">
        <f t="shared" si="122"/>
        <v>0.5</v>
      </c>
      <c r="AP1109" s="1">
        <f t="shared" si="123"/>
        <v>0.33333333333333331</v>
      </c>
      <c r="AQ1109" s="1">
        <f t="shared" si="124"/>
        <v>0.33333333333333331</v>
      </c>
    </row>
    <row r="1110" spans="1:43"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119"/>
        <v>OK</v>
      </c>
      <c r="AK1110" t="str">
        <f t="shared" si="125"/>
        <v>OK</v>
      </c>
      <c r="AL1110" t="str">
        <f t="shared" si="120"/>
        <v>OK</v>
      </c>
      <c r="AM1110" t="str">
        <f t="shared" si="121"/>
        <v>OK</v>
      </c>
      <c r="AN1110" s="1">
        <f>IF(AF1110=0,0,AH1110/AF1110)</f>
        <v>0.33333333333333331</v>
      </c>
      <c r="AO1110" s="1">
        <f t="shared" si="122"/>
        <v>0</v>
      </c>
      <c r="AP1110" s="1">
        <f t="shared" si="123"/>
        <v>1</v>
      </c>
      <c r="AQ1110" s="1">
        <f t="shared" si="124"/>
        <v>0.66666666666666663</v>
      </c>
    </row>
    <row r="1111" spans="1:43"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119"/>
        <v>OK</v>
      </c>
      <c r="AK1111" t="str">
        <f t="shared" si="125"/>
        <v>OK</v>
      </c>
      <c r="AL1111" t="str">
        <f t="shared" si="120"/>
        <v>OK</v>
      </c>
      <c r="AM1111" t="str">
        <f t="shared" si="121"/>
        <v>OK</v>
      </c>
      <c r="AN1111" s="1">
        <f>IF(AF1111=0,0,AH1111/AF1111)</f>
        <v>0.25</v>
      </c>
      <c r="AO1111" s="1">
        <f t="shared" si="122"/>
        <v>0.5</v>
      </c>
      <c r="AP1111" s="1">
        <f t="shared" si="123"/>
        <v>0.75</v>
      </c>
      <c r="AQ1111" s="1">
        <f t="shared" si="124"/>
        <v>0.75</v>
      </c>
    </row>
    <row r="1112" spans="1:43"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119"/>
        <v>OK</v>
      </c>
      <c r="AK1112" t="str">
        <f t="shared" si="125"/>
        <v>OK</v>
      </c>
      <c r="AL1112" t="str">
        <f t="shared" si="120"/>
        <v>OK</v>
      </c>
      <c r="AM1112" t="str">
        <f t="shared" si="121"/>
        <v>OK</v>
      </c>
      <c r="AN1112" s="1">
        <f>IF(AF1112=0,0,AH1112/AF1112)</f>
        <v>0</v>
      </c>
      <c r="AO1112" s="1">
        <f t="shared" si="122"/>
        <v>0</v>
      </c>
      <c r="AP1112" s="1">
        <f t="shared" si="123"/>
        <v>2</v>
      </c>
      <c r="AQ1112" s="1">
        <f t="shared" si="124"/>
        <v>0</v>
      </c>
    </row>
    <row r="1113" spans="1:43"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119"/>
        <v>OK</v>
      </c>
      <c r="AK1113" t="str">
        <f t="shared" si="125"/>
        <v>OK</v>
      </c>
      <c r="AL1113" t="str">
        <f t="shared" si="120"/>
        <v>OK</v>
      </c>
      <c r="AM1113" t="str">
        <f t="shared" si="121"/>
        <v>OK</v>
      </c>
      <c r="AN1113" s="1">
        <f>IF(AF1113=0,0,AH1113/AF1113)</f>
        <v>3.0303030303030304E-2</v>
      </c>
      <c r="AO1113" s="1">
        <f t="shared" si="122"/>
        <v>0.21212121212121213</v>
      </c>
      <c r="AP1113" s="1">
        <f t="shared" si="123"/>
        <v>0.12121212121212122</v>
      </c>
      <c r="AQ1113" s="1">
        <f t="shared" si="124"/>
        <v>0.27272727272727271</v>
      </c>
    </row>
    <row r="1114" spans="1:43"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119"/>
        <v>OK</v>
      </c>
      <c r="AK1114" t="str">
        <f t="shared" si="125"/>
        <v>OK</v>
      </c>
      <c r="AL1114" t="str">
        <f t="shared" si="120"/>
        <v>OK</v>
      </c>
      <c r="AM1114" t="str">
        <f t="shared" si="121"/>
        <v>OK</v>
      </c>
      <c r="AN1114" s="1">
        <f>IF(AF1114=0,0,AH1114/AF1114)</f>
        <v>0.2</v>
      </c>
      <c r="AO1114" s="1">
        <f t="shared" si="122"/>
        <v>0.4</v>
      </c>
      <c r="AP1114" s="1">
        <f t="shared" si="123"/>
        <v>0.4</v>
      </c>
      <c r="AQ1114" s="1">
        <f t="shared" si="124"/>
        <v>0.8</v>
      </c>
    </row>
    <row r="1115" spans="1:43"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119"/>
        <v>OK</v>
      </c>
      <c r="AK1115" t="str">
        <f t="shared" si="125"/>
        <v>OK</v>
      </c>
      <c r="AL1115" t="str">
        <f t="shared" si="120"/>
        <v>OK</v>
      </c>
      <c r="AM1115" t="str">
        <f t="shared" si="121"/>
        <v>OK</v>
      </c>
      <c r="AN1115" s="1">
        <f>IF(AF1115=0,0,AH1115/AF1115)</f>
        <v>0.16666666666666666</v>
      </c>
      <c r="AO1115" s="1">
        <f t="shared" si="122"/>
        <v>0.83333333333333337</v>
      </c>
      <c r="AP1115" s="1">
        <f t="shared" si="123"/>
        <v>0.5</v>
      </c>
      <c r="AQ1115" s="1">
        <f t="shared" si="124"/>
        <v>0.33333333333333331</v>
      </c>
    </row>
    <row r="1116" spans="1:43"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119"/>
        <v>OK</v>
      </c>
      <c r="AK1116" t="str">
        <f t="shared" si="125"/>
        <v>OK</v>
      </c>
      <c r="AL1116" t="str">
        <f t="shared" si="120"/>
        <v>OK</v>
      </c>
      <c r="AM1116" t="str">
        <f t="shared" si="121"/>
        <v>OK</v>
      </c>
      <c r="AN1116" s="1">
        <f>IF(AF1116=0,0,AH1116/AF1116)</f>
        <v>0.875</v>
      </c>
      <c r="AO1116" s="1">
        <f t="shared" si="122"/>
        <v>0.25</v>
      </c>
      <c r="AP1116" s="1">
        <f t="shared" si="123"/>
        <v>0.375</v>
      </c>
      <c r="AQ1116" s="1">
        <f t="shared" si="124"/>
        <v>0.75</v>
      </c>
    </row>
    <row r="1117" spans="1:43"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119"/>
        <v>OK</v>
      </c>
      <c r="AK1117" t="str">
        <f t="shared" si="125"/>
        <v>OK</v>
      </c>
      <c r="AL1117" t="str">
        <f t="shared" si="120"/>
        <v>OK</v>
      </c>
      <c r="AM1117" t="str">
        <f t="shared" si="121"/>
        <v>OK</v>
      </c>
      <c r="AN1117" s="1">
        <f>IF(AF1117=0,0,AH1117/AF1117)</f>
        <v>0</v>
      </c>
      <c r="AO1117" s="1">
        <f t="shared" si="122"/>
        <v>0</v>
      </c>
      <c r="AP1117" s="1">
        <f t="shared" si="123"/>
        <v>4</v>
      </c>
      <c r="AQ1117" s="1">
        <f t="shared" si="124"/>
        <v>0</v>
      </c>
    </row>
    <row r="1118" spans="1:43"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119"/>
        <v>OK</v>
      </c>
      <c r="AK1118" t="str">
        <f t="shared" si="125"/>
        <v>OK</v>
      </c>
      <c r="AL1118" t="str">
        <f t="shared" si="120"/>
        <v>OK</v>
      </c>
      <c r="AM1118" t="str">
        <f t="shared" si="121"/>
        <v>OK</v>
      </c>
      <c r="AN1118" s="1">
        <f>IF(AF1118=0,0,AH1118/AF1118)</f>
        <v>5.5555555555555552E-2</v>
      </c>
      <c r="AO1118" s="1">
        <f t="shared" si="122"/>
        <v>0.16666666666666666</v>
      </c>
      <c r="AP1118" s="1">
        <f t="shared" si="123"/>
        <v>8.3333333333333329E-2</v>
      </c>
      <c r="AQ1118" s="1">
        <f t="shared" si="124"/>
        <v>0.3611111111111111</v>
      </c>
    </row>
    <row r="1119" spans="1:43"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119"/>
        <v>OK</v>
      </c>
      <c r="AK1119" t="str">
        <f t="shared" si="125"/>
        <v>OK</v>
      </c>
      <c r="AL1119" t="str">
        <f t="shared" si="120"/>
        <v>OK</v>
      </c>
      <c r="AM1119" t="str">
        <f t="shared" si="121"/>
        <v>OK</v>
      </c>
      <c r="AN1119" s="1">
        <f>IF(AF1119=0,0,AH1119/AF1119)</f>
        <v>1</v>
      </c>
      <c r="AO1119" s="1">
        <f t="shared" si="122"/>
        <v>1</v>
      </c>
      <c r="AP1119" s="1">
        <f t="shared" si="123"/>
        <v>1.5</v>
      </c>
      <c r="AQ1119" s="1">
        <f t="shared" si="124"/>
        <v>0.5</v>
      </c>
    </row>
    <row r="1120" spans="1:43"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119"/>
        <v>OK</v>
      </c>
      <c r="AK1120" t="str">
        <f t="shared" si="125"/>
        <v>OK</v>
      </c>
      <c r="AL1120" t="str">
        <f t="shared" si="120"/>
        <v>OK</v>
      </c>
      <c r="AM1120" t="str">
        <f t="shared" si="121"/>
        <v>OK</v>
      </c>
      <c r="AN1120" s="1">
        <f>IF(AF1120=0,0,AH1120/AF1120)</f>
        <v>0</v>
      </c>
      <c r="AO1120" s="1">
        <f t="shared" si="122"/>
        <v>0</v>
      </c>
      <c r="AP1120" s="1">
        <f t="shared" si="123"/>
        <v>5</v>
      </c>
      <c r="AQ1120" s="1">
        <f t="shared" si="124"/>
        <v>0</v>
      </c>
    </row>
    <row r="1121" spans="1:43"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119"/>
        <v>OK</v>
      </c>
      <c r="AK1121" t="str">
        <f t="shared" si="125"/>
        <v>OK</v>
      </c>
      <c r="AL1121" t="str">
        <f t="shared" si="120"/>
        <v>OK</v>
      </c>
      <c r="AM1121" t="str">
        <f t="shared" si="121"/>
        <v>OK</v>
      </c>
      <c r="AN1121" s="1">
        <f>IF(AF1121=0,0,AH1121/AF1121)</f>
        <v>0.77777777777777779</v>
      </c>
      <c r="AO1121" s="1">
        <f t="shared" si="122"/>
        <v>0.88888888888888884</v>
      </c>
      <c r="AP1121" s="1">
        <f t="shared" si="123"/>
        <v>0.33333333333333331</v>
      </c>
      <c r="AQ1121" s="1">
        <f t="shared" si="124"/>
        <v>0.77777777777777779</v>
      </c>
    </row>
    <row r="1122" spans="1:43"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119"/>
        <v>OK</v>
      </c>
      <c r="AK1122" t="str">
        <f t="shared" si="125"/>
        <v>OK</v>
      </c>
      <c r="AL1122" t="str">
        <f t="shared" si="120"/>
        <v>OK</v>
      </c>
      <c r="AM1122" t="str">
        <f t="shared" si="121"/>
        <v>OK</v>
      </c>
      <c r="AN1122" s="1">
        <f>IF(AF1122=0,0,AH1122/AF1122)</f>
        <v>0.33333333333333331</v>
      </c>
      <c r="AO1122" s="1">
        <f t="shared" si="122"/>
        <v>0.66666666666666663</v>
      </c>
      <c r="AP1122" s="1">
        <f t="shared" si="123"/>
        <v>1.6666666666666667</v>
      </c>
      <c r="AQ1122" s="1">
        <f t="shared" si="124"/>
        <v>0.66666666666666663</v>
      </c>
    </row>
    <row r="1123" spans="1:43"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119"/>
        <v>OK</v>
      </c>
      <c r="AK1123" t="str">
        <f t="shared" si="125"/>
        <v>OK</v>
      </c>
      <c r="AL1123" t="str">
        <f t="shared" si="120"/>
        <v>OK</v>
      </c>
      <c r="AM1123" t="str">
        <f t="shared" si="121"/>
        <v>OK</v>
      </c>
      <c r="AN1123" s="1">
        <f>IF(AF1123=0,0,AH1123/AF1123)</f>
        <v>0</v>
      </c>
      <c r="AO1123" s="1">
        <f t="shared" si="122"/>
        <v>0</v>
      </c>
      <c r="AP1123" s="1">
        <f t="shared" si="123"/>
        <v>5</v>
      </c>
      <c r="AQ1123" s="1">
        <f t="shared" si="124"/>
        <v>0</v>
      </c>
    </row>
    <row r="1124" spans="1:43"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119"/>
        <v>OK</v>
      </c>
      <c r="AK1124" t="str">
        <f t="shared" si="125"/>
        <v>OK</v>
      </c>
      <c r="AL1124" t="str">
        <f t="shared" si="120"/>
        <v>OK</v>
      </c>
      <c r="AM1124" t="str">
        <f t="shared" si="121"/>
        <v>OK</v>
      </c>
      <c r="AN1124" s="1">
        <f>IF(AF1124=0,0,AH1124/AF1124)</f>
        <v>0.1</v>
      </c>
      <c r="AO1124" s="1">
        <f t="shared" si="122"/>
        <v>0.9</v>
      </c>
      <c r="AP1124" s="1">
        <f t="shared" si="123"/>
        <v>0.3</v>
      </c>
      <c r="AQ1124" s="1">
        <f t="shared" si="124"/>
        <v>0.5</v>
      </c>
    </row>
    <row r="1125" spans="1:43"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119"/>
        <v>OK</v>
      </c>
      <c r="AK1125" t="str">
        <f t="shared" si="125"/>
        <v>OK</v>
      </c>
      <c r="AL1125" t="str">
        <f t="shared" si="120"/>
        <v>OK</v>
      </c>
      <c r="AM1125" t="str">
        <f t="shared" si="121"/>
        <v>OK</v>
      </c>
      <c r="AN1125" s="1">
        <f>IF(AF1125=0,0,AH1125/AF1125)</f>
        <v>0</v>
      </c>
      <c r="AO1125" s="1">
        <f t="shared" si="122"/>
        <v>0.4</v>
      </c>
      <c r="AP1125" s="1">
        <f t="shared" si="123"/>
        <v>0.8</v>
      </c>
      <c r="AQ1125" s="1">
        <f t="shared" si="124"/>
        <v>0.8</v>
      </c>
    </row>
    <row r="1126" spans="1:43"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119"/>
        <v>OK</v>
      </c>
      <c r="AK1126" t="str">
        <f t="shared" si="125"/>
        <v>OK</v>
      </c>
      <c r="AL1126" t="str">
        <f t="shared" si="120"/>
        <v>OK</v>
      </c>
      <c r="AM1126" t="str">
        <f t="shared" si="121"/>
        <v>OK</v>
      </c>
      <c r="AN1126" s="1">
        <f>IF(AF1126=0,0,AH1126/AF1126)</f>
        <v>1</v>
      </c>
      <c r="AO1126" s="1">
        <f t="shared" si="122"/>
        <v>0.8571428571428571</v>
      </c>
      <c r="AP1126" s="1">
        <f t="shared" si="123"/>
        <v>0.42857142857142855</v>
      </c>
      <c r="AQ1126" s="1">
        <f t="shared" si="124"/>
        <v>0.8571428571428571</v>
      </c>
    </row>
    <row r="1127" spans="1:43"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119"/>
        <v>OK</v>
      </c>
      <c r="AK1127" t="str">
        <f t="shared" si="125"/>
        <v>OK</v>
      </c>
      <c r="AL1127" t="str">
        <f t="shared" si="120"/>
        <v>OK</v>
      </c>
      <c r="AM1127" t="str">
        <f t="shared" si="121"/>
        <v>OK</v>
      </c>
      <c r="AN1127" s="1">
        <f>IF(AF1127=0,0,AH1127/AF1127)</f>
        <v>0.16666666666666666</v>
      </c>
      <c r="AO1127" s="1">
        <f t="shared" si="122"/>
        <v>0.66666666666666663</v>
      </c>
      <c r="AP1127" s="1">
        <f t="shared" si="123"/>
        <v>0</v>
      </c>
      <c r="AQ1127" s="1">
        <f t="shared" si="124"/>
        <v>0.5</v>
      </c>
    </row>
    <row r="1128" spans="1:43"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119"/>
        <v>OK</v>
      </c>
      <c r="AK1128" t="str">
        <f t="shared" si="125"/>
        <v>OK</v>
      </c>
      <c r="AL1128" t="str">
        <f t="shared" si="120"/>
        <v>OK</v>
      </c>
      <c r="AM1128" t="str">
        <f t="shared" si="121"/>
        <v>OK</v>
      </c>
      <c r="AN1128" s="1">
        <f>IF(AF1128=0,0,AH1128/AF1128)</f>
        <v>0</v>
      </c>
      <c r="AO1128" s="1">
        <f t="shared" si="122"/>
        <v>0</v>
      </c>
      <c r="AP1128" s="1">
        <f t="shared" si="123"/>
        <v>2</v>
      </c>
      <c r="AQ1128" s="1">
        <f t="shared" si="124"/>
        <v>0</v>
      </c>
    </row>
    <row r="1129" spans="1:43"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119"/>
        <v>OK</v>
      </c>
      <c r="AK1129" t="str">
        <f t="shared" si="125"/>
        <v>OK</v>
      </c>
      <c r="AL1129" t="str">
        <f t="shared" si="120"/>
        <v>OK</v>
      </c>
      <c r="AM1129" t="str">
        <f t="shared" si="121"/>
        <v>OK</v>
      </c>
      <c r="AN1129" s="1">
        <f>IF(AF1129=0,0,AH1129/AF1129)</f>
        <v>1</v>
      </c>
      <c r="AO1129" s="1">
        <f t="shared" si="122"/>
        <v>1</v>
      </c>
      <c r="AP1129" s="1">
        <f t="shared" si="123"/>
        <v>1</v>
      </c>
      <c r="AQ1129" s="1">
        <f t="shared" si="124"/>
        <v>1</v>
      </c>
    </row>
    <row r="1130" spans="1:43"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119"/>
        <v>OK</v>
      </c>
      <c r="AK1130" t="str">
        <f t="shared" si="125"/>
        <v>OK</v>
      </c>
      <c r="AL1130" t="str">
        <f t="shared" si="120"/>
        <v>OK</v>
      </c>
      <c r="AM1130" t="str">
        <f t="shared" si="121"/>
        <v>OK</v>
      </c>
      <c r="AN1130" s="1">
        <f>IF(AF1130=0,0,AH1130/AF1130)</f>
        <v>0</v>
      </c>
      <c r="AO1130" s="1">
        <f t="shared" si="122"/>
        <v>0.66666666666666663</v>
      </c>
      <c r="AP1130" s="1">
        <f t="shared" si="123"/>
        <v>1</v>
      </c>
      <c r="AQ1130" s="1">
        <f t="shared" si="124"/>
        <v>0.66666666666666663</v>
      </c>
    </row>
    <row r="1131" spans="1:43"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119"/>
        <v>OK</v>
      </c>
      <c r="AK1131" t="str">
        <f t="shared" si="125"/>
        <v>OK</v>
      </c>
      <c r="AL1131" t="str">
        <f t="shared" si="120"/>
        <v>OK</v>
      </c>
      <c r="AM1131" t="str">
        <f t="shared" si="121"/>
        <v>OK</v>
      </c>
      <c r="AN1131" s="1">
        <f>IF(AF1131=0,0,AH1131/AF1131)</f>
        <v>0</v>
      </c>
      <c r="AO1131" s="1">
        <f t="shared" si="122"/>
        <v>0</v>
      </c>
      <c r="AP1131" s="1">
        <f t="shared" si="123"/>
        <v>2</v>
      </c>
      <c r="AQ1131" s="1">
        <f t="shared" si="124"/>
        <v>1</v>
      </c>
    </row>
    <row r="1132" spans="1:43"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119"/>
        <v>OK</v>
      </c>
      <c r="AK1132" t="str">
        <f t="shared" si="125"/>
        <v>OK</v>
      </c>
      <c r="AL1132" t="str">
        <f t="shared" si="120"/>
        <v>OK</v>
      </c>
      <c r="AM1132" t="str">
        <f t="shared" si="121"/>
        <v>OK</v>
      </c>
      <c r="AN1132" s="1">
        <f>IF(AF1132=0,0,AH1132/AF1132)</f>
        <v>0.6</v>
      </c>
      <c r="AO1132" s="1">
        <f t="shared" si="122"/>
        <v>0.9</v>
      </c>
      <c r="AP1132" s="1">
        <f t="shared" si="123"/>
        <v>0.3</v>
      </c>
      <c r="AQ1132" s="1">
        <f t="shared" si="124"/>
        <v>0.8</v>
      </c>
    </row>
    <row r="1133" spans="1:43"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119"/>
        <v>OK</v>
      </c>
      <c r="AK1133" t="str">
        <f t="shared" si="125"/>
        <v>OK</v>
      </c>
      <c r="AL1133" t="str">
        <f t="shared" si="120"/>
        <v>OK</v>
      </c>
      <c r="AM1133" t="str">
        <f t="shared" si="121"/>
        <v>OK</v>
      </c>
      <c r="AN1133" s="1">
        <f>IF(AF1133=0,0,AH1133/AF1133)</f>
        <v>0.875</v>
      </c>
      <c r="AO1133" s="1">
        <f t="shared" si="122"/>
        <v>0.25</v>
      </c>
      <c r="AP1133" s="1">
        <f t="shared" si="123"/>
        <v>0.375</v>
      </c>
      <c r="AQ1133" s="1">
        <f t="shared" si="124"/>
        <v>0.875</v>
      </c>
    </row>
    <row r="1134" spans="1:43"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119"/>
        <v>OK</v>
      </c>
      <c r="AK1134" t="str">
        <f t="shared" si="125"/>
        <v>OK</v>
      </c>
      <c r="AL1134" t="str">
        <f t="shared" si="120"/>
        <v>OK</v>
      </c>
      <c r="AM1134" t="str">
        <f t="shared" si="121"/>
        <v>OK</v>
      </c>
      <c r="AN1134" s="1">
        <f>IF(AF1134=0,0,AH1134/AF1134)</f>
        <v>0.2</v>
      </c>
      <c r="AO1134" s="1">
        <f t="shared" si="122"/>
        <v>0.8</v>
      </c>
      <c r="AP1134" s="1">
        <f t="shared" si="123"/>
        <v>0.4</v>
      </c>
      <c r="AQ1134" s="1">
        <f t="shared" si="124"/>
        <v>0.4</v>
      </c>
    </row>
    <row r="1135" spans="1:43"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119"/>
        <v>OK</v>
      </c>
      <c r="AK1135" t="str">
        <f t="shared" si="125"/>
        <v>OK</v>
      </c>
      <c r="AL1135" t="str">
        <f t="shared" si="120"/>
        <v>OK</v>
      </c>
      <c r="AM1135" t="str">
        <f t="shared" si="121"/>
        <v>OK</v>
      </c>
      <c r="AN1135" s="1">
        <f>IF(AF1135=0,0,AH1135/AF1135)</f>
        <v>0</v>
      </c>
      <c r="AO1135" s="1">
        <f t="shared" si="122"/>
        <v>0.66666666666666663</v>
      </c>
      <c r="AP1135" s="1">
        <f t="shared" si="123"/>
        <v>0</v>
      </c>
      <c r="AQ1135" s="1">
        <f t="shared" si="124"/>
        <v>0.33333333333333331</v>
      </c>
    </row>
    <row r="1136" spans="1:43"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119"/>
        <v>OK</v>
      </c>
      <c r="AK1136" t="str">
        <f t="shared" si="125"/>
        <v>OK</v>
      </c>
      <c r="AL1136" t="str">
        <f t="shared" si="120"/>
        <v>OK</v>
      </c>
      <c r="AM1136" t="str">
        <f t="shared" si="121"/>
        <v>OK</v>
      </c>
      <c r="AN1136" s="1">
        <f>IF(AF1136=0,0,AH1136/AF1136)</f>
        <v>0</v>
      </c>
      <c r="AO1136" s="1">
        <f t="shared" si="122"/>
        <v>0</v>
      </c>
      <c r="AP1136" s="1">
        <f t="shared" si="123"/>
        <v>5</v>
      </c>
      <c r="AQ1136" s="1">
        <f t="shared" si="124"/>
        <v>1</v>
      </c>
    </row>
    <row r="1137" spans="1:43"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119"/>
        <v>OK</v>
      </c>
      <c r="AK1137" t="str">
        <f t="shared" si="125"/>
        <v>OK</v>
      </c>
      <c r="AL1137" t="str">
        <f t="shared" si="120"/>
        <v>OK</v>
      </c>
      <c r="AM1137" t="str">
        <f t="shared" si="121"/>
        <v>OK</v>
      </c>
      <c r="AN1137" s="1">
        <f>IF(AF1137=0,0,AH1137/AF1137)</f>
        <v>0</v>
      </c>
      <c r="AO1137" s="1">
        <f t="shared" si="122"/>
        <v>0</v>
      </c>
      <c r="AP1137" s="1">
        <f t="shared" si="123"/>
        <v>0.19230769230769232</v>
      </c>
      <c r="AQ1137" s="1">
        <f t="shared" si="124"/>
        <v>0.46153846153846156</v>
      </c>
    </row>
    <row r="1138" spans="1:43"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119"/>
        <v>OK</v>
      </c>
      <c r="AK1138" t="str">
        <f t="shared" si="125"/>
        <v>OK</v>
      </c>
      <c r="AL1138" t="str">
        <f t="shared" si="120"/>
        <v>OK</v>
      </c>
      <c r="AM1138" t="str">
        <f t="shared" si="121"/>
        <v>OK</v>
      </c>
      <c r="AN1138" s="1">
        <f>IF(AF1138=0,0,AH1138/AF1138)</f>
        <v>0</v>
      </c>
      <c r="AO1138" s="1">
        <f t="shared" si="122"/>
        <v>1</v>
      </c>
      <c r="AP1138" s="1">
        <f t="shared" si="123"/>
        <v>3</v>
      </c>
      <c r="AQ1138" s="1">
        <f t="shared" si="124"/>
        <v>0</v>
      </c>
    </row>
    <row r="1139" spans="1:43"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119"/>
        <v>OK</v>
      </c>
      <c r="AK1139" t="str">
        <f t="shared" si="125"/>
        <v>OK</v>
      </c>
      <c r="AL1139" t="str">
        <f t="shared" si="120"/>
        <v>OK</v>
      </c>
      <c r="AM1139" t="str">
        <f t="shared" si="121"/>
        <v>OK</v>
      </c>
      <c r="AN1139" s="1">
        <f>IF(AF1139=0,0,AH1139/AF1139)</f>
        <v>0.25</v>
      </c>
      <c r="AO1139" s="1">
        <f t="shared" si="122"/>
        <v>0.5</v>
      </c>
      <c r="AP1139" s="1">
        <f t="shared" si="123"/>
        <v>0.5</v>
      </c>
      <c r="AQ1139" s="1">
        <f t="shared" si="124"/>
        <v>0.75</v>
      </c>
    </row>
    <row r="1140" spans="1:43"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119"/>
        <v>OK</v>
      </c>
      <c r="AK1140" t="str">
        <f t="shared" si="125"/>
        <v>OK</v>
      </c>
      <c r="AL1140" t="str">
        <f t="shared" si="120"/>
        <v>OK</v>
      </c>
      <c r="AM1140" t="str">
        <f t="shared" si="121"/>
        <v>OK</v>
      </c>
      <c r="AN1140" s="1">
        <f>IF(AF1140=0,0,AH1140/AF1140)</f>
        <v>0.4</v>
      </c>
      <c r="AO1140" s="1">
        <f t="shared" si="122"/>
        <v>0.26666666666666666</v>
      </c>
      <c r="AP1140" s="1">
        <f t="shared" si="123"/>
        <v>0.1</v>
      </c>
      <c r="AQ1140" s="1">
        <f t="shared" si="124"/>
        <v>0.43333333333333335</v>
      </c>
    </row>
    <row r="1141" spans="1:43"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119"/>
        <v>OK</v>
      </c>
      <c r="AK1141" t="str">
        <f t="shared" si="125"/>
        <v>OK</v>
      </c>
      <c r="AL1141" t="str">
        <f t="shared" si="120"/>
        <v>OK</v>
      </c>
      <c r="AM1141" t="str">
        <f t="shared" si="121"/>
        <v>OK</v>
      </c>
      <c r="AN1141" s="1">
        <f>IF(AF1141=0,0,AH1141/AF1141)</f>
        <v>0</v>
      </c>
      <c r="AO1141" s="1">
        <f t="shared" si="122"/>
        <v>0.66666666666666663</v>
      </c>
      <c r="AP1141" s="1">
        <f t="shared" si="123"/>
        <v>1</v>
      </c>
      <c r="AQ1141" s="1">
        <f t="shared" si="124"/>
        <v>0.66666666666666663</v>
      </c>
    </row>
    <row r="1142" spans="1:43"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119"/>
        <v>OK</v>
      </c>
      <c r="AK1142" t="str">
        <f t="shared" si="125"/>
        <v>OK</v>
      </c>
      <c r="AL1142" t="str">
        <f t="shared" si="120"/>
        <v>OK</v>
      </c>
      <c r="AM1142" t="str">
        <f t="shared" si="121"/>
        <v>OK</v>
      </c>
      <c r="AN1142" s="1">
        <f>IF(AF1142=0,0,AH1142/AF1142)</f>
        <v>4.5454545454545456E-2</v>
      </c>
      <c r="AO1142" s="1">
        <f t="shared" si="122"/>
        <v>0.31818181818181818</v>
      </c>
      <c r="AP1142" s="1">
        <f t="shared" si="123"/>
        <v>0.18181818181818182</v>
      </c>
      <c r="AQ1142" s="1">
        <f t="shared" si="124"/>
        <v>0.45454545454545453</v>
      </c>
    </row>
    <row r="1143" spans="1:43"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119"/>
        <v>OK</v>
      </c>
      <c r="AK1143" t="str">
        <f t="shared" si="125"/>
        <v>OK</v>
      </c>
      <c r="AL1143" t="str">
        <f t="shared" si="120"/>
        <v>OK</v>
      </c>
      <c r="AM1143" t="str">
        <f t="shared" si="121"/>
        <v>OK</v>
      </c>
      <c r="AN1143" s="1">
        <f>IF(AF1143=0,0,AH1143/AF1143)</f>
        <v>0.16666666666666666</v>
      </c>
      <c r="AO1143" s="1">
        <f t="shared" si="122"/>
        <v>0.66666666666666663</v>
      </c>
      <c r="AP1143" s="1">
        <f t="shared" si="123"/>
        <v>0.5</v>
      </c>
      <c r="AQ1143" s="1">
        <f t="shared" si="124"/>
        <v>0.16666666666666666</v>
      </c>
    </row>
    <row r="1144" spans="1:43"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119"/>
        <v>OK</v>
      </c>
      <c r="AK1144" t="str">
        <f t="shared" si="125"/>
        <v>OK</v>
      </c>
      <c r="AL1144" t="str">
        <f t="shared" si="120"/>
        <v>OK</v>
      </c>
      <c r="AM1144" t="str">
        <f t="shared" si="121"/>
        <v>OK</v>
      </c>
      <c r="AN1144" s="1">
        <f>IF(AF1144=0,0,AH1144/AF1144)</f>
        <v>0.1</v>
      </c>
      <c r="AO1144" s="1">
        <f t="shared" si="122"/>
        <v>0.7</v>
      </c>
      <c r="AP1144" s="1">
        <f t="shared" si="123"/>
        <v>0.3</v>
      </c>
      <c r="AQ1144" s="1">
        <f t="shared" si="124"/>
        <v>0.4</v>
      </c>
    </row>
    <row r="1145" spans="1:43"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119"/>
        <v>OK</v>
      </c>
      <c r="AK1145" t="str">
        <f t="shared" si="125"/>
        <v>OK</v>
      </c>
      <c r="AL1145" t="str">
        <f t="shared" si="120"/>
        <v>OK</v>
      </c>
      <c r="AM1145" t="str">
        <f t="shared" si="121"/>
        <v>OK</v>
      </c>
      <c r="AN1145" s="1">
        <f>IF(AF1145=0,0,AH1145/AF1145)</f>
        <v>0.4</v>
      </c>
      <c r="AO1145" s="1">
        <f t="shared" si="122"/>
        <v>0.7</v>
      </c>
      <c r="AP1145" s="1">
        <f t="shared" si="123"/>
        <v>0.2</v>
      </c>
      <c r="AQ1145" s="1">
        <f t="shared" si="124"/>
        <v>0.5</v>
      </c>
    </row>
    <row r="1146" spans="1:43"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119"/>
        <v>OK</v>
      </c>
      <c r="AK1146" t="str">
        <f t="shared" si="125"/>
        <v>OK</v>
      </c>
      <c r="AL1146" t="str">
        <f t="shared" si="120"/>
        <v>OK</v>
      </c>
      <c r="AM1146" t="str">
        <f t="shared" si="121"/>
        <v>OK</v>
      </c>
      <c r="AN1146" s="1">
        <f>IF(AF1146=0,0,AH1146/AF1146)</f>
        <v>0</v>
      </c>
      <c r="AO1146" s="1">
        <f t="shared" si="122"/>
        <v>0.4</v>
      </c>
      <c r="AP1146" s="1">
        <f t="shared" si="123"/>
        <v>0.6</v>
      </c>
      <c r="AQ1146" s="1">
        <f t="shared" si="124"/>
        <v>0.6</v>
      </c>
    </row>
    <row r="1147" spans="1:43"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119"/>
        <v>OK</v>
      </c>
      <c r="AK1147" t="str">
        <f t="shared" si="125"/>
        <v>OK</v>
      </c>
      <c r="AL1147" t="str">
        <f t="shared" si="120"/>
        <v>OK</v>
      </c>
      <c r="AM1147" t="str">
        <f t="shared" si="121"/>
        <v>OK</v>
      </c>
      <c r="AN1147" s="1">
        <f>IF(AF1147=0,0,AH1147/AF1147)</f>
        <v>0.33333333333333331</v>
      </c>
      <c r="AO1147" s="1">
        <f t="shared" si="122"/>
        <v>0.66666666666666663</v>
      </c>
      <c r="AP1147" s="1">
        <f t="shared" si="123"/>
        <v>0.66666666666666663</v>
      </c>
      <c r="AQ1147" s="1">
        <f t="shared" si="124"/>
        <v>0.33333333333333331</v>
      </c>
    </row>
    <row r="1148" spans="1:43"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119"/>
        <v>OK</v>
      </c>
      <c r="AK1148" t="str">
        <f t="shared" si="125"/>
        <v>OK</v>
      </c>
      <c r="AL1148" t="str">
        <f t="shared" si="120"/>
        <v>OK</v>
      </c>
      <c r="AM1148" t="str">
        <f t="shared" si="121"/>
        <v>OK</v>
      </c>
      <c r="AN1148" s="1">
        <f>IF(AF1148=0,0,AH1148/AF1148)</f>
        <v>0.77777777777777779</v>
      </c>
      <c r="AO1148" s="1">
        <f t="shared" si="122"/>
        <v>0.77777777777777779</v>
      </c>
      <c r="AP1148" s="1">
        <f t="shared" si="123"/>
        <v>0.33333333333333331</v>
      </c>
      <c r="AQ1148" s="1">
        <f t="shared" si="124"/>
        <v>0.22222222222222221</v>
      </c>
    </row>
    <row r="1149" spans="1:43"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119"/>
        <v>OK</v>
      </c>
      <c r="AK1149" t="str">
        <f t="shared" si="125"/>
        <v>OK</v>
      </c>
      <c r="AL1149" t="str">
        <f t="shared" si="120"/>
        <v>OK</v>
      </c>
      <c r="AM1149" t="str">
        <f t="shared" si="121"/>
        <v>OK</v>
      </c>
      <c r="AN1149" s="1">
        <f>IF(AF1149=0,0,AH1149/AF1149)</f>
        <v>0.1111111111111111</v>
      </c>
      <c r="AO1149" s="1">
        <f t="shared" si="122"/>
        <v>0.66666666666666663</v>
      </c>
      <c r="AP1149" s="1">
        <f t="shared" si="123"/>
        <v>0.33333333333333331</v>
      </c>
      <c r="AQ1149" s="1">
        <f t="shared" si="124"/>
        <v>0.44444444444444442</v>
      </c>
    </row>
    <row r="1150" spans="1:43"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119"/>
        <v>OK</v>
      </c>
      <c r="AK1150" t="str">
        <f t="shared" si="125"/>
        <v>OK</v>
      </c>
      <c r="AL1150" t="str">
        <f t="shared" si="120"/>
        <v>OK</v>
      </c>
      <c r="AM1150" t="str">
        <f t="shared" si="121"/>
        <v>OK</v>
      </c>
      <c r="AN1150" s="1">
        <f>IF(AF1150=0,0,AH1150/AF1150)</f>
        <v>1</v>
      </c>
      <c r="AO1150" s="1">
        <f t="shared" si="122"/>
        <v>1</v>
      </c>
      <c r="AP1150" s="1">
        <f t="shared" si="123"/>
        <v>0.42857142857142855</v>
      </c>
      <c r="AQ1150" s="1">
        <f t="shared" si="124"/>
        <v>1</v>
      </c>
    </row>
    <row r="1151" spans="1:43"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119"/>
        <v>OK</v>
      </c>
      <c r="AK1151" t="str">
        <f t="shared" si="125"/>
        <v>OK</v>
      </c>
      <c r="AL1151" t="str">
        <f t="shared" si="120"/>
        <v>OK</v>
      </c>
      <c r="AM1151" t="str">
        <f t="shared" si="121"/>
        <v>OK</v>
      </c>
      <c r="AN1151" s="1">
        <f>IF(AF1151=0,0,AH1151/AF1151)</f>
        <v>0</v>
      </c>
      <c r="AO1151" s="1">
        <f t="shared" si="122"/>
        <v>1</v>
      </c>
      <c r="AP1151" s="1">
        <f t="shared" si="123"/>
        <v>0.42857142857142855</v>
      </c>
      <c r="AQ1151" s="1">
        <f t="shared" si="124"/>
        <v>1</v>
      </c>
    </row>
    <row r="1152" spans="1:43"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119"/>
        <v>OK</v>
      </c>
      <c r="AK1152" t="str">
        <f t="shared" si="125"/>
        <v>OK</v>
      </c>
      <c r="AL1152" t="str">
        <f t="shared" si="120"/>
        <v>OK</v>
      </c>
      <c r="AM1152" t="str">
        <f t="shared" si="121"/>
        <v>OK</v>
      </c>
      <c r="AN1152" s="1">
        <f>IF(AF1152=0,0,AH1152/AF1152)</f>
        <v>6.25E-2</v>
      </c>
      <c r="AO1152" s="1">
        <f t="shared" si="122"/>
        <v>0.9375</v>
      </c>
      <c r="AP1152" s="1">
        <f t="shared" si="123"/>
        <v>0.125</v>
      </c>
      <c r="AQ1152" s="1">
        <f t="shared" si="124"/>
        <v>0.625</v>
      </c>
    </row>
    <row r="1153" spans="1:43"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119"/>
        <v>OK</v>
      </c>
      <c r="AK1153" t="str">
        <f t="shared" si="125"/>
        <v>OK</v>
      </c>
      <c r="AL1153" t="str">
        <f t="shared" si="120"/>
        <v>OK</v>
      </c>
      <c r="AM1153" t="str">
        <f t="shared" si="121"/>
        <v>OK</v>
      </c>
      <c r="AN1153" s="1">
        <f>IF(AF1153=0,0,AH1153/AF1153)</f>
        <v>0</v>
      </c>
      <c r="AO1153" s="1">
        <f t="shared" si="122"/>
        <v>0.6</v>
      </c>
      <c r="AP1153" s="1">
        <f t="shared" si="123"/>
        <v>1</v>
      </c>
      <c r="AQ1153" s="1">
        <f t="shared" si="124"/>
        <v>0</v>
      </c>
    </row>
    <row r="1154" spans="1:43"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si="119"/>
        <v>OK</v>
      </c>
      <c r="AK1154" t="str">
        <f t="shared" si="125"/>
        <v>OK</v>
      </c>
      <c r="AL1154" t="str">
        <f t="shared" si="120"/>
        <v>OK</v>
      </c>
      <c r="AM1154" t="str">
        <f t="shared" si="121"/>
        <v>OK</v>
      </c>
      <c r="AN1154" s="1">
        <f>IF(AF1154=0,0,AH1154/AF1154)</f>
        <v>1</v>
      </c>
      <c r="AO1154" s="1">
        <f t="shared" si="122"/>
        <v>1</v>
      </c>
      <c r="AP1154" s="1">
        <f t="shared" si="123"/>
        <v>1</v>
      </c>
      <c r="AQ1154" s="1">
        <f t="shared" si="124"/>
        <v>1</v>
      </c>
    </row>
    <row r="1155" spans="1:43"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ref="AJ1155:AJ1218" si="126">IF(AF1155&lt;=AC1155, "OK", "ERROR")</f>
        <v>OK</v>
      </c>
      <c r="AK1155" t="str">
        <f t="shared" si="125"/>
        <v>OK</v>
      </c>
      <c r="AL1155" t="str">
        <f t="shared" ref="AL1155:AL1218" si="127">IF(AG1155&lt;=AF1155,"OK","ERROR")</f>
        <v>OK</v>
      </c>
      <c r="AM1155" t="str">
        <f t="shared" ref="AM1155:AM1218" si="128">IF(AI1155&lt;=AF1155,"OK","ERROR")</f>
        <v>OK</v>
      </c>
      <c r="AN1155" s="1">
        <f>IF(AF1155=0,0,AH1155/AF1155)</f>
        <v>0</v>
      </c>
      <c r="AO1155" s="1">
        <f t="shared" ref="AO1155:AO1218" si="129">IF(AF1155=0,0,AG1155/AF1155)</f>
        <v>0</v>
      </c>
      <c r="AP1155" s="1">
        <f t="shared" ref="AP1155:AP1218" si="130">IF(AF1155=0,0,AD1155/AF1155)</f>
        <v>0</v>
      </c>
      <c r="AQ1155" s="1">
        <f t="shared" ref="AQ1155:AQ1218" si="131">IF(AF1155=0,0,AI1155/AF1155)</f>
        <v>0</v>
      </c>
    </row>
    <row r="1156" spans="1:43"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126"/>
        <v>OK</v>
      </c>
      <c r="AK1156" t="str">
        <f t="shared" ref="AK1156:AK1219" si="132">IF(AH1156&lt;=AF1156,"OK", "ERROR")</f>
        <v>OK</v>
      </c>
      <c r="AL1156" t="str">
        <f t="shared" si="127"/>
        <v>OK</v>
      </c>
      <c r="AM1156" t="str">
        <f t="shared" si="128"/>
        <v>OK</v>
      </c>
      <c r="AN1156" s="1">
        <f>IF(AF1156=0,0,AH1156/AF1156)</f>
        <v>0.2</v>
      </c>
      <c r="AO1156" s="1">
        <f t="shared" si="129"/>
        <v>0.4</v>
      </c>
      <c r="AP1156" s="1">
        <f t="shared" si="130"/>
        <v>0.4</v>
      </c>
      <c r="AQ1156" s="1">
        <f t="shared" si="131"/>
        <v>0</v>
      </c>
    </row>
    <row r="1157" spans="1:43"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126"/>
        <v>OK</v>
      </c>
      <c r="AK1157" t="str">
        <f t="shared" si="132"/>
        <v>OK</v>
      </c>
      <c r="AL1157" t="str">
        <f t="shared" si="127"/>
        <v>OK</v>
      </c>
      <c r="AM1157" t="str">
        <f t="shared" si="128"/>
        <v>OK</v>
      </c>
      <c r="AN1157" s="1">
        <f>IF(AF1157=0,0,AH1157/AF1157)</f>
        <v>0</v>
      </c>
      <c r="AO1157" s="1">
        <f t="shared" si="129"/>
        <v>0.8</v>
      </c>
      <c r="AP1157" s="1">
        <f t="shared" si="130"/>
        <v>0.3</v>
      </c>
      <c r="AQ1157" s="1">
        <f t="shared" si="131"/>
        <v>0.7</v>
      </c>
    </row>
    <row r="1158" spans="1:43"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126"/>
        <v>OK</v>
      </c>
      <c r="AK1158" t="str">
        <f t="shared" si="132"/>
        <v>OK</v>
      </c>
      <c r="AL1158" t="str">
        <f t="shared" si="127"/>
        <v>OK</v>
      </c>
      <c r="AM1158" t="str">
        <f t="shared" si="128"/>
        <v>OK</v>
      </c>
      <c r="AN1158" s="1">
        <f>IF(AF1158=0,0,AH1158/AF1158)</f>
        <v>0.77777777777777779</v>
      </c>
      <c r="AO1158" s="1">
        <f t="shared" si="129"/>
        <v>0.83333333333333337</v>
      </c>
      <c r="AP1158" s="1">
        <f t="shared" si="130"/>
        <v>0.1111111111111111</v>
      </c>
      <c r="AQ1158" s="1">
        <f t="shared" si="131"/>
        <v>0.66666666666666663</v>
      </c>
    </row>
    <row r="1159" spans="1:43"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126"/>
        <v>OK</v>
      </c>
      <c r="AK1159" t="str">
        <f t="shared" si="132"/>
        <v>OK</v>
      </c>
      <c r="AL1159" t="str">
        <f t="shared" si="127"/>
        <v>OK</v>
      </c>
      <c r="AM1159" t="str">
        <f t="shared" si="128"/>
        <v>OK</v>
      </c>
      <c r="AN1159" s="1">
        <f>IF(AF1159=0,0,AH1159/AF1159)</f>
        <v>0.14285714285714285</v>
      </c>
      <c r="AO1159" s="1">
        <f t="shared" si="129"/>
        <v>0.7857142857142857</v>
      </c>
      <c r="AP1159" s="1">
        <f t="shared" si="130"/>
        <v>0.35714285714285715</v>
      </c>
      <c r="AQ1159" s="1">
        <f t="shared" si="131"/>
        <v>0.6428571428571429</v>
      </c>
    </row>
    <row r="1160" spans="1:43"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126"/>
        <v>OK</v>
      </c>
      <c r="AK1160" t="str">
        <f t="shared" si="132"/>
        <v>OK</v>
      </c>
      <c r="AL1160" t="str">
        <f t="shared" si="127"/>
        <v>OK</v>
      </c>
      <c r="AM1160" t="str">
        <f t="shared" si="128"/>
        <v>OK</v>
      </c>
      <c r="AN1160" s="1">
        <f>IF(AF1160=0,0,AH1160/AF1160)</f>
        <v>0</v>
      </c>
      <c r="AO1160" s="1">
        <f t="shared" si="129"/>
        <v>0.75</v>
      </c>
      <c r="AP1160" s="1">
        <f t="shared" si="130"/>
        <v>0.5</v>
      </c>
      <c r="AQ1160" s="1">
        <f t="shared" si="131"/>
        <v>0.5</v>
      </c>
    </row>
    <row r="1161" spans="1:43"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126"/>
        <v>OK</v>
      </c>
      <c r="AK1161" t="str">
        <f t="shared" si="132"/>
        <v>OK</v>
      </c>
      <c r="AL1161" t="str">
        <f t="shared" si="127"/>
        <v>OK</v>
      </c>
      <c r="AM1161" t="str">
        <f t="shared" si="128"/>
        <v>OK</v>
      </c>
      <c r="AN1161" s="1">
        <f>IF(AF1161=0,0,AH1161/AF1161)</f>
        <v>0.33333333333333331</v>
      </c>
      <c r="AO1161" s="1">
        <f t="shared" si="129"/>
        <v>0.22222222222222221</v>
      </c>
      <c r="AP1161" s="1">
        <f t="shared" si="130"/>
        <v>0.22222222222222221</v>
      </c>
      <c r="AQ1161" s="1">
        <f t="shared" si="131"/>
        <v>0.88888888888888884</v>
      </c>
    </row>
    <row r="1162" spans="1:43"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126"/>
        <v>OK</v>
      </c>
      <c r="AK1162" t="str">
        <f t="shared" si="132"/>
        <v>OK</v>
      </c>
      <c r="AL1162" t="str">
        <f t="shared" si="127"/>
        <v>OK</v>
      </c>
      <c r="AM1162" t="str">
        <f t="shared" si="128"/>
        <v>OK</v>
      </c>
      <c r="AN1162" s="1">
        <f>IF(AF1162=0,0,AH1162/AF1162)</f>
        <v>0.3</v>
      </c>
      <c r="AO1162" s="1">
        <f t="shared" si="129"/>
        <v>0.7</v>
      </c>
      <c r="AP1162" s="1">
        <f t="shared" si="130"/>
        <v>0.3</v>
      </c>
      <c r="AQ1162" s="1">
        <f t="shared" si="131"/>
        <v>0.9</v>
      </c>
    </row>
    <row r="1163" spans="1:43"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126"/>
        <v>OK</v>
      </c>
      <c r="AK1163" t="str">
        <f t="shared" si="132"/>
        <v>OK</v>
      </c>
      <c r="AL1163" t="str">
        <f t="shared" si="127"/>
        <v>OK</v>
      </c>
      <c r="AM1163" t="str">
        <f t="shared" si="128"/>
        <v>OK</v>
      </c>
      <c r="AN1163" s="1">
        <f>IF(AF1163=0,0,AH1163/AF1163)</f>
        <v>0</v>
      </c>
      <c r="AO1163" s="1">
        <f t="shared" si="129"/>
        <v>0.8</v>
      </c>
      <c r="AP1163" s="1">
        <f t="shared" si="130"/>
        <v>1.2</v>
      </c>
      <c r="AQ1163" s="1">
        <f t="shared" si="131"/>
        <v>0.4</v>
      </c>
    </row>
    <row r="1164" spans="1:43"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126"/>
        <v>OK</v>
      </c>
      <c r="AK1164" t="str">
        <f t="shared" si="132"/>
        <v>OK</v>
      </c>
      <c r="AL1164" t="str">
        <f t="shared" si="127"/>
        <v>OK</v>
      </c>
      <c r="AM1164" t="str">
        <f t="shared" si="128"/>
        <v>OK</v>
      </c>
      <c r="AN1164" s="1">
        <f>IF(AF1164=0,0,AH1164/AF1164)</f>
        <v>0.46153846153846156</v>
      </c>
      <c r="AO1164" s="1">
        <f t="shared" si="129"/>
        <v>0.92307692307692313</v>
      </c>
      <c r="AP1164" s="1">
        <f t="shared" si="130"/>
        <v>0.23076923076923078</v>
      </c>
      <c r="AQ1164" s="1">
        <f t="shared" si="131"/>
        <v>0</v>
      </c>
    </row>
    <row r="1165" spans="1:43"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126"/>
        <v>OK</v>
      </c>
      <c r="AK1165" t="str">
        <f t="shared" si="132"/>
        <v>OK</v>
      </c>
      <c r="AL1165" t="str">
        <f t="shared" si="127"/>
        <v>OK</v>
      </c>
      <c r="AM1165" t="str">
        <f t="shared" si="128"/>
        <v>OK</v>
      </c>
      <c r="AN1165" s="1">
        <f>IF(AF1165=0,0,AH1165/AF1165)</f>
        <v>0.875</v>
      </c>
      <c r="AO1165" s="1">
        <f t="shared" si="129"/>
        <v>0.5</v>
      </c>
      <c r="AP1165" s="1">
        <f t="shared" si="130"/>
        <v>0.25</v>
      </c>
      <c r="AQ1165" s="1">
        <f t="shared" si="131"/>
        <v>0.875</v>
      </c>
    </row>
    <row r="1166" spans="1:43"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126"/>
        <v>OK</v>
      </c>
      <c r="AK1166" t="str">
        <f t="shared" si="132"/>
        <v>OK</v>
      </c>
      <c r="AL1166" t="str">
        <f t="shared" si="127"/>
        <v>OK</v>
      </c>
      <c r="AM1166" t="str">
        <f t="shared" si="128"/>
        <v>OK</v>
      </c>
      <c r="AN1166" s="1">
        <f>IF(AF1166=0,0,AH1166/AF1166)</f>
        <v>0.75</v>
      </c>
      <c r="AO1166" s="1">
        <f t="shared" si="129"/>
        <v>0.5</v>
      </c>
      <c r="AP1166" s="1">
        <f t="shared" si="130"/>
        <v>0.5</v>
      </c>
      <c r="AQ1166" s="1">
        <f t="shared" si="131"/>
        <v>0.75</v>
      </c>
    </row>
    <row r="1167" spans="1:43"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126"/>
        <v>OK</v>
      </c>
      <c r="AK1167" t="str">
        <f t="shared" si="132"/>
        <v>OK</v>
      </c>
      <c r="AL1167" t="str">
        <f t="shared" si="127"/>
        <v>OK</v>
      </c>
      <c r="AM1167" t="str">
        <f t="shared" si="128"/>
        <v>OK</v>
      </c>
      <c r="AN1167" s="1">
        <f>IF(AF1167=0,0,AH1167/AF1167)</f>
        <v>0</v>
      </c>
      <c r="AO1167" s="1">
        <f t="shared" si="129"/>
        <v>0.7</v>
      </c>
      <c r="AP1167" s="1">
        <f t="shared" si="130"/>
        <v>0.3</v>
      </c>
      <c r="AQ1167" s="1">
        <f t="shared" si="131"/>
        <v>0.2</v>
      </c>
    </row>
    <row r="1168" spans="1:43"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126"/>
        <v>OK</v>
      </c>
      <c r="AK1168" t="str">
        <f t="shared" si="132"/>
        <v>OK</v>
      </c>
      <c r="AL1168" t="str">
        <f t="shared" si="127"/>
        <v>OK</v>
      </c>
      <c r="AM1168" t="str">
        <f t="shared" si="128"/>
        <v>OK</v>
      </c>
      <c r="AN1168" s="1">
        <f>IF(AF1168=0,0,AH1168/AF1168)</f>
        <v>1</v>
      </c>
      <c r="AO1168" s="1">
        <f t="shared" si="129"/>
        <v>1</v>
      </c>
      <c r="AP1168" s="1">
        <f t="shared" si="130"/>
        <v>1.5</v>
      </c>
      <c r="AQ1168" s="1">
        <f t="shared" si="131"/>
        <v>1</v>
      </c>
    </row>
    <row r="1169" spans="1:43"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126"/>
        <v>OK</v>
      </c>
      <c r="AK1169" t="str">
        <f t="shared" si="132"/>
        <v>OK</v>
      </c>
      <c r="AL1169" t="str">
        <f t="shared" si="127"/>
        <v>OK</v>
      </c>
      <c r="AM1169" t="str">
        <f t="shared" si="128"/>
        <v>OK</v>
      </c>
      <c r="AN1169" s="1">
        <f>IF(AF1169=0,0,AH1169/AF1169)</f>
        <v>1</v>
      </c>
      <c r="AO1169" s="1">
        <f t="shared" si="129"/>
        <v>1</v>
      </c>
      <c r="AP1169" s="1">
        <f t="shared" si="130"/>
        <v>1</v>
      </c>
      <c r="AQ1169" s="1">
        <f t="shared" si="131"/>
        <v>1</v>
      </c>
    </row>
    <row r="1170" spans="1:43"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126"/>
        <v>OK</v>
      </c>
      <c r="AK1170" t="str">
        <f t="shared" si="132"/>
        <v>OK</v>
      </c>
      <c r="AL1170" t="str">
        <f t="shared" si="127"/>
        <v>OK</v>
      </c>
      <c r="AM1170" t="str">
        <f t="shared" si="128"/>
        <v>OK</v>
      </c>
      <c r="AN1170" s="1">
        <f>IF(AF1170=0,0,AH1170/AF1170)</f>
        <v>0.16666666666666666</v>
      </c>
      <c r="AO1170" s="1">
        <f t="shared" si="129"/>
        <v>0.5</v>
      </c>
      <c r="AP1170" s="1">
        <f t="shared" si="130"/>
        <v>0.33333333333333331</v>
      </c>
      <c r="AQ1170" s="1">
        <f t="shared" si="131"/>
        <v>0.5</v>
      </c>
    </row>
    <row r="1171" spans="1:43"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126"/>
        <v>OK</v>
      </c>
      <c r="AK1171" t="str">
        <f t="shared" si="132"/>
        <v>OK</v>
      </c>
      <c r="AL1171" t="str">
        <f t="shared" si="127"/>
        <v>OK</v>
      </c>
      <c r="AM1171" t="str">
        <f t="shared" si="128"/>
        <v>OK</v>
      </c>
      <c r="AN1171" s="1">
        <f>IF(AF1171=0,0,AH1171/AF1171)</f>
        <v>0</v>
      </c>
      <c r="AO1171" s="1">
        <f t="shared" si="129"/>
        <v>0.66666666666666663</v>
      </c>
      <c r="AP1171" s="1">
        <f t="shared" si="130"/>
        <v>0</v>
      </c>
      <c r="AQ1171" s="1">
        <f t="shared" si="131"/>
        <v>0.66666666666666663</v>
      </c>
    </row>
    <row r="1172" spans="1:43"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126"/>
        <v>OK</v>
      </c>
      <c r="AK1172" t="str">
        <f t="shared" si="132"/>
        <v>OK</v>
      </c>
      <c r="AL1172" t="str">
        <f t="shared" si="127"/>
        <v>OK</v>
      </c>
      <c r="AM1172" t="str">
        <f t="shared" si="128"/>
        <v>OK</v>
      </c>
      <c r="AN1172" s="1">
        <f>IF(AF1172=0,0,AH1172/AF1172)</f>
        <v>0.25</v>
      </c>
      <c r="AO1172" s="1">
        <f t="shared" si="129"/>
        <v>0.5</v>
      </c>
      <c r="AP1172" s="1">
        <f t="shared" si="130"/>
        <v>0</v>
      </c>
      <c r="AQ1172" s="1">
        <f t="shared" si="131"/>
        <v>0.5</v>
      </c>
    </row>
    <row r="1173" spans="1:43"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126"/>
        <v>OK</v>
      </c>
      <c r="AK1173" t="str">
        <f t="shared" si="132"/>
        <v>OK</v>
      </c>
      <c r="AL1173" t="str">
        <f t="shared" si="127"/>
        <v>OK</v>
      </c>
      <c r="AM1173" t="str">
        <f t="shared" si="128"/>
        <v>OK</v>
      </c>
      <c r="AN1173" s="1">
        <f>IF(AF1173=0,0,AH1173/AF1173)</f>
        <v>0</v>
      </c>
      <c r="AO1173" s="1">
        <f t="shared" si="129"/>
        <v>0.5</v>
      </c>
      <c r="AP1173" s="1">
        <f t="shared" si="130"/>
        <v>0.75</v>
      </c>
      <c r="AQ1173" s="1">
        <f t="shared" si="131"/>
        <v>0.75</v>
      </c>
    </row>
    <row r="1174" spans="1:43"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126"/>
        <v>OK</v>
      </c>
      <c r="AK1174" t="str">
        <f t="shared" si="132"/>
        <v>OK</v>
      </c>
      <c r="AL1174" t="str">
        <f t="shared" si="127"/>
        <v>OK</v>
      </c>
      <c r="AM1174" t="str">
        <f t="shared" si="128"/>
        <v>OK</v>
      </c>
      <c r="AN1174" s="1">
        <f>IF(AF1174=0,0,AH1174/AF1174)</f>
        <v>0.2</v>
      </c>
      <c r="AO1174" s="1">
        <f t="shared" si="129"/>
        <v>0.4</v>
      </c>
      <c r="AP1174" s="1">
        <f t="shared" si="130"/>
        <v>0.4</v>
      </c>
      <c r="AQ1174" s="1">
        <f t="shared" si="131"/>
        <v>0.8</v>
      </c>
    </row>
    <row r="1175" spans="1:43"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126"/>
        <v>OK</v>
      </c>
      <c r="AK1175" t="str">
        <f t="shared" si="132"/>
        <v>OK</v>
      </c>
      <c r="AL1175" t="str">
        <f t="shared" si="127"/>
        <v>OK</v>
      </c>
      <c r="AM1175" t="str">
        <f t="shared" si="128"/>
        <v>OK</v>
      </c>
      <c r="AN1175" s="1">
        <f>IF(AF1175=0,0,AH1175/AF1175)</f>
        <v>0</v>
      </c>
      <c r="AO1175" s="1">
        <f t="shared" si="129"/>
        <v>0.66666666666666663</v>
      </c>
      <c r="AP1175" s="1">
        <f t="shared" si="130"/>
        <v>2</v>
      </c>
      <c r="AQ1175" s="1">
        <f t="shared" si="131"/>
        <v>0.66666666666666663</v>
      </c>
    </row>
    <row r="1176" spans="1:43"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126"/>
        <v>OK</v>
      </c>
      <c r="AK1176" t="str">
        <f t="shared" si="132"/>
        <v>OK</v>
      </c>
      <c r="AL1176" t="str">
        <f t="shared" si="127"/>
        <v>OK</v>
      </c>
      <c r="AM1176" t="str">
        <f t="shared" si="128"/>
        <v>OK</v>
      </c>
      <c r="AN1176" s="1">
        <f>IF(AF1176=0,0,AH1176/AF1176)</f>
        <v>0</v>
      </c>
      <c r="AO1176" s="1">
        <f t="shared" si="129"/>
        <v>1</v>
      </c>
      <c r="AP1176" s="1">
        <f t="shared" si="130"/>
        <v>0.8571428571428571</v>
      </c>
      <c r="AQ1176" s="1">
        <f t="shared" si="131"/>
        <v>1</v>
      </c>
    </row>
    <row r="1177" spans="1:43"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126"/>
        <v>OK</v>
      </c>
      <c r="AK1177" t="str">
        <f t="shared" si="132"/>
        <v>OK</v>
      </c>
      <c r="AL1177" t="str">
        <f t="shared" si="127"/>
        <v>OK</v>
      </c>
      <c r="AM1177" t="str">
        <f t="shared" si="128"/>
        <v>OK</v>
      </c>
      <c r="AN1177" s="1">
        <f>IF(AF1177=0,0,AH1177/AF1177)</f>
        <v>0.2</v>
      </c>
      <c r="AO1177" s="1">
        <f t="shared" si="129"/>
        <v>0.8</v>
      </c>
      <c r="AP1177" s="1">
        <f t="shared" si="130"/>
        <v>0.6</v>
      </c>
      <c r="AQ1177" s="1">
        <f t="shared" si="131"/>
        <v>0</v>
      </c>
    </row>
    <row r="1178" spans="1:43"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126"/>
        <v>OK</v>
      </c>
      <c r="AK1178" t="str">
        <f t="shared" si="132"/>
        <v>OK</v>
      </c>
      <c r="AL1178" t="str">
        <f t="shared" si="127"/>
        <v>OK</v>
      </c>
      <c r="AM1178" t="str">
        <f t="shared" si="128"/>
        <v>OK</v>
      </c>
      <c r="AN1178" s="1">
        <f>IF(AF1178=0,0,AH1178/AF1178)</f>
        <v>0.25</v>
      </c>
      <c r="AO1178" s="1">
        <f t="shared" si="129"/>
        <v>0.5</v>
      </c>
      <c r="AP1178" s="1">
        <f t="shared" si="130"/>
        <v>0.5</v>
      </c>
      <c r="AQ1178" s="1">
        <f t="shared" si="131"/>
        <v>0.5</v>
      </c>
    </row>
    <row r="1179" spans="1:43"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126"/>
        <v>OK</v>
      </c>
      <c r="AK1179" t="str">
        <f t="shared" si="132"/>
        <v>OK</v>
      </c>
      <c r="AL1179" t="str">
        <f t="shared" si="127"/>
        <v>OK</v>
      </c>
      <c r="AM1179" t="str">
        <f t="shared" si="128"/>
        <v>OK</v>
      </c>
      <c r="AN1179" s="1">
        <f>IF(AF1179=0,0,AH1179/AF1179)</f>
        <v>7.1428571428571425E-2</v>
      </c>
      <c r="AO1179" s="1">
        <f t="shared" si="129"/>
        <v>0.7857142857142857</v>
      </c>
      <c r="AP1179" s="1">
        <f t="shared" si="130"/>
        <v>0.21428571428571427</v>
      </c>
      <c r="AQ1179" s="1">
        <f t="shared" si="131"/>
        <v>0.7857142857142857</v>
      </c>
    </row>
    <row r="1180" spans="1:43"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126"/>
        <v>OK</v>
      </c>
      <c r="AK1180" t="str">
        <f t="shared" si="132"/>
        <v>OK</v>
      </c>
      <c r="AL1180" t="str">
        <f t="shared" si="127"/>
        <v>OK</v>
      </c>
      <c r="AM1180" t="str">
        <f t="shared" si="128"/>
        <v>OK</v>
      </c>
      <c r="AN1180" s="1">
        <f>IF(AF1180=0,0,AH1180/AF1180)</f>
        <v>1</v>
      </c>
      <c r="AO1180" s="1">
        <f t="shared" si="129"/>
        <v>1</v>
      </c>
      <c r="AP1180" s="1">
        <f t="shared" si="130"/>
        <v>1.5</v>
      </c>
      <c r="AQ1180" s="1">
        <f t="shared" si="131"/>
        <v>1</v>
      </c>
    </row>
    <row r="1181" spans="1:43"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126"/>
        <v>OK</v>
      </c>
      <c r="AK1181" t="str">
        <f t="shared" si="132"/>
        <v>OK</v>
      </c>
      <c r="AL1181" t="str">
        <f t="shared" si="127"/>
        <v>OK</v>
      </c>
      <c r="AM1181" t="str">
        <f t="shared" si="128"/>
        <v>OK</v>
      </c>
      <c r="AN1181" s="1">
        <f>IF(AF1181=0,0,AH1181/AF1181)</f>
        <v>0.63636363636363635</v>
      </c>
      <c r="AO1181" s="1">
        <f t="shared" si="129"/>
        <v>0.72727272727272729</v>
      </c>
      <c r="AP1181" s="1">
        <f t="shared" si="130"/>
        <v>0.18181818181818182</v>
      </c>
      <c r="AQ1181" s="1">
        <f t="shared" si="131"/>
        <v>0.81818181818181823</v>
      </c>
    </row>
    <row r="1182" spans="1:43"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126"/>
        <v>OK</v>
      </c>
      <c r="AK1182" t="str">
        <f t="shared" si="132"/>
        <v>OK</v>
      </c>
      <c r="AL1182" t="str">
        <f t="shared" si="127"/>
        <v>OK</v>
      </c>
      <c r="AM1182" t="str">
        <f t="shared" si="128"/>
        <v>OK</v>
      </c>
      <c r="AN1182" s="1">
        <f>IF(AF1182=0,0,AH1182/AF1182)</f>
        <v>0.25</v>
      </c>
      <c r="AO1182" s="1">
        <f t="shared" si="129"/>
        <v>0.75</v>
      </c>
      <c r="AP1182" s="1">
        <f t="shared" si="130"/>
        <v>1</v>
      </c>
      <c r="AQ1182" s="1">
        <f t="shared" si="131"/>
        <v>0.75</v>
      </c>
    </row>
    <row r="1183" spans="1:43"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126"/>
        <v>OK</v>
      </c>
      <c r="AK1183" t="str">
        <f t="shared" si="132"/>
        <v>OK</v>
      </c>
      <c r="AL1183" t="str">
        <f t="shared" si="127"/>
        <v>OK</v>
      </c>
      <c r="AM1183" t="str">
        <f t="shared" si="128"/>
        <v>OK</v>
      </c>
      <c r="AN1183" s="1">
        <f>IF(AF1183=0,0,AH1183/AF1183)</f>
        <v>0.13333333333333333</v>
      </c>
      <c r="AO1183" s="1">
        <f t="shared" si="129"/>
        <v>0.73333333333333328</v>
      </c>
      <c r="AP1183" s="1">
        <f t="shared" si="130"/>
        <v>0.2</v>
      </c>
      <c r="AQ1183" s="1">
        <f t="shared" si="131"/>
        <v>0.8</v>
      </c>
    </row>
    <row r="1184" spans="1:43"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126"/>
        <v>OK</v>
      </c>
      <c r="AK1184" t="str">
        <f t="shared" si="132"/>
        <v>OK</v>
      </c>
      <c r="AL1184" t="str">
        <f t="shared" si="127"/>
        <v>OK</v>
      </c>
      <c r="AM1184" t="str">
        <f t="shared" si="128"/>
        <v>OK</v>
      </c>
      <c r="AN1184" s="1">
        <f>IF(AF1184=0,0,AH1184/AF1184)</f>
        <v>0.33333333333333331</v>
      </c>
      <c r="AO1184" s="1">
        <f t="shared" si="129"/>
        <v>0.66666666666666663</v>
      </c>
      <c r="AP1184" s="1">
        <f t="shared" si="130"/>
        <v>2</v>
      </c>
      <c r="AQ1184" s="1">
        <f t="shared" si="131"/>
        <v>0.66666666666666663</v>
      </c>
    </row>
    <row r="1185" spans="1:43"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126"/>
        <v>OK</v>
      </c>
      <c r="AK1185" t="str">
        <f t="shared" si="132"/>
        <v>OK</v>
      </c>
      <c r="AL1185" t="str">
        <f t="shared" si="127"/>
        <v>OK</v>
      </c>
      <c r="AM1185" t="str">
        <f t="shared" si="128"/>
        <v>OK</v>
      </c>
      <c r="AN1185" s="1">
        <f>IF(AF1185=0,0,AH1185/AF1185)</f>
        <v>0</v>
      </c>
      <c r="AO1185" s="1">
        <f t="shared" si="129"/>
        <v>0.8</v>
      </c>
      <c r="AP1185" s="1">
        <f t="shared" si="130"/>
        <v>0.6</v>
      </c>
      <c r="AQ1185" s="1">
        <f t="shared" si="131"/>
        <v>0.8</v>
      </c>
    </row>
    <row r="1186" spans="1:43"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126"/>
        <v>OK</v>
      </c>
      <c r="AK1186" t="str">
        <f t="shared" si="132"/>
        <v>OK</v>
      </c>
      <c r="AL1186" t="str">
        <f t="shared" si="127"/>
        <v>OK</v>
      </c>
      <c r="AM1186" t="str">
        <f t="shared" si="128"/>
        <v>OK</v>
      </c>
      <c r="AN1186" s="1">
        <f>IF(AF1186=0,0,AH1186/AF1186)</f>
        <v>0.4</v>
      </c>
      <c r="AO1186" s="1">
        <f t="shared" si="129"/>
        <v>0.8</v>
      </c>
      <c r="AP1186" s="1">
        <f t="shared" si="130"/>
        <v>0.6</v>
      </c>
      <c r="AQ1186" s="1">
        <f t="shared" si="131"/>
        <v>0.7</v>
      </c>
    </row>
    <row r="1187" spans="1:43"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126"/>
        <v>OK</v>
      </c>
      <c r="AK1187" t="str">
        <f t="shared" si="132"/>
        <v>OK</v>
      </c>
      <c r="AL1187" t="str">
        <f t="shared" si="127"/>
        <v>OK</v>
      </c>
      <c r="AM1187" t="str">
        <f t="shared" si="128"/>
        <v>OK</v>
      </c>
      <c r="AN1187" s="1">
        <f>IF(AF1187=0,0,AH1187/AF1187)</f>
        <v>0.42857142857142855</v>
      </c>
      <c r="AO1187" s="1">
        <f t="shared" si="129"/>
        <v>0.7142857142857143</v>
      </c>
      <c r="AP1187" s="1">
        <f t="shared" si="130"/>
        <v>0.21428571428571427</v>
      </c>
      <c r="AQ1187" s="1">
        <f t="shared" si="131"/>
        <v>0.7857142857142857</v>
      </c>
    </row>
    <row r="1188" spans="1:43"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126"/>
        <v>OK</v>
      </c>
      <c r="AK1188" t="str">
        <f t="shared" si="132"/>
        <v>OK</v>
      </c>
      <c r="AL1188" t="str">
        <f t="shared" si="127"/>
        <v>OK</v>
      </c>
      <c r="AM1188" t="str">
        <f t="shared" si="128"/>
        <v>OK</v>
      </c>
      <c r="AN1188" s="1">
        <f>IF(AF1188=0,0,AH1188/AF1188)</f>
        <v>0.54545454545454541</v>
      </c>
      <c r="AO1188" s="1">
        <f t="shared" si="129"/>
        <v>0.81818181818181823</v>
      </c>
      <c r="AP1188" s="1">
        <f t="shared" si="130"/>
        <v>0.18181818181818182</v>
      </c>
      <c r="AQ1188" s="1">
        <f t="shared" si="131"/>
        <v>0.63636363636363635</v>
      </c>
    </row>
    <row r="1189" spans="1:43"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126"/>
        <v>OK</v>
      </c>
      <c r="AK1189" t="str">
        <f t="shared" si="132"/>
        <v>OK</v>
      </c>
      <c r="AL1189" t="str">
        <f t="shared" si="127"/>
        <v>OK</v>
      </c>
      <c r="AM1189" t="str">
        <f t="shared" si="128"/>
        <v>OK</v>
      </c>
      <c r="AN1189" s="1">
        <f>IF(AF1189=0,0,AH1189/AF1189)</f>
        <v>0.15384615384615385</v>
      </c>
      <c r="AO1189" s="1">
        <f t="shared" si="129"/>
        <v>0.84615384615384615</v>
      </c>
      <c r="AP1189" s="1">
        <f t="shared" si="130"/>
        <v>0.30769230769230771</v>
      </c>
      <c r="AQ1189" s="1">
        <f t="shared" si="131"/>
        <v>0.69230769230769229</v>
      </c>
    </row>
    <row r="1190" spans="1:43"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126"/>
        <v>OK</v>
      </c>
      <c r="AK1190" t="str">
        <f t="shared" si="132"/>
        <v>OK</v>
      </c>
      <c r="AL1190" t="str">
        <f t="shared" si="127"/>
        <v>OK</v>
      </c>
      <c r="AM1190" t="str">
        <f t="shared" si="128"/>
        <v>OK</v>
      </c>
      <c r="AN1190" s="1">
        <f>IF(AF1190=0,0,AH1190/AF1190)</f>
        <v>0</v>
      </c>
      <c r="AO1190" s="1">
        <f t="shared" si="129"/>
        <v>0</v>
      </c>
      <c r="AP1190" s="1">
        <f t="shared" si="130"/>
        <v>0.3</v>
      </c>
      <c r="AQ1190" s="1">
        <f t="shared" si="131"/>
        <v>0.9</v>
      </c>
    </row>
    <row r="1191" spans="1:43"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126"/>
        <v>OK</v>
      </c>
      <c r="AK1191" t="str">
        <f t="shared" si="132"/>
        <v>OK</v>
      </c>
      <c r="AL1191" t="str">
        <f t="shared" si="127"/>
        <v>OK</v>
      </c>
      <c r="AM1191" t="str">
        <f t="shared" si="128"/>
        <v>OK</v>
      </c>
      <c r="AN1191" s="1">
        <f>IF(AF1191=0,0,AH1191/AF1191)</f>
        <v>0</v>
      </c>
      <c r="AO1191" s="1">
        <f t="shared" si="129"/>
        <v>0.33333333333333331</v>
      </c>
      <c r="AP1191" s="1">
        <f t="shared" si="130"/>
        <v>0.83333333333333337</v>
      </c>
      <c r="AQ1191" s="1">
        <f t="shared" si="131"/>
        <v>0.66666666666666663</v>
      </c>
    </row>
    <row r="1192" spans="1:43"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126"/>
        <v>OK</v>
      </c>
      <c r="AK1192" t="str">
        <f t="shared" si="132"/>
        <v>OK</v>
      </c>
      <c r="AL1192" t="str">
        <f t="shared" si="127"/>
        <v>OK</v>
      </c>
      <c r="AM1192" t="str">
        <f t="shared" si="128"/>
        <v>OK</v>
      </c>
      <c r="AN1192" s="1">
        <f>IF(AF1192=0,0,AH1192/AF1192)</f>
        <v>0.1111111111111111</v>
      </c>
      <c r="AO1192" s="1">
        <f t="shared" si="129"/>
        <v>0.55555555555555558</v>
      </c>
      <c r="AP1192" s="1">
        <f t="shared" si="130"/>
        <v>0.44444444444444442</v>
      </c>
      <c r="AQ1192" s="1">
        <f t="shared" si="131"/>
        <v>0.66666666666666663</v>
      </c>
    </row>
    <row r="1193" spans="1:43"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126"/>
        <v>OK</v>
      </c>
      <c r="AK1193" t="str">
        <f t="shared" si="132"/>
        <v>OK</v>
      </c>
      <c r="AL1193" t="str">
        <f t="shared" si="127"/>
        <v>OK</v>
      </c>
      <c r="AM1193" t="str">
        <f t="shared" si="128"/>
        <v>OK</v>
      </c>
      <c r="AN1193" s="1">
        <f>IF(AF1193=0,0,AH1193/AF1193)</f>
        <v>0</v>
      </c>
      <c r="AO1193" s="1">
        <f t="shared" si="129"/>
        <v>0</v>
      </c>
      <c r="AP1193" s="1">
        <f t="shared" si="130"/>
        <v>0.2</v>
      </c>
      <c r="AQ1193" s="1">
        <f t="shared" si="131"/>
        <v>0.2</v>
      </c>
    </row>
    <row r="1194" spans="1:43"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126"/>
        <v>OK</v>
      </c>
      <c r="AK1194" t="str">
        <f t="shared" si="132"/>
        <v>OK</v>
      </c>
      <c r="AL1194" t="str">
        <f t="shared" si="127"/>
        <v>OK</v>
      </c>
      <c r="AM1194" t="str">
        <f t="shared" si="128"/>
        <v>OK</v>
      </c>
      <c r="AN1194" s="1">
        <f>IF(AF1194=0,0,AH1194/AF1194)</f>
        <v>1</v>
      </c>
      <c r="AO1194" s="1">
        <f t="shared" si="129"/>
        <v>1</v>
      </c>
      <c r="AP1194" s="1">
        <f t="shared" si="130"/>
        <v>1</v>
      </c>
      <c r="AQ1194" s="1">
        <f t="shared" si="131"/>
        <v>1</v>
      </c>
    </row>
    <row r="1195" spans="1:43"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126"/>
        <v>OK</v>
      </c>
      <c r="AK1195" t="str">
        <f t="shared" si="132"/>
        <v>OK</v>
      </c>
      <c r="AL1195" t="str">
        <f t="shared" si="127"/>
        <v>OK</v>
      </c>
      <c r="AM1195" t="str">
        <f t="shared" si="128"/>
        <v>OK</v>
      </c>
      <c r="AN1195" s="1">
        <f>IF(AF1195=0,0,AH1195/AF1195)</f>
        <v>0.75</v>
      </c>
      <c r="AO1195" s="1">
        <f t="shared" si="129"/>
        <v>0.75</v>
      </c>
      <c r="AP1195" s="1">
        <f t="shared" si="130"/>
        <v>0.75</v>
      </c>
      <c r="AQ1195" s="1">
        <f t="shared" si="131"/>
        <v>0.75</v>
      </c>
    </row>
    <row r="1196" spans="1:43"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126"/>
        <v>OK</v>
      </c>
      <c r="AK1196" t="str">
        <f t="shared" si="132"/>
        <v>OK</v>
      </c>
      <c r="AL1196" t="str">
        <f t="shared" si="127"/>
        <v>OK</v>
      </c>
      <c r="AM1196" t="str">
        <f t="shared" si="128"/>
        <v>OK</v>
      </c>
      <c r="AN1196" s="1">
        <f>IF(AF1196=0,0,AH1196/AF1196)</f>
        <v>0.33333333333333331</v>
      </c>
      <c r="AO1196" s="1">
        <f t="shared" si="129"/>
        <v>0.66666666666666663</v>
      </c>
      <c r="AP1196" s="1">
        <f t="shared" si="130"/>
        <v>0.66666666666666663</v>
      </c>
      <c r="AQ1196" s="1">
        <f t="shared" si="131"/>
        <v>0.66666666666666663</v>
      </c>
    </row>
    <row r="1197" spans="1:43"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126"/>
        <v>OK</v>
      </c>
      <c r="AK1197" t="str">
        <f t="shared" si="132"/>
        <v>OK</v>
      </c>
      <c r="AL1197" t="str">
        <f t="shared" si="127"/>
        <v>OK</v>
      </c>
      <c r="AM1197" t="str">
        <f t="shared" si="128"/>
        <v>OK</v>
      </c>
      <c r="AN1197" s="1">
        <f>IF(AF1197=0,0,AH1197/AF1197)</f>
        <v>0</v>
      </c>
      <c r="AO1197" s="1">
        <f t="shared" si="129"/>
        <v>0.875</v>
      </c>
      <c r="AP1197" s="1">
        <f t="shared" si="130"/>
        <v>0.25</v>
      </c>
      <c r="AQ1197" s="1">
        <f t="shared" si="131"/>
        <v>0</v>
      </c>
    </row>
    <row r="1198" spans="1:43"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126"/>
        <v>OK</v>
      </c>
      <c r="AK1198" t="str">
        <f t="shared" si="132"/>
        <v>OK</v>
      </c>
      <c r="AL1198" t="str">
        <f t="shared" si="127"/>
        <v>OK</v>
      </c>
      <c r="AM1198" t="str">
        <f t="shared" si="128"/>
        <v>OK</v>
      </c>
      <c r="AN1198" s="1">
        <f>IF(AF1198=0,0,AH1198/AF1198)</f>
        <v>0</v>
      </c>
      <c r="AO1198" s="1">
        <f t="shared" si="129"/>
        <v>0</v>
      </c>
      <c r="AP1198" s="1">
        <f t="shared" si="130"/>
        <v>1</v>
      </c>
      <c r="AQ1198" s="1">
        <f t="shared" si="131"/>
        <v>1</v>
      </c>
    </row>
    <row r="1199" spans="1:43"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126"/>
        <v>OK</v>
      </c>
      <c r="AK1199" t="str">
        <f t="shared" si="132"/>
        <v>OK</v>
      </c>
      <c r="AL1199" t="str">
        <f t="shared" si="127"/>
        <v>OK</v>
      </c>
      <c r="AM1199" t="str">
        <f t="shared" si="128"/>
        <v>OK</v>
      </c>
      <c r="AN1199" s="1">
        <f>IF(AF1199=0,0,AH1199/AF1199)</f>
        <v>0</v>
      </c>
      <c r="AO1199" s="1">
        <f t="shared" si="129"/>
        <v>1</v>
      </c>
      <c r="AP1199" s="1">
        <f t="shared" si="130"/>
        <v>1.5</v>
      </c>
      <c r="AQ1199" s="1">
        <f t="shared" si="131"/>
        <v>1</v>
      </c>
    </row>
    <row r="1200" spans="1:43"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126"/>
        <v>OK</v>
      </c>
      <c r="AK1200" t="str">
        <f t="shared" si="132"/>
        <v>OK</v>
      </c>
      <c r="AL1200" t="str">
        <f t="shared" si="127"/>
        <v>OK</v>
      </c>
      <c r="AM1200" t="str">
        <f t="shared" si="128"/>
        <v>OK</v>
      </c>
      <c r="AN1200" s="1">
        <f>IF(AF1200=0,0,AH1200/AF1200)</f>
        <v>0.16666666666666666</v>
      </c>
      <c r="AO1200" s="1">
        <f t="shared" si="129"/>
        <v>0.83333333333333337</v>
      </c>
      <c r="AP1200" s="1">
        <f t="shared" si="130"/>
        <v>0.33333333333333331</v>
      </c>
      <c r="AQ1200" s="1">
        <f t="shared" si="131"/>
        <v>0.33333333333333331</v>
      </c>
    </row>
    <row r="1201" spans="1:43"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126"/>
        <v>OK</v>
      </c>
      <c r="AK1201" t="str">
        <f t="shared" si="132"/>
        <v>OK</v>
      </c>
      <c r="AL1201" t="str">
        <f t="shared" si="127"/>
        <v>OK</v>
      </c>
      <c r="AM1201" t="str">
        <f t="shared" si="128"/>
        <v>OK</v>
      </c>
      <c r="AN1201" s="1">
        <f>IF(AF1201=0,0,AH1201/AF1201)</f>
        <v>0</v>
      </c>
      <c r="AO1201" s="1">
        <f t="shared" si="129"/>
        <v>0.66666666666666663</v>
      </c>
      <c r="AP1201" s="1">
        <f t="shared" si="130"/>
        <v>0.66666666666666663</v>
      </c>
      <c r="AQ1201" s="1">
        <f t="shared" si="131"/>
        <v>0.66666666666666663</v>
      </c>
    </row>
    <row r="1202" spans="1:43"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126"/>
        <v>OK</v>
      </c>
      <c r="AK1202" t="str">
        <f t="shared" si="132"/>
        <v>OK</v>
      </c>
      <c r="AL1202" t="str">
        <f t="shared" si="127"/>
        <v>OK</v>
      </c>
      <c r="AM1202" t="str">
        <f t="shared" si="128"/>
        <v>OK</v>
      </c>
      <c r="AN1202" s="1">
        <f>IF(AF1202=0,0,AH1202/AF1202)</f>
        <v>1</v>
      </c>
      <c r="AO1202" s="1">
        <f t="shared" si="129"/>
        <v>1</v>
      </c>
      <c r="AP1202" s="1">
        <f t="shared" si="130"/>
        <v>1</v>
      </c>
      <c r="AQ1202" s="1">
        <f t="shared" si="131"/>
        <v>1</v>
      </c>
    </row>
    <row r="1203" spans="1:43"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126"/>
        <v>OK</v>
      </c>
      <c r="AK1203" t="str">
        <f t="shared" si="132"/>
        <v>OK</v>
      </c>
      <c r="AL1203" t="str">
        <f t="shared" si="127"/>
        <v>OK</v>
      </c>
      <c r="AM1203" t="str">
        <f t="shared" si="128"/>
        <v>OK</v>
      </c>
      <c r="AN1203" s="1">
        <f>IF(AF1203=0,0,AH1203/AF1203)</f>
        <v>0.2</v>
      </c>
      <c r="AO1203" s="1">
        <f t="shared" si="129"/>
        <v>0.8</v>
      </c>
      <c r="AP1203" s="1">
        <f t="shared" si="130"/>
        <v>0.4</v>
      </c>
      <c r="AQ1203" s="1">
        <f t="shared" si="131"/>
        <v>0.4</v>
      </c>
    </row>
    <row r="1204" spans="1:43"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126"/>
        <v>OK</v>
      </c>
      <c r="AK1204" t="str">
        <f t="shared" si="132"/>
        <v>OK</v>
      </c>
      <c r="AL1204" t="str">
        <f t="shared" si="127"/>
        <v>OK</v>
      </c>
      <c r="AM1204" t="str">
        <f t="shared" si="128"/>
        <v>OK</v>
      </c>
      <c r="AN1204" s="1">
        <f>IF(AF1204=0,0,AH1204/AF1204)</f>
        <v>0</v>
      </c>
      <c r="AO1204" s="1">
        <f t="shared" si="129"/>
        <v>0</v>
      </c>
      <c r="AP1204" s="1">
        <f t="shared" si="130"/>
        <v>0</v>
      </c>
      <c r="AQ1204" s="1">
        <f t="shared" si="131"/>
        <v>0</v>
      </c>
    </row>
    <row r="1205" spans="1:43"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126"/>
        <v>OK</v>
      </c>
      <c r="AK1205" t="str">
        <f t="shared" si="132"/>
        <v>OK</v>
      </c>
      <c r="AL1205" t="str">
        <f t="shared" si="127"/>
        <v>OK</v>
      </c>
      <c r="AM1205" t="str">
        <f t="shared" si="128"/>
        <v>OK</v>
      </c>
      <c r="AN1205" s="1">
        <f>IF(AF1205=0,0,AH1205/AF1205)</f>
        <v>0.25</v>
      </c>
      <c r="AO1205" s="1">
        <f t="shared" si="129"/>
        <v>0.75</v>
      </c>
      <c r="AP1205" s="1">
        <f t="shared" si="130"/>
        <v>0.5</v>
      </c>
      <c r="AQ1205" s="1">
        <f t="shared" si="131"/>
        <v>0.5</v>
      </c>
    </row>
    <row r="1206" spans="1:43"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126"/>
        <v>OK</v>
      </c>
      <c r="AK1206" t="str">
        <f t="shared" si="132"/>
        <v>OK</v>
      </c>
      <c r="AL1206" t="str">
        <f t="shared" si="127"/>
        <v>OK</v>
      </c>
      <c r="AM1206" t="str">
        <f t="shared" si="128"/>
        <v>OK</v>
      </c>
      <c r="AN1206" s="1">
        <f>IF(AF1206=0,0,AH1206/AF1206)</f>
        <v>0.77777777777777779</v>
      </c>
      <c r="AO1206" s="1">
        <f t="shared" si="129"/>
        <v>0.77777777777777779</v>
      </c>
      <c r="AP1206" s="1">
        <f t="shared" si="130"/>
        <v>0.33333333333333331</v>
      </c>
      <c r="AQ1206" s="1">
        <f t="shared" si="131"/>
        <v>0.77777777777777779</v>
      </c>
    </row>
    <row r="1207" spans="1:43"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126"/>
        <v>OK</v>
      </c>
      <c r="AK1207" t="str">
        <f t="shared" si="132"/>
        <v>OK</v>
      </c>
      <c r="AL1207" t="str">
        <f t="shared" si="127"/>
        <v>OK</v>
      </c>
      <c r="AM1207" t="str">
        <f t="shared" si="128"/>
        <v>OK</v>
      </c>
      <c r="AN1207" s="1">
        <f>IF(AF1207=0,0,AH1207/AF1207)</f>
        <v>0</v>
      </c>
      <c r="AO1207" s="1">
        <f t="shared" si="129"/>
        <v>0</v>
      </c>
      <c r="AP1207" s="1">
        <f t="shared" si="130"/>
        <v>2</v>
      </c>
      <c r="AQ1207" s="1">
        <f t="shared" si="131"/>
        <v>0</v>
      </c>
    </row>
    <row r="1208" spans="1:43"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126"/>
        <v>OK</v>
      </c>
      <c r="AK1208" t="str">
        <f t="shared" si="132"/>
        <v>OK</v>
      </c>
      <c r="AL1208" t="str">
        <f t="shared" si="127"/>
        <v>OK</v>
      </c>
      <c r="AM1208" t="str">
        <f t="shared" si="128"/>
        <v>OK</v>
      </c>
      <c r="AN1208" s="1">
        <f>IF(AF1208=0,0,AH1208/AF1208)</f>
        <v>0.7142857142857143</v>
      </c>
      <c r="AO1208" s="1">
        <f t="shared" si="129"/>
        <v>1</v>
      </c>
      <c r="AP1208" s="1">
        <f t="shared" si="130"/>
        <v>0.7142857142857143</v>
      </c>
      <c r="AQ1208" s="1">
        <f t="shared" si="131"/>
        <v>1</v>
      </c>
    </row>
    <row r="1209" spans="1:43"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126"/>
        <v>OK</v>
      </c>
      <c r="AK1209" t="str">
        <f t="shared" si="132"/>
        <v>OK</v>
      </c>
      <c r="AL1209" t="str">
        <f t="shared" si="127"/>
        <v>OK</v>
      </c>
      <c r="AM1209" t="str">
        <f t="shared" si="128"/>
        <v>OK</v>
      </c>
      <c r="AN1209" s="1">
        <f>IF(AF1209=0,0,AH1209/AF1209)</f>
        <v>0.25</v>
      </c>
      <c r="AO1209" s="1">
        <f t="shared" si="129"/>
        <v>0.5</v>
      </c>
      <c r="AP1209" s="1">
        <f t="shared" si="130"/>
        <v>0.25</v>
      </c>
      <c r="AQ1209" s="1">
        <f t="shared" si="131"/>
        <v>0.5</v>
      </c>
    </row>
    <row r="1210" spans="1:43"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126"/>
        <v>OK</v>
      </c>
      <c r="AK1210" t="str">
        <f t="shared" si="132"/>
        <v>OK</v>
      </c>
      <c r="AL1210" t="str">
        <f t="shared" si="127"/>
        <v>OK</v>
      </c>
      <c r="AM1210" t="str">
        <f t="shared" si="128"/>
        <v>OK</v>
      </c>
      <c r="AN1210" s="1">
        <f>IF(AF1210=0,0,AH1210/AF1210)</f>
        <v>0.26666666666666666</v>
      </c>
      <c r="AO1210" s="1">
        <f t="shared" si="129"/>
        <v>0.66666666666666663</v>
      </c>
      <c r="AP1210" s="1">
        <f t="shared" si="130"/>
        <v>0.2</v>
      </c>
      <c r="AQ1210" s="1">
        <f t="shared" si="131"/>
        <v>0.8666666666666667</v>
      </c>
    </row>
    <row r="1211" spans="1:43"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126"/>
        <v>OK</v>
      </c>
      <c r="AK1211" t="str">
        <f t="shared" si="132"/>
        <v>OK</v>
      </c>
      <c r="AL1211" t="str">
        <f t="shared" si="127"/>
        <v>OK</v>
      </c>
      <c r="AM1211" t="str">
        <f t="shared" si="128"/>
        <v>OK</v>
      </c>
      <c r="AN1211" s="1">
        <f>IF(AF1211=0,0,AH1211/AF1211)</f>
        <v>0</v>
      </c>
      <c r="AO1211" s="1">
        <f t="shared" si="129"/>
        <v>0</v>
      </c>
      <c r="AP1211" s="1">
        <f t="shared" si="130"/>
        <v>2</v>
      </c>
      <c r="AQ1211" s="1">
        <f t="shared" si="131"/>
        <v>0</v>
      </c>
    </row>
    <row r="1212" spans="1:43"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126"/>
        <v>OK</v>
      </c>
      <c r="AK1212" t="str">
        <f t="shared" si="132"/>
        <v>OK</v>
      </c>
      <c r="AL1212" t="str">
        <f t="shared" si="127"/>
        <v>OK</v>
      </c>
      <c r="AM1212" t="str">
        <f t="shared" si="128"/>
        <v>OK</v>
      </c>
      <c r="AN1212" s="1">
        <f>IF(AF1212=0,0,AH1212/AF1212)</f>
        <v>0.14285714285714285</v>
      </c>
      <c r="AO1212" s="1">
        <f t="shared" si="129"/>
        <v>0.7857142857142857</v>
      </c>
      <c r="AP1212" s="1">
        <f t="shared" si="130"/>
        <v>0.42857142857142855</v>
      </c>
      <c r="AQ1212" s="1">
        <f t="shared" si="131"/>
        <v>0.9285714285714286</v>
      </c>
    </row>
    <row r="1213" spans="1:43"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126"/>
        <v>OK</v>
      </c>
      <c r="AK1213" t="str">
        <f t="shared" si="132"/>
        <v>OK</v>
      </c>
      <c r="AL1213" t="str">
        <f t="shared" si="127"/>
        <v>OK</v>
      </c>
      <c r="AM1213" t="str">
        <f t="shared" si="128"/>
        <v>OK</v>
      </c>
      <c r="AN1213" s="1">
        <f>IF(AF1213=0,0,AH1213/AF1213)</f>
        <v>0.16666666666666666</v>
      </c>
      <c r="AO1213" s="1">
        <f t="shared" si="129"/>
        <v>0.5</v>
      </c>
      <c r="AP1213" s="1">
        <f t="shared" si="130"/>
        <v>0.33333333333333331</v>
      </c>
      <c r="AQ1213" s="1">
        <f t="shared" si="131"/>
        <v>0.5</v>
      </c>
    </row>
    <row r="1214" spans="1:43"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126"/>
        <v>OK</v>
      </c>
      <c r="AK1214" t="str">
        <f t="shared" si="132"/>
        <v>OK</v>
      </c>
      <c r="AL1214" t="str">
        <f t="shared" si="127"/>
        <v>OK</v>
      </c>
      <c r="AM1214" t="str">
        <f t="shared" si="128"/>
        <v>OK</v>
      </c>
      <c r="AN1214" s="1">
        <f>IF(AF1214=0,0,AH1214/AF1214)</f>
        <v>0.8</v>
      </c>
      <c r="AO1214" s="1">
        <f t="shared" si="129"/>
        <v>0.9</v>
      </c>
      <c r="AP1214" s="1">
        <f t="shared" si="130"/>
        <v>0.3</v>
      </c>
      <c r="AQ1214" s="1">
        <f t="shared" si="131"/>
        <v>0.7</v>
      </c>
    </row>
    <row r="1215" spans="1:43"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126"/>
        <v>OK</v>
      </c>
      <c r="AK1215" t="str">
        <f t="shared" si="132"/>
        <v>OK</v>
      </c>
      <c r="AL1215" t="str">
        <f t="shared" si="127"/>
        <v>OK</v>
      </c>
      <c r="AM1215" t="str">
        <f t="shared" si="128"/>
        <v>OK</v>
      </c>
      <c r="AN1215" s="1">
        <f>IF(AF1215=0,0,AH1215/AF1215)</f>
        <v>0</v>
      </c>
      <c r="AO1215" s="1">
        <f t="shared" si="129"/>
        <v>0.66666666666666663</v>
      </c>
      <c r="AP1215" s="1">
        <f t="shared" si="130"/>
        <v>0.66666666666666663</v>
      </c>
      <c r="AQ1215" s="1">
        <f t="shared" si="131"/>
        <v>0.66666666666666663</v>
      </c>
    </row>
    <row r="1216" spans="1:43"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126"/>
        <v>OK</v>
      </c>
      <c r="AK1216" t="str">
        <f t="shared" si="132"/>
        <v>OK</v>
      </c>
      <c r="AL1216" t="str">
        <f t="shared" si="127"/>
        <v>OK</v>
      </c>
      <c r="AM1216" t="str">
        <f t="shared" si="128"/>
        <v>OK</v>
      </c>
      <c r="AN1216" s="1">
        <f>IF(AF1216=0,0,AH1216/AF1216)</f>
        <v>0.75</v>
      </c>
      <c r="AO1216" s="1">
        <f t="shared" si="129"/>
        <v>0.875</v>
      </c>
      <c r="AP1216" s="1">
        <f t="shared" si="130"/>
        <v>0.25</v>
      </c>
      <c r="AQ1216" s="1">
        <f t="shared" si="131"/>
        <v>0.875</v>
      </c>
    </row>
    <row r="1217" spans="1:43"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126"/>
        <v>OK</v>
      </c>
      <c r="AK1217" t="str">
        <f t="shared" si="132"/>
        <v>OK</v>
      </c>
      <c r="AL1217" t="str">
        <f t="shared" si="127"/>
        <v>OK</v>
      </c>
      <c r="AM1217" t="str">
        <f t="shared" si="128"/>
        <v>OK</v>
      </c>
      <c r="AN1217" s="1">
        <f>IF(AF1217=0,0,AH1217/AF1217)</f>
        <v>0.2</v>
      </c>
      <c r="AO1217" s="1">
        <f t="shared" si="129"/>
        <v>0.8</v>
      </c>
      <c r="AP1217" s="1">
        <f t="shared" si="130"/>
        <v>0.4</v>
      </c>
      <c r="AQ1217" s="1">
        <f t="shared" si="131"/>
        <v>0.8</v>
      </c>
    </row>
    <row r="1218" spans="1:43"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si="126"/>
        <v>OK</v>
      </c>
      <c r="AK1218" t="str">
        <f t="shared" si="132"/>
        <v>OK</v>
      </c>
      <c r="AL1218" t="str">
        <f t="shared" si="127"/>
        <v>OK</v>
      </c>
      <c r="AM1218" t="str">
        <f t="shared" si="128"/>
        <v>OK</v>
      </c>
      <c r="AN1218" s="1">
        <f>IF(AF1218=0,0,AH1218/AF1218)</f>
        <v>0.8</v>
      </c>
      <c r="AO1218" s="1">
        <f t="shared" si="129"/>
        <v>0.9</v>
      </c>
      <c r="AP1218" s="1">
        <f t="shared" si="130"/>
        <v>0.3</v>
      </c>
      <c r="AQ1218" s="1">
        <f t="shared" si="131"/>
        <v>0.8</v>
      </c>
    </row>
    <row r="1219" spans="1:43"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ref="AJ1219:AJ1282" si="133">IF(AF1219&lt;=AC1219, "OK", "ERROR")</f>
        <v>OK</v>
      </c>
      <c r="AK1219" t="str">
        <f t="shared" si="132"/>
        <v>OK</v>
      </c>
      <c r="AL1219" t="str">
        <f t="shared" ref="AL1219:AL1282" si="134">IF(AG1219&lt;=AF1219,"OK","ERROR")</f>
        <v>OK</v>
      </c>
      <c r="AM1219" t="str">
        <f t="shared" ref="AM1219:AM1282" si="135">IF(AI1219&lt;=AF1219,"OK","ERROR")</f>
        <v>OK</v>
      </c>
      <c r="AN1219" s="1">
        <f>IF(AF1219=0,0,AH1219/AF1219)</f>
        <v>0</v>
      </c>
      <c r="AO1219" s="1">
        <f t="shared" ref="AO1219:AO1282" si="136">IF(AF1219=0,0,AG1219/AF1219)</f>
        <v>0.6</v>
      </c>
      <c r="AP1219" s="1">
        <f t="shared" ref="AP1219:AP1282" si="137">IF(AF1219=0,0,AD1219/AF1219)</f>
        <v>0.2</v>
      </c>
      <c r="AQ1219" s="1">
        <f t="shared" ref="AQ1219:AQ1282" si="138">IF(AF1219=0,0,AI1219/AF1219)</f>
        <v>0.8</v>
      </c>
    </row>
    <row r="1220" spans="1:43"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133"/>
        <v>OK</v>
      </c>
      <c r="AK1220" t="str">
        <f t="shared" ref="AK1220:AK1283" si="139">IF(AH1220&lt;=AF1220,"OK", "ERROR")</f>
        <v>OK</v>
      </c>
      <c r="AL1220" t="str">
        <f t="shared" si="134"/>
        <v>OK</v>
      </c>
      <c r="AM1220" t="str">
        <f t="shared" si="135"/>
        <v>OK</v>
      </c>
      <c r="AN1220" s="1">
        <f>IF(AF1220=0,0,AH1220/AF1220)</f>
        <v>0.8</v>
      </c>
      <c r="AO1220" s="1">
        <f t="shared" si="136"/>
        <v>0.8</v>
      </c>
      <c r="AP1220" s="1">
        <f t="shared" si="137"/>
        <v>0.3</v>
      </c>
      <c r="AQ1220" s="1">
        <f t="shared" si="138"/>
        <v>0.7</v>
      </c>
    </row>
    <row r="1221" spans="1:43"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133"/>
        <v>OK</v>
      </c>
      <c r="AK1221" t="str">
        <f t="shared" si="139"/>
        <v>OK</v>
      </c>
      <c r="AL1221" t="str">
        <f t="shared" si="134"/>
        <v>OK</v>
      </c>
      <c r="AM1221" t="str">
        <f t="shared" si="135"/>
        <v>OK</v>
      </c>
      <c r="AN1221" s="1">
        <f>IF(AF1221=0,0,AH1221/AF1221)</f>
        <v>0.2</v>
      </c>
      <c r="AO1221" s="1">
        <f t="shared" si="136"/>
        <v>0.6</v>
      </c>
      <c r="AP1221" s="1">
        <f t="shared" si="137"/>
        <v>0.4</v>
      </c>
      <c r="AQ1221" s="1">
        <f t="shared" si="138"/>
        <v>0.4</v>
      </c>
    </row>
    <row r="1222" spans="1:43"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133"/>
        <v>OK</v>
      </c>
      <c r="AK1222" t="str">
        <f t="shared" si="139"/>
        <v>OK</v>
      </c>
      <c r="AL1222" t="str">
        <f t="shared" si="134"/>
        <v>OK</v>
      </c>
      <c r="AM1222" t="str">
        <f t="shared" si="135"/>
        <v>OK</v>
      </c>
      <c r="AN1222" s="1">
        <f>IF(AF1222=0,0,AH1222/AF1222)</f>
        <v>0.46153846153846156</v>
      </c>
      <c r="AO1222" s="1">
        <f t="shared" si="136"/>
        <v>0.53846153846153844</v>
      </c>
      <c r="AP1222" s="1">
        <f t="shared" si="137"/>
        <v>0.15384615384615385</v>
      </c>
      <c r="AQ1222" s="1">
        <f t="shared" si="138"/>
        <v>0.53846153846153844</v>
      </c>
    </row>
    <row r="1223" spans="1:43"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133"/>
        <v>OK</v>
      </c>
      <c r="AK1223" t="str">
        <f t="shared" si="139"/>
        <v>OK</v>
      </c>
      <c r="AL1223" t="str">
        <f t="shared" si="134"/>
        <v>OK</v>
      </c>
      <c r="AM1223" t="str">
        <f t="shared" si="135"/>
        <v>OK</v>
      </c>
      <c r="AN1223" s="1">
        <f>IF(AF1223=0,0,AH1223/AF1223)</f>
        <v>0.60869565217391308</v>
      </c>
      <c r="AO1223" s="1">
        <f t="shared" si="136"/>
        <v>0.65217391304347827</v>
      </c>
      <c r="AP1223" s="1">
        <f t="shared" si="137"/>
        <v>0.13043478260869565</v>
      </c>
      <c r="AQ1223" s="1">
        <f t="shared" si="138"/>
        <v>0.17391304347826086</v>
      </c>
    </row>
    <row r="1224" spans="1:43"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133"/>
        <v>OK</v>
      </c>
      <c r="AK1224" t="str">
        <f t="shared" si="139"/>
        <v>OK</v>
      </c>
      <c r="AL1224" t="str">
        <f t="shared" si="134"/>
        <v>OK</v>
      </c>
      <c r="AM1224" t="str">
        <f t="shared" si="135"/>
        <v>OK</v>
      </c>
      <c r="AN1224" s="1">
        <f>IF(AF1224=0,0,AH1224/AF1224)</f>
        <v>0</v>
      </c>
      <c r="AO1224" s="1">
        <f t="shared" si="136"/>
        <v>0</v>
      </c>
      <c r="AP1224" s="1">
        <f t="shared" si="137"/>
        <v>2</v>
      </c>
      <c r="AQ1224" s="1">
        <f t="shared" si="138"/>
        <v>0</v>
      </c>
    </row>
    <row r="1225" spans="1:43"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133"/>
        <v>OK</v>
      </c>
      <c r="AK1225" t="str">
        <f t="shared" si="139"/>
        <v>OK</v>
      </c>
      <c r="AL1225" t="str">
        <f t="shared" si="134"/>
        <v>OK</v>
      </c>
      <c r="AM1225" t="str">
        <f t="shared" si="135"/>
        <v>OK</v>
      </c>
      <c r="AN1225" s="1">
        <f>IF(AF1225=0,0,AH1225/AF1225)</f>
        <v>0.60869565217391308</v>
      </c>
      <c r="AO1225" s="1">
        <f t="shared" si="136"/>
        <v>0.21739130434782608</v>
      </c>
      <c r="AP1225" s="1">
        <f t="shared" si="137"/>
        <v>0.13043478260869565</v>
      </c>
      <c r="AQ1225" s="1">
        <f t="shared" si="138"/>
        <v>0.43478260869565216</v>
      </c>
    </row>
    <row r="1226" spans="1:43"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133"/>
        <v>OK</v>
      </c>
      <c r="AK1226" t="str">
        <f t="shared" si="139"/>
        <v>OK</v>
      </c>
      <c r="AL1226" t="str">
        <f t="shared" si="134"/>
        <v>OK</v>
      </c>
      <c r="AM1226" t="str">
        <f t="shared" si="135"/>
        <v>OK</v>
      </c>
      <c r="AN1226" s="1">
        <f>IF(AF1226=0,0,AH1226/AF1226)</f>
        <v>0</v>
      </c>
      <c r="AO1226" s="1">
        <f t="shared" si="136"/>
        <v>0.66666666666666663</v>
      </c>
      <c r="AP1226" s="1">
        <f t="shared" si="137"/>
        <v>1</v>
      </c>
      <c r="AQ1226" s="1">
        <f t="shared" si="138"/>
        <v>0.66666666666666663</v>
      </c>
    </row>
    <row r="1227" spans="1:43"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133"/>
        <v>OK</v>
      </c>
      <c r="AK1227" t="str">
        <f t="shared" si="139"/>
        <v>OK</v>
      </c>
      <c r="AL1227" t="str">
        <f t="shared" si="134"/>
        <v>OK</v>
      </c>
      <c r="AM1227" t="str">
        <f t="shared" si="135"/>
        <v>OK</v>
      </c>
      <c r="AN1227" s="1">
        <f>IF(AF1227=0,0,AH1227/AF1227)</f>
        <v>0.38095238095238093</v>
      </c>
      <c r="AO1227" s="1">
        <f t="shared" si="136"/>
        <v>0.2857142857142857</v>
      </c>
      <c r="AP1227" s="1">
        <f t="shared" si="137"/>
        <v>9.5238095238095233E-2</v>
      </c>
      <c r="AQ1227" s="1">
        <f t="shared" si="138"/>
        <v>0.2857142857142857</v>
      </c>
    </row>
    <row r="1228" spans="1:43"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133"/>
        <v>OK</v>
      </c>
      <c r="AK1228" t="str">
        <f t="shared" si="139"/>
        <v>OK</v>
      </c>
      <c r="AL1228" t="str">
        <f t="shared" si="134"/>
        <v>OK</v>
      </c>
      <c r="AM1228" t="str">
        <f t="shared" si="135"/>
        <v>OK</v>
      </c>
      <c r="AN1228" s="1">
        <f>IF(AF1228=0,0,AH1228/AF1228)</f>
        <v>0.2</v>
      </c>
      <c r="AO1228" s="1">
        <f t="shared" si="136"/>
        <v>0.4</v>
      </c>
      <c r="AP1228" s="1">
        <f t="shared" si="137"/>
        <v>0.6</v>
      </c>
      <c r="AQ1228" s="1">
        <f t="shared" si="138"/>
        <v>0.6</v>
      </c>
    </row>
    <row r="1229" spans="1:43"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133"/>
        <v>OK</v>
      </c>
      <c r="AK1229" t="str">
        <f t="shared" si="139"/>
        <v>OK</v>
      </c>
      <c r="AL1229" t="str">
        <f t="shared" si="134"/>
        <v>OK</v>
      </c>
      <c r="AM1229" t="str">
        <f t="shared" si="135"/>
        <v>OK</v>
      </c>
      <c r="AN1229" s="1">
        <f>IF(AF1229=0,0,AH1229/AF1229)</f>
        <v>0</v>
      </c>
      <c r="AO1229" s="1">
        <f t="shared" si="136"/>
        <v>0.4</v>
      </c>
      <c r="AP1229" s="1">
        <f t="shared" si="137"/>
        <v>0.4</v>
      </c>
      <c r="AQ1229" s="1">
        <f t="shared" si="138"/>
        <v>0.6</v>
      </c>
    </row>
    <row r="1230" spans="1:43"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133"/>
        <v>OK</v>
      </c>
      <c r="AK1230" t="str">
        <f t="shared" si="139"/>
        <v>OK</v>
      </c>
      <c r="AL1230" t="str">
        <f t="shared" si="134"/>
        <v>OK</v>
      </c>
      <c r="AM1230" t="str">
        <f t="shared" si="135"/>
        <v>OK</v>
      </c>
      <c r="AN1230" s="1">
        <f>IF(AF1230=0,0,AH1230/AF1230)</f>
        <v>0.33333333333333331</v>
      </c>
      <c r="AO1230" s="1">
        <f t="shared" si="136"/>
        <v>0.66666666666666663</v>
      </c>
      <c r="AP1230" s="1">
        <f t="shared" si="137"/>
        <v>1.3333333333333333</v>
      </c>
      <c r="AQ1230" s="1">
        <f t="shared" si="138"/>
        <v>0.66666666666666663</v>
      </c>
    </row>
    <row r="1231" spans="1:43"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133"/>
        <v>OK</v>
      </c>
      <c r="AK1231" t="str">
        <f t="shared" si="139"/>
        <v>OK</v>
      </c>
      <c r="AL1231" t="str">
        <f t="shared" si="134"/>
        <v>OK</v>
      </c>
      <c r="AM1231" t="str">
        <f t="shared" si="135"/>
        <v>OK</v>
      </c>
      <c r="AN1231" s="1">
        <f>IF(AF1231=0,0,AH1231/AF1231)</f>
        <v>0</v>
      </c>
      <c r="AO1231" s="1">
        <f t="shared" si="136"/>
        <v>0</v>
      </c>
      <c r="AP1231" s="1">
        <f t="shared" si="137"/>
        <v>3</v>
      </c>
      <c r="AQ1231" s="1">
        <f t="shared" si="138"/>
        <v>0</v>
      </c>
    </row>
    <row r="1232" spans="1:43"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133"/>
        <v>OK</v>
      </c>
      <c r="AK1232" t="str">
        <f t="shared" si="139"/>
        <v>OK</v>
      </c>
      <c r="AL1232" t="str">
        <f t="shared" si="134"/>
        <v>OK</v>
      </c>
      <c r="AM1232" t="str">
        <f t="shared" si="135"/>
        <v>OK</v>
      </c>
      <c r="AN1232" s="1">
        <f>IF(AF1232=0,0,AH1232/AF1232)</f>
        <v>0.16666666666666666</v>
      </c>
      <c r="AO1232" s="1">
        <f t="shared" si="136"/>
        <v>0.33333333333333331</v>
      </c>
      <c r="AP1232" s="1">
        <f t="shared" si="137"/>
        <v>0.33333333333333331</v>
      </c>
      <c r="AQ1232" s="1">
        <f t="shared" si="138"/>
        <v>0.33333333333333331</v>
      </c>
    </row>
    <row r="1233" spans="1:43"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133"/>
        <v>OK</v>
      </c>
      <c r="AK1233" t="str">
        <f t="shared" si="139"/>
        <v>OK</v>
      </c>
      <c r="AL1233" t="str">
        <f t="shared" si="134"/>
        <v>OK</v>
      </c>
      <c r="AM1233" t="str">
        <f t="shared" si="135"/>
        <v>OK</v>
      </c>
      <c r="AN1233" s="1">
        <f>IF(AF1233=0,0,AH1233/AF1233)</f>
        <v>0</v>
      </c>
      <c r="AO1233" s="1">
        <f t="shared" si="136"/>
        <v>0.7</v>
      </c>
      <c r="AP1233" s="1">
        <f t="shared" si="137"/>
        <v>0.3</v>
      </c>
      <c r="AQ1233" s="1">
        <f t="shared" si="138"/>
        <v>0.9</v>
      </c>
    </row>
    <row r="1234" spans="1:43"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133"/>
        <v>OK</v>
      </c>
      <c r="AK1234" t="str">
        <f t="shared" si="139"/>
        <v>OK</v>
      </c>
      <c r="AL1234" t="str">
        <f t="shared" si="134"/>
        <v>OK</v>
      </c>
      <c r="AM1234" t="str">
        <f t="shared" si="135"/>
        <v>OK</v>
      </c>
      <c r="AN1234" s="1">
        <f>IF(AF1234=0,0,AH1234/AF1234)</f>
        <v>0</v>
      </c>
      <c r="AO1234" s="1">
        <f t="shared" si="136"/>
        <v>1</v>
      </c>
      <c r="AP1234" s="1">
        <f t="shared" si="137"/>
        <v>0.42857142857142855</v>
      </c>
      <c r="AQ1234" s="1">
        <f t="shared" si="138"/>
        <v>1</v>
      </c>
    </row>
    <row r="1235" spans="1:43"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133"/>
        <v>OK</v>
      </c>
      <c r="AK1235" t="str">
        <f t="shared" si="139"/>
        <v>OK</v>
      </c>
      <c r="AL1235" t="str">
        <f t="shared" si="134"/>
        <v>OK</v>
      </c>
      <c r="AM1235" t="str">
        <f t="shared" si="135"/>
        <v>OK</v>
      </c>
      <c r="AN1235" s="1">
        <f>IF(AF1235=0,0,AH1235/AF1235)</f>
        <v>0</v>
      </c>
      <c r="AO1235" s="1">
        <f t="shared" si="136"/>
        <v>0</v>
      </c>
      <c r="AP1235" s="1">
        <f t="shared" si="137"/>
        <v>0.2</v>
      </c>
      <c r="AQ1235" s="1">
        <f t="shared" si="138"/>
        <v>0.8</v>
      </c>
    </row>
    <row r="1236" spans="1:43"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133"/>
        <v>OK</v>
      </c>
      <c r="AK1236" t="str">
        <f t="shared" si="139"/>
        <v>OK</v>
      </c>
      <c r="AL1236" t="str">
        <f t="shared" si="134"/>
        <v>OK</v>
      </c>
      <c r="AM1236" t="str">
        <f t="shared" si="135"/>
        <v>OK</v>
      </c>
      <c r="AN1236" s="1">
        <f>IF(AF1236=0,0,AH1236/AF1236)</f>
        <v>0</v>
      </c>
      <c r="AO1236" s="1">
        <f t="shared" si="136"/>
        <v>0</v>
      </c>
      <c r="AP1236" s="1">
        <f t="shared" si="137"/>
        <v>3</v>
      </c>
      <c r="AQ1236" s="1">
        <f t="shared" si="138"/>
        <v>0</v>
      </c>
    </row>
    <row r="1237" spans="1:43"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133"/>
        <v>OK</v>
      </c>
      <c r="AK1237" t="str">
        <f t="shared" si="139"/>
        <v>OK</v>
      </c>
      <c r="AL1237" t="str">
        <f t="shared" si="134"/>
        <v>OK</v>
      </c>
      <c r="AM1237" t="str">
        <f t="shared" si="135"/>
        <v>OK</v>
      </c>
      <c r="AN1237" s="1">
        <f>IF(AF1237=0,0,AH1237/AF1237)</f>
        <v>0</v>
      </c>
      <c r="AO1237" s="1">
        <f t="shared" si="136"/>
        <v>0.6</v>
      </c>
      <c r="AP1237" s="1">
        <f t="shared" si="137"/>
        <v>0.5</v>
      </c>
      <c r="AQ1237" s="1">
        <f t="shared" si="138"/>
        <v>0.3</v>
      </c>
    </row>
    <row r="1238" spans="1:43"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133"/>
        <v>OK</v>
      </c>
      <c r="AK1238" t="str">
        <f t="shared" si="139"/>
        <v>OK</v>
      </c>
      <c r="AL1238" t="str">
        <f t="shared" si="134"/>
        <v>OK</v>
      </c>
      <c r="AM1238" t="str">
        <f t="shared" si="135"/>
        <v>OK</v>
      </c>
      <c r="AN1238" s="1">
        <f>IF(AF1238=0,0,AH1238/AF1238)</f>
        <v>1</v>
      </c>
      <c r="AO1238" s="1">
        <f t="shared" si="136"/>
        <v>1</v>
      </c>
      <c r="AP1238" s="1">
        <f t="shared" si="137"/>
        <v>1.5</v>
      </c>
      <c r="AQ1238" s="1">
        <f t="shared" si="138"/>
        <v>1</v>
      </c>
    </row>
    <row r="1239" spans="1:43"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133"/>
        <v>OK</v>
      </c>
      <c r="AK1239" t="str">
        <f t="shared" si="139"/>
        <v>OK</v>
      </c>
      <c r="AL1239" t="str">
        <f t="shared" si="134"/>
        <v>OK</v>
      </c>
      <c r="AM1239" t="str">
        <f t="shared" si="135"/>
        <v>OK</v>
      </c>
      <c r="AN1239" s="1">
        <f>IF(AF1239=0,0,AH1239/AF1239)</f>
        <v>0</v>
      </c>
      <c r="AO1239" s="1">
        <f t="shared" si="136"/>
        <v>0</v>
      </c>
      <c r="AP1239" s="1">
        <f t="shared" si="137"/>
        <v>0</v>
      </c>
      <c r="AQ1239" s="1">
        <f t="shared" si="138"/>
        <v>0</v>
      </c>
    </row>
    <row r="1240" spans="1:43"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133"/>
        <v>OK</v>
      </c>
      <c r="AK1240" t="str">
        <f t="shared" si="139"/>
        <v>OK</v>
      </c>
      <c r="AL1240" t="str">
        <f t="shared" si="134"/>
        <v>OK</v>
      </c>
      <c r="AM1240" t="str">
        <f t="shared" si="135"/>
        <v>OK</v>
      </c>
      <c r="AN1240" s="1">
        <f>IF(AF1240=0,0,AH1240/AF1240)</f>
        <v>0.33333333333333331</v>
      </c>
      <c r="AO1240" s="1">
        <f t="shared" si="136"/>
        <v>0.66666666666666663</v>
      </c>
      <c r="AP1240" s="1">
        <f t="shared" si="137"/>
        <v>1</v>
      </c>
      <c r="AQ1240" s="1">
        <f t="shared" si="138"/>
        <v>0.66666666666666663</v>
      </c>
    </row>
    <row r="1241" spans="1:43"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133"/>
        <v>OK</v>
      </c>
      <c r="AK1241" t="str">
        <f t="shared" si="139"/>
        <v>OK</v>
      </c>
      <c r="AL1241" t="str">
        <f t="shared" si="134"/>
        <v>OK</v>
      </c>
      <c r="AM1241" t="str">
        <f t="shared" si="135"/>
        <v>OK</v>
      </c>
      <c r="AN1241" s="1">
        <f>IF(AF1241=0,0,AH1241/AF1241)</f>
        <v>0.2</v>
      </c>
      <c r="AO1241" s="1">
        <f t="shared" si="136"/>
        <v>0.8</v>
      </c>
      <c r="AP1241" s="1">
        <f t="shared" si="137"/>
        <v>0.6</v>
      </c>
      <c r="AQ1241" s="1">
        <f t="shared" si="138"/>
        <v>0.8</v>
      </c>
    </row>
    <row r="1242" spans="1:43"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133"/>
        <v>OK</v>
      </c>
      <c r="AK1242" t="str">
        <f t="shared" si="139"/>
        <v>OK</v>
      </c>
      <c r="AL1242" t="str">
        <f t="shared" si="134"/>
        <v>OK</v>
      </c>
      <c r="AM1242" t="str">
        <f t="shared" si="135"/>
        <v>OK</v>
      </c>
      <c r="AN1242" s="1">
        <f>IF(AF1242=0,0,AH1242/AF1242)</f>
        <v>0.55555555555555558</v>
      </c>
      <c r="AO1242" s="1">
        <f t="shared" si="136"/>
        <v>0.88888888888888884</v>
      </c>
      <c r="AP1242" s="1">
        <f t="shared" si="137"/>
        <v>0.22222222222222221</v>
      </c>
      <c r="AQ1242" s="1">
        <f t="shared" si="138"/>
        <v>0.88888888888888884</v>
      </c>
    </row>
    <row r="1243" spans="1:43"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133"/>
        <v>OK</v>
      </c>
      <c r="AK1243" t="str">
        <f t="shared" si="139"/>
        <v>OK</v>
      </c>
      <c r="AL1243" t="str">
        <f t="shared" si="134"/>
        <v>OK</v>
      </c>
      <c r="AM1243" t="str">
        <f t="shared" si="135"/>
        <v>OK</v>
      </c>
      <c r="AN1243" s="1">
        <f>IF(AF1243=0,0,AH1243/AF1243)</f>
        <v>0</v>
      </c>
      <c r="AO1243" s="1">
        <f t="shared" si="136"/>
        <v>0.75</v>
      </c>
      <c r="AP1243" s="1">
        <f t="shared" si="137"/>
        <v>0.5</v>
      </c>
      <c r="AQ1243" s="1">
        <f t="shared" si="138"/>
        <v>0.5</v>
      </c>
    </row>
    <row r="1244" spans="1:43"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133"/>
        <v>OK</v>
      </c>
      <c r="AK1244" t="str">
        <f t="shared" si="139"/>
        <v>OK</v>
      </c>
      <c r="AL1244" t="str">
        <f t="shared" si="134"/>
        <v>OK</v>
      </c>
      <c r="AM1244" t="str">
        <f t="shared" si="135"/>
        <v>OK</v>
      </c>
      <c r="AN1244" s="1">
        <f>IF(AF1244=0,0,AH1244/AF1244)</f>
        <v>0.5714285714285714</v>
      </c>
      <c r="AO1244" s="1">
        <f t="shared" si="136"/>
        <v>0.38095238095238093</v>
      </c>
      <c r="AP1244" s="1">
        <f t="shared" si="137"/>
        <v>0.14285714285714285</v>
      </c>
      <c r="AQ1244" s="1">
        <f t="shared" si="138"/>
        <v>0.38095238095238093</v>
      </c>
    </row>
    <row r="1245" spans="1:43"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133"/>
        <v>OK</v>
      </c>
      <c r="AK1245" t="str">
        <f t="shared" si="139"/>
        <v>OK</v>
      </c>
      <c r="AL1245" t="str">
        <f t="shared" si="134"/>
        <v>OK</v>
      </c>
      <c r="AM1245" t="str">
        <f t="shared" si="135"/>
        <v>OK</v>
      </c>
      <c r="AN1245" s="1">
        <f>IF(AF1245=0,0,AH1245/AF1245)</f>
        <v>0</v>
      </c>
      <c r="AO1245" s="1">
        <f t="shared" si="136"/>
        <v>0</v>
      </c>
      <c r="AP1245" s="1">
        <f t="shared" si="137"/>
        <v>0.4</v>
      </c>
      <c r="AQ1245" s="1">
        <f t="shared" si="138"/>
        <v>0.6</v>
      </c>
    </row>
    <row r="1246" spans="1:43"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133"/>
        <v>OK</v>
      </c>
      <c r="AK1246" t="str">
        <f t="shared" si="139"/>
        <v>OK</v>
      </c>
      <c r="AL1246" t="str">
        <f t="shared" si="134"/>
        <v>OK</v>
      </c>
      <c r="AM1246" t="str">
        <f t="shared" si="135"/>
        <v>OK</v>
      </c>
      <c r="AN1246" s="1">
        <f>IF(AF1246=0,0,AH1246/AF1246)</f>
        <v>0</v>
      </c>
      <c r="AO1246" s="1">
        <f t="shared" si="136"/>
        <v>0.77777777777777779</v>
      </c>
      <c r="AP1246" s="1">
        <f t="shared" si="137"/>
        <v>0.22222222222222221</v>
      </c>
      <c r="AQ1246" s="1">
        <f t="shared" si="138"/>
        <v>0.77777777777777779</v>
      </c>
    </row>
    <row r="1247" spans="1:43"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133"/>
        <v>OK</v>
      </c>
      <c r="AK1247" t="str">
        <f t="shared" si="139"/>
        <v>OK</v>
      </c>
      <c r="AL1247" t="str">
        <f t="shared" si="134"/>
        <v>OK</v>
      </c>
      <c r="AM1247" t="str">
        <f t="shared" si="135"/>
        <v>OK</v>
      </c>
      <c r="AN1247" s="1">
        <f>IF(AF1247=0,0,AH1247/AF1247)</f>
        <v>1</v>
      </c>
      <c r="AO1247" s="1">
        <f t="shared" si="136"/>
        <v>1</v>
      </c>
      <c r="AP1247" s="1">
        <f t="shared" si="137"/>
        <v>1</v>
      </c>
      <c r="AQ1247" s="1">
        <f t="shared" si="138"/>
        <v>0.5</v>
      </c>
    </row>
    <row r="1248" spans="1:43"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133"/>
        <v>OK</v>
      </c>
      <c r="AK1248" t="str">
        <f t="shared" si="139"/>
        <v>OK</v>
      </c>
      <c r="AL1248" t="str">
        <f t="shared" si="134"/>
        <v>OK</v>
      </c>
      <c r="AM1248" t="str">
        <f t="shared" si="135"/>
        <v>OK</v>
      </c>
      <c r="AN1248" s="1">
        <f>IF(AF1248=0,0,AH1248/AF1248)</f>
        <v>0.25</v>
      </c>
      <c r="AO1248" s="1">
        <f t="shared" si="136"/>
        <v>0.5</v>
      </c>
      <c r="AP1248" s="1">
        <f t="shared" si="137"/>
        <v>0</v>
      </c>
      <c r="AQ1248" s="1">
        <f t="shared" si="138"/>
        <v>0.5</v>
      </c>
    </row>
    <row r="1249" spans="1:43"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133"/>
        <v>OK</v>
      </c>
      <c r="AK1249" t="str">
        <f t="shared" si="139"/>
        <v>OK</v>
      </c>
      <c r="AL1249" t="str">
        <f t="shared" si="134"/>
        <v>OK</v>
      </c>
      <c r="AM1249" t="str">
        <f t="shared" si="135"/>
        <v>OK</v>
      </c>
      <c r="AN1249" s="1">
        <f>IF(AF1249=0,0,AH1249/AF1249)</f>
        <v>0</v>
      </c>
      <c r="AO1249" s="1">
        <f t="shared" si="136"/>
        <v>0.4</v>
      </c>
      <c r="AP1249" s="1">
        <f t="shared" si="137"/>
        <v>0.6</v>
      </c>
      <c r="AQ1249" s="1">
        <f t="shared" si="138"/>
        <v>0.4</v>
      </c>
    </row>
    <row r="1250" spans="1:43"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133"/>
        <v>OK</v>
      </c>
      <c r="AK1250" t="str">
        <f t="shared" si="139"/>
        <v>OK</v>
      </c>
      <c r="AL1250" t="str">
        <f t="shared" si="134"/>
        <v>OK</v>
      </c>
      <c r="AM1250" t="str">
        <f t="shared" si="135"/>
        <v>OK</v>
      </c>
      <c r="AN1250" s="1">
        <f>IF(AF1250=0,0,AH1250/AF1250)</f>
        <v>0.16666666666666666</v>
      </c>
      <c r="AO1250" s="1">
        <f t="shared" si="136"/>
        <v>0.33333333333333331</v>
      </c>
      <c r="AP1250" s="1">
        <f t="shared" si="137"/>
        <v>0.83333333333333337</v>
      </c>
      <c r="AQ1250" s="1">
        <f t="shared" si="138"/>
        <v>0.66666666666666663</v>
      </c>
    </row>
    <row r="1251" spans="1:43"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133"/>
        <v>OK</v>
      </c>
      <c r="AK1251" t="str">
        <f t="shared" si="139"/>
        <v>OK</v>
      </c>
      <c r="AL1251" t="str">
        <f t="shared" si="134"/>
        <v>OK</v>
      </c>
      <c r="AM1251" t="str">
        <f t="shared" si="135"/>
        <v>OK</v>
      </c>
      <c r="AN1251" s="1">
        <f>IF(AF1251=0,0,AH1251/AF1251)</f>
        <v>1</v>
      </c>
      <c r="AO1251" s="1">
        <f t="shared" si="136"/>
        <v>1</v>
      </c>
      <c r="AP1251" s="1">
        <f t="shared" si="137"/>
        <v>1.5</v>
      </c>
      <c r="AQ1251" s="1">
        <f t="shared" si="138"/>
        <v>1</v>
      </c>
    </row>
    <row r="1252" spans="1:43"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133"/>
        <v>OK</v>
      </c>
      <c r="AK1252" t="str">
        <f t="shared" si="139"/>
        <v>OK</v>
      </c>
      <c r="AL1252" t="str">
        <f t="shared" si="134"/>
        <v>OK</v>
      </c>
      <c r="AM1252" t="str">
        <f t="shared" si="135"/>
        <v>OK</v>
      </c>
      <c r="AN1252" s="1">
        <f>IF(AF1252=0,0,AH1252/AF1252)</f>
        <v>0</v>
      </c>
      <c r="AO1252" s="1">
        <f t="shared" si="136"/>
        <v>0.66666666666666663</v>
      </c>
      <c r="AP1252" s="1">
        <f t="shared" si="137"/>
        <v>1.6666666666666667</v>
      </c>
      <c r="AQ1252" s="1">
        <f t="shared" si="138"/>
        <v>0.66666666666666663</v>
      </c>
    </row>
    <row r="1253" spans="1:43"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133"/>
        <v>OK</v>
      </c>
      <c r="AK1253" t="str">
        <f t="shared" si="139"/>
        <v>OK</v>
      </c>
      <c r="AL1253" t="str">
        <f t="shared" si="134"/>
        <v>OK</v>
      </c>
      <c r="AM1253" t="str">
        <f t="shared" si="135"/>
        <v>OK</v>
      </c>
      <c r="AN1253" s="1">
        <f>IF(AF1253=0,0,AH1253/AF1253)</f>
        <v>0.14285714285714285</v>
      </c>
      <c r="AO1253" s="1">
        <f t="shared" si="136"/>
        <v>1</v>
      </c>
      <c r="AP1253" s="1">
        <f t="shared" si="137"/>
        <v>0.2857142857142857</v>
      </c>
      <c r="AQ1253" s="1">
        <f t="shared" si="138"/>
        <v>1</v>
      </c>
    </row>
    <row r="1254" spans="1:43"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133"/>
        <v>OK</v>
      </c>
      <c r="AK1254" t="str">
        <f t="shared" si="139"/>
        <v>OK</v>
      </c>
      <c r="AL1254" t="str">
        <f t="shared" si="134"/>
        <v>OK</v>
      </c>
      <c r="AM1254" t="str">
        <f t="shared" si="135"/>
        <v>OK</v>
      </c>
      <c r="AN1254" s="1">
        <f>IF(AF1254=0,0,AH1254/AF1254)</f>
        <v>0.2</v>
      </c>
      <c r="AO1254" s="1">
        <f t="shared" si="136"/>
        <v>0</v>
      </c>
      <c r="AP1254" s="1">
        <f t="shared" si="137"/>
        <v>0.6</v>
      </c>
      <c r="AQ1254" s="1">
        <f t="shared" si="138"/>
        <v>0.4</v>
      </c>
    </row>
    <row r="1255" spans="1:43"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133"/>
        <v>OK</v>
      </c>
      <c r="AK1255" t="str">
        <f t="shared" si="139"/>
        <v>OK</v>
      </c>
      <c r="AL1255" t="str">
        <f t="shared" si="134"/>
        <v>OK</v>
      </c>
      <c r="AM1255" t="str">
        <f t="shared" si="135"/>
        <v>OK</v>
      </c>
      <c r="AN1255" s="1">
        <f>IF(AF1255=0,0,AH1255/AF1255)</f>
        <v>9.0909090909090912E-2</v>
      </c>
      <c r="AO1255" s="1">
        <f t="shared" si="136"/>
        <v>0.63636363636363635</v>
      </c>
      <c r="AP1255" s="1">
        <f t="shared" si="137"/>
        <v>0.18181818181818182</v>
      </c>
      <c r="AQ1255" s="1">
        <f t="shared" si="138"/>
        <v>0.63636363636363635</v>
      </c>
    </row>
    <row r="1256" spans="1:43"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133"/>
        <v>OK</v>
      </c>
      <c r="AK1256" t="str">
        <f t="shared" si="139"/>
        <v>OK</v>
      </c>
      <c r="AL1256" t="str">
        <f t="shared" si="134"/>
        <v>OK</v>
      </c>
      <c r="AM1256" t="str">
        <f t="shared" si="135"/>
        <v>OK</v>
      </c>
      <c r="AN1256" s="1">
        <f>IF(AF1256=0,0,AH1256/AF1256)</f>
        <v>0</v>
      </c>
      <c r="AO1256" s="1">
        <f t="shared" si="136"/>
        <v>0.2</v>
      </c>
      <c r="AP1256" s="1">
        <f t="shared" si="137"/>
        <v>0.2</v>
      </c>
      <c r="AQ1256" s="1">
        <f t="shared" si="138"/>
        <v>0.8</v>
      </c>
    </row>
    <row r="1257" spans="1:43"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133"/>
        <v>OK</v>
      </c>
      <c r="AK1257" t="str">
        <f t="shared" si="139"/>
        <v>OK</v>
      </c>
      <c r="AL1257" t="str">
        <f t="shared" si="134"/>
        <v>OK</v>
      </c>
      <c r="AM1257" t="str">
        <f t="shared" si="135"/>
        <v>OK</v>
      </c>
      <c r="AN1257" s="1">
        <f>IF(AF1257=0,0,AH1257/AF1257)</f>
        <v>0</v>
      </c>
      <c r="AO1257" s="1">
        <f t="shared" si="136"/>
        <v>0</v>
      </c>
      <c r="AP1257" s="1">
        <f t="shared" si="137"/>
        <v>0</v>
      </c>
      <c r="AQ1257" s="1">
        <f t="shared" si="138"/>
        <v>0</v>
      </c>
    </row>
    <row r="1258" spans="1:43"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133"/>
        <v>OK</v>
      </c>
      <c r="AK1258" t="str">
        <f t="shared" si="139"/>
        <v>OK</v>
      </c>
      <c r="AL1258" t="str">
        <f t="shared" si="134"/>
        <v>OK</v>
      </c>
      <c r="AM1258" t="str">
        <f t="shared" si="135"/>
        <v>OK</v>
      </c>
      <c r="AN1258" s="1">
        <f>IF(AF1258=0,0,AH1258/AF1258)</f>
        <v>0</v>
      </c>
      <c r="AO1258" s="1">
        <f t="shared" si="136"/>
        <v>0.16666666666666666</v>
      </c>
      <c r="AP1258" s="1">
        <f t="shared" si="137"/>
        <v>0.66666666666666663</v>
      </c>
      <c r="AQ1258" s="1">
        <f t="shared" si="138"/>
        <v>0.83333333333333337</v>
      </c>
    </row>
    <row r="1259" spans="1:43"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133"/>
        <v>OK</v>
      </c>
      <c r="AK1259" t="str">
        <f t="shared" si="139"/>
        <v>OK</v>
      </c>
      <c r="AL1259" t="str">
        <f t="shared" si="134"/>
        <v>OK</v>
      </c>
      <c r="AM1259" t="str">
        <f t="shared" si="135"/>
        <v>OK</v>
      </c>
      <c r="AN1259" s="1">
        <f>IF(AF1259=0,0,AH1259/AF1259)</f>
        <v>0</v>
      </c>
      <c r="AO1259" s="1">
        <f t="shared" si="136"/>
        <v>0</v>
      </c>
      <c r="AP1259" s="1">
        <f t="shared" si="137"/>
        <v>2</v>
      </c>
      <c r="AQ1259" s="1">
        <f t="shared" si="138"/>
        <v>0</v>
      </c>
    </row>
    <row r="1260" spans="1:43"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133"/>
        <v>OK</v>
      </c>
      <c r="AK1260" t="str">
        <f t="shared" si="139"/>
        <v>OK</v>
      </c>
      <c r="AL1260" t="str">
        <f t="shared" si="134"/>
        <v>OK</v>
      </c>
      <c r="AM1260" t="str">
        <f t="shared" si="135"/>
        <v>OK</v>
      </c>
      <c r="AN1260" s="1">
        <f>IF(AF1260=0,0,AH1260/AF1260)</f>
        <v>0</v>
      </c>
      <c r="AO1260" s="1">
        <f t="shared" si="136"/>
        <v>0</v>
      </c>
      <c r="AP1260" s="1">
        <f t="shared" si="137"/>
        <v>2</v>
      </c>
      <c r="AQ1260" s="1">
        <f t="shared" si="138"/>
        <v>0</v>
      </c>
    </row>
    <row r="1261" spans="1:43"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133"/>
        <v>OK</v>
      </c>
      <c r="AK1261" t="str">
        <f t="shared" si="139"/>
        <v>OK</v>
      </c>
      <c r="AL1261" t="str">
        <f t="shared" si="134"/>
        <v>OK</v>
      </c>
      <c r="AM1261" t="str">
        <f t="shared" si="135"/>
        <v>OK</v>
      </c>
      <c r="AN1261" s="1">
        <f>IF(AF1261=0,0,AH1261/AF1261)</f>
        <v>0.14285714285714285</v>
      </c>
      <c r="AO1261" s="1">
        <f t="shared" si="136"/>
        <v>0</v>
      </c>
      <c r="AP1261" s="1">
        <f t="shared" si="137"/>
        <v>0.42857142857142855</v>
      </c>
      <c r="AQ1261" s="1">
        <f t="shared" si="138"/>
        <v>1</v>
      </c>
    </row>
    <row r="1262" spans="1:43"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133"/>
        <v>OK</v>
      </c>
      <c r="AK1262" t="str">
        <f t="shared" si="139"/>
        <v>OK</v>
      </c>
      <c r="AL1262" t="str">
        <f t="shared" si="134"/>
        <v>OK</v>
      </c>
      <c r="AM1262" t="str">
        <f t="shared" si="135"/>
        <v>OK</v>
      </c>
      <c r="AN1262" s="1">
        <f>IF(AF1262=0,0,AH1262/AF1262)</f>
        <v>0</v>
      </c>
      <c r="AO1262" s="1">
        <f t="shared" si="136"/>
        <v>1</v>
      </c>
      <c r="AP1262" s="1">
        <f t="shared" si="137"/>
        <v>0.42857142857142855</v>
      </c>
      <c r="AQ1262" s="1">
        <f t="shared" si="138"/>
        <v>1</v>
      </c>
    </row>
    <row r="1263" spans="1:43"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133"/>
        <v>OK</v>
      </c>
      <c r="AK1263" t="str">
        <f t="shared" si="139"/>
        <v>OK</v>
      </c>
      <c r="AL1263" t="str">
        <f t="shared" si="134"/>
        <v>OK</v>
      </c>
      <c r="AM1263" t="str">
        <f t="shared" si="135"/>
        <v>OK</v>
      </c>
      <c r="AN1263" s="1">
        <f>IF(AF1263=0,0,AH1263/AF1263)</f>
        <v>1</v>
      </c>
      <c r="AO1263" s="1">
        <f t="shared" si="136"/>
        <v>0</v>
      </c>
      <c r="AP1263" s="1">
        <f t="shared" si="137"/>
        <v>2</v>
      </c>
      <c r="AQ1263" s="1">
        <f t="shared" si="138"/>
        <v>0</v>
      </c>
    </row>
    <row r="1264" spans="1:43"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133"/>
        <v>OK</v>
      </c>
      <c r="AK1264" t="str">
        <f t="shared" si="139"/>
        <v>OK</v>
      </c>
      <c r="AL1264" t="str">
        <f t="shared" si="134"/>
        <v>OK</v>
      </c>
      <c r="AM1264" t="str">
        <f t="shared" si="135"/>
        <v>OK</v>
      </c>
      <c r="AN1264" s="1">
        <f>IF(AF1264=0,0,AH1264/AF1264)</f>
        <v>0</v>
      </c>
      <c r="AO1264" s="1">
        <f t="shared" si="136"/>
        <v>0</v>
      </c>
      <c r="AP1264" s="1">
        <f t="shared" si="137"/>
        <v>4</v>
      </c>
      <c r="AQ1264" s="1">
        <f t="shared" si="138"/>
        <v>0</v>
      </c>
    </row>
    <row r="1265" spans="1:43"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133"/>
        <v>OK</v>
      </c>
      <c r="AK1265" t="str">
        <f t="shared" si="139"/>
        <v>OK</v>
      </c>
      <c r="AL1265" t="str">
        <f t="shared" si="134"/>
        <v>OK</v>
      </c>
      <c r="AM1265" t="str">
        <f t="shared" si="135"/>
        <v>OK</v>
      </c>
      <c r="AN1265" s="1">
        <f>IF(AF1265=0,0,AH1265/AF1265)</f>
        <v>0</v>
      </c>
      <c r="AO1265" s="1">
        <f t="shared" si="136"/>
        <v>0.6</v>
      </c>
      <c r="AP1265" s="1">
        <f t="shared" si="137"/>
        <v>1.2</v>
      </c>
      <c r="AQ1265" s="1">
        <f t="shared" si="138"/>
        <v>0.8</v>
      </c>
    </row>
    <row r="1266" spans="1:43"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133"/>
        <v>OK</v>
      </c>
      <c r="AK1266" t="str">
        <f t="shared" si="139"/>
        <v>OK</v>
      </c>
      <c r="AL1266" t="str">
        <f t="shared" si="134"/>
        <v>OK</v>
      </c>
      <c r="AM1266" t="str">
        <f t="shared" si="135"/>
        <v>OK</v>
      </c>
      <c r="AN1266" s="1">
        <f>IF(AF1266=0,0,AH1266/AF1266)</f>
        <v>0</v>
      </c>
      <c r="AO1266" s="1">
        <f t="shared" si="136"/>
        <v>0</v>
      </c>
      <c r="AP1266" s="1">
        <f t="shared" si="137"/>
        <v>2</v>
      </c>
      <c r="AQ1266" s="1">
        <f t="shared" si="138"/>
        <v>0</v>
      </c>
    </row>
    <row r="1267" spans="1:43"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133"/>
        <v>OK</v>
      </c>
      <c r="AK1267" t="str">
        <f t="shared" si="139"/>
        <v>OK</v>
      </c>
      <c r="AL1267" t="str">
        <f t="shared" si="134"/>
        <v>OK</v>
      </c>
      <c r="AM1267" t="str">
        <f t="shared" si="135"/>
        <v>OK</v>
      </c>
      <c r="AN1267" s="1">
        <f>IF(AF1267=0,0,AH1267/AF1267)</f>
        <v>0.1111111111111111</v>
      </c>
      <c r="AO1267" s="1">
        <f t="shared" si="136"/>
        <v>0.88888888888888884</v>
      </c>
      <c r="AP1267" s="1">
        <f t="shared" si="137"/>
        <v>0.22222222222222221</v>
      </c>
      <c r="AQ1267" s="1">
        <f t="shared" si="138"/>
        <v>0.77777777777777779</v>
      </c>
    </row>
    <row r="1268" spans="1:43"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133"/>
        <v>OK</v>
      </c>
      <c r="AK1268" t="str">
        <f t="shared" si="139"/>
        <v>OK</v>
      </c>
      <c r="AL1268" t="str">
        <f t="shared" si="134"/>
        <v>OK</v>
      </c>
      <c r="AM1268" t="str">
        <f t="shared" si="135"/>
        <v>OK</v>
      </c>
      <c r="AN1268" s="1">
        <f>IF(AF1268=0,0,AH1268/AF1268)</f>
        <v>0</v>
      </c>
      <c r="AO1268" s="1">
        <f t="shared" si="136"/>
        <v>0.6</v>
      </c>
      <c r="AP1268" s="1">
        <f t="shared" si="137"/>
        <v>0.4</v>
      </c>
      <c r="AQ1268" s="1">
        <f t="shared" si="138"/>
        <v>0.8</v>
      </c>
    </row>
    <row r="1269" spans="1:43"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133"/>
        <v>OK</v>
      </c>
      <c r="AK1269" t="str">
        <f t="shared" si="139"/>
        <v>OK</v>
      </c>
      <c r="AL1269" t="str">
        <f t="shared" si="134"/>
        <v>OK</v>
      </c>
      <c r="AM1269" t="str">
        <f t="shared" si="135"/>
        <v>OK</v>
      </c>
      <c r="AN1269" s="1">
        <f>IF(AF1269=0,0,AH1269/AF1269)</f>
        <v>0</v>
      </c>
      <c r="AO1269" s="1">
        <f t="shared" si="136"/>
        <v>0.93333333333333335</v>
      </c>
      <c r="AP1269" s="1">
        <f t="shared" si="137"/>
        <v>0.2</v>
      </c>
      <c r="AQ1269" s="1">
        <f t="shared" si="138"/>
        <v>0.46666666666666667</v>
      </c>
    </row>
    <row r="1270" spans="1:43"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133"/>
        <v>OK</v>
      </c>
      <c r="AK1270" t="str">
        <f t="shared" si="139"/>
        <v>OK</v>
      </c>
      <c r="AL1270" t="str">
        <f t="shared" si="134"/>
        <v>OK</v>
      </c>
      <c r="AM1270" t="str">
        <f t="shared" si="135"/>
        <v>OK</v>
      </c>
      <c r="AN1270" s="1">
        <f>IF(AF1270=0,0,AH1270/AF1270)</f>
        <v>0</v>
      </c>
      <c r="AO1270" s="1">
        <f t="shared" si="136"/>
        <v>0.66666666666666663</v>
      </c>
      <c r="AP1270" s="1">
        <f t="shared" si="137"/>
        <v>0.66666666666666663</v>
      </c>
      <c r="AQ1270" s="1">
        <f t="shared" si="138"/>
        <v>0.66666666666666663</v>
      </c>
    </row>
    <row r="1271" spans="1:43"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133"/>
        <v>OK</v>
      </c>
      <c r="AK1271" t="str">
        <f t="shared" si="139"/>
        <v>OK</v>
      </c>
      <c r="AL1271" t="str">
        <f t="shared" si="134"/>
        <v>OK</v>
      </c>
      <c r="AM1271" t="str">
        <f t="shared" si="135"/>
        <v>OK</v>
      </c>
      <c r="AN1271" s="1">
        <f>IF(AF1271=0,0,AH1271/AF1271)</f>
        <v>0.1111111111111111</v>
      </c>
      <c r="AO1271" s="1">
        <f t="shared" si="136"/>
        <v>0.77777777777777779</v>
      </c>
      <c r="AP1271" s="1">
        <f t="shared" si="137"/>
        <v>0.55555555555555558</v>
      </c>
      <c r="AQ1271" s="1">
        <f t="shared" si="138"/>
        <v>0.88888888888888884</v>
      </c>
    </row>
    <row r="1272" spans="1:43"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133"/>
        <v>OK</v>
      </c>
      <c r="AK1272" t="str">
        <f t="shared" si="139"/>
        <v>OK</v>
      </c>
      <c r="AL1272" t="str">
        <f t="shared" si="134"/>
        <v>OK</v>
      </c>
      <c r="AM1272" t="str">
        <f t="shared" si="135"/>
        <v>OK</v>
      </c>
      <c r="AN1272" s="1">
        <f>IF(AF1272=0,0,AH1272/AF1272)</f>
        <v>1</v>
      </c>
      <c r="AO1272" s="1">
        <f t="shared" si="136"/>
        <v>1</v>
      </c>
      <c r="AP1272" s="1">
        <f t="shared" si="137"/>
        <v>1.5</v>
      </c>
      <c r="AQ1272" s="1">
        <f t="shared" si="138"/>
        <v>1</v>
      </c>
    </row>
    <row r="1273" spans="1:43"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133"/>
        <v>OK</v>
      </c>
      <c r="AK1273" t="str">
        <f t="shared" si="139"/>
        <v>OK</v>
      </c>
      <c r="AL1273" t="str">
        <f t="shared" si="134"/>
        <v>OK</v>
      </c>
      <c r="AM1273" t="str">
        <f t="shared" si="135"/>
        <v>OK</v>
      </c>
      <c r="AN1273" s="1">
        <f>IF(AF1273=0,0,AH1273/AF1273)</f>
        <v>1</v>
      </c>
      <c r="AO1273" s="1">
        <f t="shared" si="136"/>
        <v>0</v>
      </c>
      <c r="AP1273" s="1">
        <f t="shared" si="137"/>
        <v>3</v>
      </c>
      <c r="AQ1273" s="1">
        <f t="shared" si="138"/>
        <v>0</v>
      </c>
    </row>
    <row r="1274" spans="1:43"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133"/>
        <v>OK</v>
      </c>
      <c r="AK1274" t="str">
        <f t="shared" si="139"/>
        <v>OK</v>
      </c>
      <c r="AL1274" t="str">
        <f t="shared" si="134"/>
        <v>OK</v>
      </c>
      <c r="AM1274" t="str">
        <f t="shared" si="135"/>
        <v>OK</v>
      </c>
      <c r="AN1274" s="1">
        <f>IF(AF1274=0,0,AH1274/AF1274)</f>
        <v>0</v>
      </c>
      <c r="AO1274" s="1">
        <f t="shared" si="136"/>
        <v>0.8</v>
      </c>
      <c r="AP1274" s="1">
        <f t="shared" si="137"/>
        <v>0.6</v>
      </c>
      <c r="AQ1274" s="1">
        <f t="shared" si="138"/>
        <v>0.8</v>
      </c>
    </row>
    <row r="1275" spans="1:43"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133"/>
        <v>OK</v>
      </c>
      <c r="AK1275" t="str">
        <f t="shared" si="139"/>
        <v>OK</v>
      </c>
      <c r="AL1275" t="str">
        <f t="shared" si="134"/>
        <v>OK</v>
      </c>
      <c r="AM1275" t="str">
        <f t="shared" si="135"/>
        <v>OK</v>
      </c>
      <c r="AN1275" s="1">
        <f>IF(AF1275=0,0,AH1275/AF1275)</f>
        <v>0</v>
      </c>
      <c r="AO1275" s="1">
        <f t="shared" si="136"/>
        <v>0</v>
      </c>
      <c r="AP1275" s="1">
        <f t="shared" si="137"/>
        <v>6</v>
      </c>
      <c r="AQ1275" s="1">
        <f t="shared" si="138"/>
        <v>0</v>
      </c>
    </row>
    <row r="1276" spans="1:43"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133"/>
        <v>OK</v>
      </c>
      <c r="AK1276" t="str">
        <f t="shared" si="139"/>
        <v>OK</v>
      </c>
      <c r="AL1276" t="str">
        <f t="shared" si="134"/>
        <v>OK</v>
      </c>
      <c r="AM1276" t="str">
        <f t="shared" si="135"/>
        <v>OK</v>
      </c>
      <c r="AN1276" s="1">
        <f>IF(AF1276=0,0,AH1276/AF1276)</f>
        <v>0.41666666666666669</v>
      </c>
      <c r="AO1276" s="1">
        <f t="shared" si="136"/>
        <v>0.58333333333333337</v>
      </c>
      <c r="AP1276" s="1">
        <f t="shared" si="137"/>
        <v>0.25</v>
      </c>
      <c r="AQ1276" s="1">
        <f t="shared" si="138"/>
        <v>0.58333333333333337</v>
      </c>
    </row>
    <row r="1277" spans="1:43"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133"/>
        <v>OK</v>
      </c>
      <c r="AK1277" t="str">
        <f t="shared" si="139"/>
        <v>OK</v>
      </c>
      <c r="AL1277" t="str">
        <f t="shared" si="134"/>
        <v>OK</v>
      </c>
      <c r="AM1277" t="str">
        <f t="shared" si="135"/>
        <v>OK</v>
      </c>
      <c r="AN1277" s="1">
        <f>IF(AF1277=0,0,AH1277/AF1277)</f>
        <v>1</v>
      </c>
      <c r="AO1277" s="1">
        <f t="shared" si="136"/>
        <v>1</v>
      </c>
      <c r="AP1277" s="1">
        <f t="shared" si="137"/>
        <v>1</v>
      </c>
      <c r="AQ1277" s="1">
        <f t="shared" si="138"/>
        <v>1</v>
      </c>
    </row>
    <row r="1278" spans="1:43"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133"/>
        <v>OK</v>
      </c>
      <c r="AK1278" t="str">
        <f t="shared" si="139"/>
        <v>OK</v>
      </c>
      <c r="AL1278" t="str">
        <f t="shared" si="134"/>
        <v>OK</v>
      </c>
      <c r="AM1278" t="str">
        <f t="shared" si="135"/>
        <v>OK</v>
      </c>
      <c r="AN1278" s="1">
        <f>IF(AF1278=0,0,AH1278/AF1278)</f>
        <v>0</v>
      </c>
      <c r="AO1278" s="1">
        <f t="shared" si="136"/>
        <v>0.4</v>
      </c>
      <c r="AP1278" s="1">
        <f t="shared" si="137"/>
        <v>0.4</v>
      </c>
      <c r="AQ1278" s="1">
        <f t="shared" si="138"/>
        <v>0.6</v>
      </c>
    </row>
    <row r="1279" spans="1:43"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133"/>
        <v>OK</v>
      </c>
      <c r="AK1279" t="str">
        <f t="shared" si="139"/>
        <v>OK</v>
      </c>
      <c r="AL1279" t="str">
        <f t="shared" si="134"/>
        <v>OK</v>
      </c>
      <c r="AM1279" t="str">
        <f t="shared" si="135"/>
        <v>OK</v>
      </c>
      <c r="AN1279" s="1">
        <f>IF(AF1279=0,0,AH1279/AF1279)</f>
        <v>1</v>
      </c>
      <c r="AO1279" s="1">
        <f t="shared" si="136"/>
        <v>0.5</v>
      </c>
      <c r="AP1279" s="1">
        <f t="shared" si="137"/>
        <v>1.5</v>
      </c>
      <c r="AQ1279" s="1">
        <f t="shared" si="138"/>
        <v>1</v>
      </c>
    </row>
    <row r="1280" spans="1:43"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133"/>
        <v>OK</v>
      </c>
      <c r="AK1280" t="str">
        <f t="shared" si="139"/>
        <v>OK</v>
      </c>
      <c r="AL1280" t="str">
        <f t="shared" si="134"/>
        <v>OK</v>
      </c>
      <c r="AM1280" t="str">
        <f t="shared" si="135"/>
        <v>OK</v>
      </c>
      <c r="AN1280" s="1">
        <f>IF(AF1280=0,0,AH1280/AF1280)</f>
        <v>0.41666666666666669</v>
      </c>
      <c r="AO1280" s="1">
        <f t="shared" si="136"/>
        <v>0.66666666666666663</v>
      </c>
      <c r="AP1280" s="1">
        <f t="shared" si="137"/>
        <v>8.3333333333333329E-2</v>
      </c>
      <c r="AQ1280" s="1">
        <f t="shared" si="138"/>
        <v>0.58333333333333337</v>
      </c>
    </row>
    <row r="1281" spans="1:43"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133"/>
        <v>OK</v>
      </c>
      <c r="AK1281" t="str">
        <f t="shared" si="139"/>
        <v>OK</v>
      </c>
      <c r="AL1281" t="str">
        <f t="shared" si="134"/>
        <v>OK</v>
      </c>
      <c r="AM1281" t="str">
        <f t="shared" si="135"/>
        <v>OK</v>
      </c>
      <c r="AN1281" s="1">
        <f>IF(AF1281=0,0,AH1281/AF1281)</f>
        <v>0.4</v>
      </c>
      <c r="AO1281" s="1">
        <f t="shared" si="136"/>
        <v>0.6</v>
      </c>
      <c r="AP1281" s="1">
        <f t="shared" si="137"/>
        <v>0.4</v>
      </c>
      <c r="AQ1281" s="1">
        <f t="shared" si="138"/>
        <v>0.6</v>
      </c>
    </row>
    <row r="1282" spans="1:43"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si="133"/>
        <v>OK</v>
      </c>
      <c r="AK1282" t="str">
        <f t="shared" si="139"/>
        <v>OK</v>
      </c>
      <c r="AL1282" t="str">
        <f t="shared" si="134"/>
        <v>OK</v>
      </c>
      <c r="AM1282" t="str">
        <f t="shared" si="135"/>
        <v>OK</v>
      </c>
      <c r="AN1282" s="1">
        <f>IF(AF1282=0,0,AH1282/AF1282)</f>
        <v>0.4</v>
      </c>
      <c r="AO1282" s="1">
        <f t="shared" si="136"/>
        <v>0</v>
      </c>
      <c r="AP1282" s="1">
        <f t="shared" si="137"/>
        <v>0.4</v>
      </c>
      <c r="AQ1282" s="1">
        <f t="shared" si="138"/>
        <v>0.7</v>
      </c>
    </row>
    <row r="1283" spans="1:43"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ref="AJ1283:AJ1346" si="140">IF(AF1283&lt;=AC1283, "OK", "ERROR")</f>
        <v>OK</v>
      </c>
      <c r="AK1283" t="str">
        <f t="shared" si="139"/>
        <v>OK</v>
      </c>
      <c r="AL1283" t="str">
        <f t="shared" ref="AL1283:AL1346" si="141">IF(AG1283&lt;=AF1283,"OK","ERROR")</f>
        <v>OK</v>
      </c>
      <c r="AM1283" t="str">
        <f t="shared" ref="AM1283:AM1346" si="142">IF(AI1283&lt;=AF1283,"OK","ERROR")</f>
        <v>OK</v>
      </c>
      <c r="AN1283" s="1">
        <f>IF(AF1283=0,0,AH1283/AF1283)</f>
        <v>0.7</v>
      </c>
      <c r="AO1283" s="1">
        <f t="shared" ref="AO1283:AO1346" si="143">IF(AF1283=0,0,AG1283/AF1283)</f>
        <v>0.7</v>
      </c>
      <c r="AP1283" s="1">
        <f t="shared" ref="AP1283:AP1346" si="144">IF(AF1283=0,0,AD1283/AF1283)</f>
        <v>0.2</v>
      </c>
      <c r="AQ1283" s="1">
        <f t="shared" ref="AQ1283:AQ1346" si="145">IF(AF1283=0,0,AI1283/AF1283)</f>
        <v>0.7</v>
      </c>
    </row>
    <row r="1284" spans="1:43"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140"/>
        <v>OK</v>
      </c>
      <c r="AK1284" t="str">
        <f t="shared" ref="AK1284:AK1347" si="146">IF(AH1284&lt;=AF1284,"OK", "ERROR")</f>
        <v>OK</v>
      </c>
      <c r="AL1284" t="str">
        <f t="shared" si="141"/>
        <v>OK</v>
      </c>
      <c r="AM1284" t="str">
        <f t="shared" si="142"/>
        <v>OK</v>
      </c>
      <c r="AN1284" s="1">
        <f>IF(AF1284=0,0,AH1284/AF1284)</f>
        <v>0.7</v>
      </c>
      <c r="AO1284" s="1">
        <f t="shared" si="143"/>
        <v>0.8</v>
      </c>
      <c r="AP1284" s="1">
        <f t="shared" si="144"/>
        <v>0.1</v>
      </c>
      <c r="AQ1284" s="1">
        <f t="shared" si="145"/>
        <v>0.6</v>
      </c>
    </row>
    <row r="1285" spans="1:43"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140"/>
        <v>OK</v>
      </c>
      <c r="AK1285" t="str">
        <f t="shared" si="146"/>
        <v>OK</v>
      </c>
      <c r="AL1285" t="str">
        <f t="shared" si="141"/>
        <v>OK</v>
      </c>
      <c r="AM1285" t="str">
        <f t="shared" si="142"/>
        <v>OK</v>
      </c>
      <c r="AN1285" s="1">
        <f>IF(AF1285=0,0,AH1285/AF1285)</f>
        <v>0</v>
      </c>
      <c r="AO1285" s="1">
        <f t="shared" si="143"/>
        <v>0.6</v>
      </c>
      <c r="AP1285" s="1">
        <f t="shared" si="144"/>
        <v>1.2</v>
      </c>
      <c r="AQ1285" s="1">
        <f t="shared" si="145"/>
        <v>0.6</v>
      </c>
    </row>
    <row r="1286" spans="1:43"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140"/>
        <v>OK</v>
      </c>
      <c r="AK1286" t="str">
        <f t="shared" si="146"/>
        <v>OK</v>
      </c>
      <c r="AL1286" t="str">
        <f t="shared" si="141"/>
        <v>OK</v>
      </c>
      <c r="AM1286" t="str">
        <f t="shared" si="142"/>
        <v>OK</v>
      </c>
      <c r="AN1286" s="1">
        <f>IF(AF1286=0,0,AH1286/AF1286)</f>
        <v>0.5</v>
      </c>
      <c r="AO1286" s="1">
        <f t="shared" si="143"/>
        <v>0.75</v>
      </c>
      <c r="AP1286" s="1">
        <f t="shared" si="144"/>
        <v>0.75</v>
      </c>
      <c r="AQ1286" s="1">
        <f t="shared" si="145"/>
        <v>0.5</v>
      </c>
    </row>
    <row r="1287" spans="1:43"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140"/>
        <v>OK</v>
      </c>
      <c r="AK1287" t="str">
        <f t="shared" si="146"/>
        <v>OK</v>
      </c>
      <c r="AL1287" t="str">
        <f t="shared" si="141"/>
        <v>OK</v>
      </c>
      <c r="AM1287" t="str">
        <f t="shared" si="142"/>
        <v>OK</v>
      </c>
      <c r="AN1287" s="1">
        <f>IF(AF1287=0,0,AH1287/AF1287)</f>
        <v>1</v>
      </c>
      <c r="AO1287" s="1">
        <f t="shared" si="143"/>
        <v>1</v>
      </c>
      <c r="AP1287" s="1">
        <f t="shared" si="144"/>
        <v>1.5</v>
      </c>
      <c r="AQ1287" s="1">
        <f t="shared" si="145"/>
        <v>1</v>
      </c>
    </row>
    <row r="1288" spans="1:43"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140"/>
        <v>OK</v>
      </c>
      <c r="AK1288" t="str">
        <f t="shared" si="146"/>
        <v>OK</v>
      </c>
      <c r="AL1288" t="str">
        <f t="shared" si="141"/>
        <v>OK</v>
      </c>
      <c r="AM1288" t="str">
        <f t="shared" si="142"/>
        <v>OK</v>
      </c>
      <c r="AN1288" s="1">
        <f>IF(AF1288=0,0,AH1288/AF1288)</f>
        <v>0</v>
      </c>
      <c r="AO1288" s="1">
        <f t="shared" si="143"/>
        <v>0.75</v>
      </c>
      <c r="AP1288" s="1">
        <f t="shared" si="144"/>
        <v>1.25</v>
      </c>
      <c r="AQ1288" s="1">
        <f t="shared" si="145"/>
        <v>0.5</v>
      </c>
    </row>
    <row r="1289" spans="1:43"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140"/>
        <v>OK</v>
      </c>
      <c r="AK1289" t="str">
        <f t="shared" si="146"/>
        <v>OK</v>
      </c>
      <c r="AL1289" t="str">
        <f t="shared" si="141"/>
        <v>OK</v>
      </c>
      <c r="AM1289" t="str">
        <f t="shared" si="142"/>
        <v>OK</v>
      </c>
      <c r="AN1289" s="1">
        <f>IF(AF1289=0,0,AH1289/AF1289)</f>
        <v>0</v>
      </c>
      <c r="AO1289" s="1">
        <f t="shared" si="143"/>
        <v>0</v>
      </c>
      <c r="AP1289" s="1">
        <f t="shared" si="144"/>
        <v>0</v>
      </c>
      <c r="AQ1289" s="1">
        <f t="shared" si="145"/>
        <v>0</v>
      </c>
    </row>
    <row r="1290" spans="1:43"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140"/>
        <v>OK</v>
      </c>
      <c r="AK1290" t="str">
        <f t="shared" si="146"/>
        <v>OK</v>
      </c>
      <c r="AL1290" t="str">
        <f t="shared" si="141"/>
        <v>OK</v>
      </c>
      <c r="AM1290" t="str">
        <f t="shared" si="142"/>
        <v>OK</v>
      </c>
      <c r="AN1290" s="1">
        <f>IF(AF1290=0,0,AH1290/AF1290)</f>
        <v>0.14285714285714285</v>
      </c>
      <c r="AO1290" s="1">
        <f t="shared" si="143"/>
        <v>1</v>
      </c>
      <c r="AP1290" s="1">
        <f t="shared" si="144"/>
        <v>0.8571428571428571</v>
      </c>
      <c r="AQ1290" s="1">
        <f t="shared" si="145"/>
        <v>1</v>
      </c>
    </row>
    <row r="1291" spans="1:43"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140"/>
        <v>OK</v>
      </c>
      <c r="AK1291" t="str">
        <f t="shared" si="146"/>
        <v>OK</v>
      </c>
      <c r="AL1291" t="str">
        <f t="shared" si="141"/>
        <v>OK</v>
      </c>
      <c r="AM1291" t="str">
        <f t="shared" si="142"/>
        <v>OK</v>
      </c>
      <c r="AN1291" s="1">
        <f>IF(AF1291=0,0,AH1291/AF1291)</f>
        <v>0.27272727272727271</v>
      </c>
      <c r="AO1291" s="1">
        <f t="shared" si="143"/>
        <v>0.90909090909090906</v>
      </c>
      <c r="AP1291" s="1">
        <f t="shared" si="144"/>
        <v>0.27272727272727271</v>
      </c>
      <c r="AQ1291" s="1">
        <f t="shared" si="145"/>
        <v>0.72727272727272729</v>
      </c>
    </row>
    <row r="1292" spans="1:43"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140"/>
        <v>OK</v>
      </c>
      <c r="AK1292" t="str">
        <f t="shared" si="146"/>
        <v>OK</v>
      </c>
      <c r="AL1292" t="str">
        <f t="shared" si="141"/>
        <v>OK</v>
      </c>
      <c r="AM1292" t="str">
        <f t="shared" si="142"/>
        <v>OK</v>
      </c>
      <c r="AN1292" s="1">
        <f>IF(AF1292=0,0,AH1292/AF1292)</f>
        <v>0</v>
      </c>
      <c r="AO1292" s="1">
        <f t="shared" si="143"/>
        <v>0.14285714285714285</v>
      </c>
      <c r="AP1292" s="1">
        <f t="shared" si="144"/>
        <v>0.42857142857142855</v>
      </c>
      <c r="AQ1292" s="1">
        <f t="shared" si="145"/>
        <v>1</v>
      </c>
    </row>
    <row r="1293" spans="1:43"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140"/>
        <v>OK</v>
      </c>
      <c r="AK1293" t="str">
        <f t="shared" si="146"/>
        <v>OK</v>
      </c>
      <c r="AL1293" t="str">
        <f t="shared" si="141"/>
        <v>OK</v>
      </c>
      <c r="AM1293" t="str">
        <f t="shared" si="142"/>
        <v>OK</v>
      </c>
      <c r="AN1293" s="1">
        <f>IF(AF1293=0,0,AH1293/AF1293)</f>
        <v>0</v>
      </c>
      <c r="AO1293" s="1">
        <f t="shared" si="143"/>
        <v>0.3</v>
      </c>
      <c r="AP1293" s="1">
        <f t="shared" si="144"/>
        <v>0.4</v>
      </c>
      <c r="AQ1293" s="1">
        <f t="shared" si="145"/>
        <v>0.8</v>
      </c>
    </row>
    <row r="1294" spans="1:43"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140"/>
        <v>OK</v>
      </c>
      <c r="AK1294" t="str">
        <f t="shared" si="146"/>
        <v>OK</v>
      </c>
      <c r="AL1294" t="str">
        <f t="shared" si="141"/>
        <v>OK</v>
      </c>
      <c r="AM1294" t="str">
        <f t="shared" si="142"/>
        <v>OK</v>
      </c>
      <c r="AN1294" s="1">
        <f>IF(AF1294=0,0,AH1294/AF1294)</f>
        <v>1</v>
      </c>
      <c r="AO1294" s="1">
        <f t="shared" si="143"/>
        <v>0.5</v>
      </c>
      <c r="AP1294" s="1">
        <f t="shared" si="144"/>
        <v>3</v>
      </c>
      <c r="AQ1294" s="1">
        <f t="shared" si="145"/>
        <v>1</v>
      </c>
    </row>
    <row r="1295" spans="1:43"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140"/>
        <v>OK</v>
      </c>
      <c r="AK1295" t="str">
        <f t="shared" si="146"/>
        <v>OK</v>
      </c>
      <c r="AL1295" t="str">
        <f t="shared" si="141"/>
        <v>OK</v>
      </c>
      <c r="AM1295" t="str">
        <f t="shared" si="142"/>
        <v>OK</v>
      </c>
      <c r="AN1295" s="1">
        <f>IF(AF1295=0,0,AH1295/AF1295)</f>
        <v>0.33333333333333331</v>
      </c>
      <c r="AO1295" s="1">
        <f t="shared" si="143"/>
        <v>0.66666666666666663</v>
      </c>
      <c r="AP1295" s="1">
        <f t="shared" si="144"/>
        <v>0.66666666666666663</v>
      </c>
      <c r="AQ1295" s="1">
        <f t="shared" si="145"/>
        <v>0.66666666666666663</v>
      </c>
    </row>
    <row r="1296" spans="1:43"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140"/>
        <v>OK</v>
      </c>
      <c r="AK1296" t="str">
        <f t="shared" si="146"/>
        <v>OK</v>
      </c>
      <c r="AL1296" t="str">
        <f t="shared" si="141"/>
        <v>OK</v>
      </c>
      <c r="AM1296" t="str">
        <f t="shared" si="142"/>
        <v>OK</v>
      </c>
      <c r="AN1296" s="1">
        <f>IF(AF1296=0,0,AH1296/AF1296)</f>
        <v>0.33333333333333331</v>
      </c>
      <c r="AO1296" s="1">
        <f t="shared" si="143"/>
        <v>0.66666666666666663</v>
      </c>
      <c r="AP1296" s="1">
        <f t="shared" si="144"/>
        <v>1</v>
      </c>
      <c r="AQ1296" s="1">
        <f t="shared" si="145"/>
        <v>0.66666666666666663</v>
      </c>
    </row>
    <row r="1297" spans="1:43"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140"/>
        <v>OK</v>
      </c>
      <c r="AK1297" t="str">
        <f t="shared" si="146"/>
        <v>OK</v>
      </c>
      <c r="AL1297" t="str">
        <f t="shared" si="141"/>
        <v>OK</v>
      </c>
      <c r="AM1297" t="str">
        <f t="shared" si="142"/>
        <v>OK</v>
      </c>
      <c r="AN1297" s="1">
        <f>IF(AF1297=0,0,AH1297/AF1297)</f>
        <v>0.59090909090909094</v>
      </c>
      <c r="AO1297" s="1">
        <f t="shared" si="143"/>
        <v>0.63636363636363635</v>
      </c>
      <c r="AP1297" s="1">
        <f t="shared" si="144"/>
        <v>0.13636363636363635</v>
      </c>
      <c r="AQ1297" s="1">
        <f t="shared" si="145"/>
        <v>0.22727272727272727</v>
      </c>
    </row>
    <row r="1298" spans="1:43"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140"/>
        <v>OK</v>
      </c>
      <c r="AK1298" t="str">
        <f t="shared" si="146"/>
        <v>OK</v>
      </c>
      <c r="AL1298" t="str">
        <f t="shared" si="141"/>
        <v>OK</v>
      </c>
      <c r="AM1298" t="str">
        <f t="shared" si="142"/>
        <v>OK</v>
      </c>
      <c r="AN1298" s="1">
        <f>IF(AF1298=0,0,AH1298/AF1298)</f>
        <v>0</v>
      </c>
      <c r="AO1298" s="1">
        <f t="shared" si="143"/>
        <v>1</v>
      </c>
      <c r="AP1298" s="1">
        <f t="shared" si="144"/>
        <v>0.42857142857142855</v>
      </c>
      <c r="AQ1298" s="1">
        <f t="shared" si="145"/>
        <v>0.2857142857142857</v>
      </c>
    </row>
    <row r="1299" spans="1:43"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140"/>
        <v>OK</v>
      </c>
      <c r="AK1299" t="str">
        <f t="shared" si="146"/>
        <v>OK</v>
      </c>
      <c r="AL1299" t="str">
        <f t="shared" si="141"/>
        <v>OK</v>
      </c>
      <c r="AM1299" t="str">
        <f t="shared" si="142"/>
        <v>OK</v>
      </c>
      <c r="AN1299" s="1">
        <f>IF(AF1299=0,0,AH1299/AF1299)</f>
        <v>0.2</v>
      </c>
      <c r="AO1299" s="1">
        <f t="shared" si="143"/>
        <v>0.2</v>
      </c>
      <c r="AP1299" s="1">
        <f t="shared" si="144"/>
        <v>0.6</v>
      </c>
      <c r="AQ1299" s="1">
        <f t="shared" si="145"/>
        <v>0.8</v>
      </c>
    </row>
    <row r="1300" spans="1:43"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140"/>
        <v>OK</v>
      </c>
      <c r="AK1300" t="str">
        <f t="shared" si="146"/>
        <v>OK</v>
      </c>
      <c r="AL1300" t="str">
        <f t="shared" si="141"/>
        <v>OK</v>
      </c>
      <c r="AM1300" t="str">
        <f t="shared" si="142"/>
        <v>OK</v>
      </c>
      <c r="AN1300" s="1">
        <f>IF(AF1300=0,0,AH1300/AF1300)</f>
        <v>0.33333333333333331</v>
      </c>
      <c r="AO1300" s="1">
        <f t="shared" si="143"/>
        <v>0.77777777777777779</v>
      </c>
      <c r="AP1300" s="1">
        <f t="shared" si="144"/>
        <v>0.22222222222222221</v>
      </c>
      <c r="AQ1300" s="1">
        <f t="shared" si="145"/>
        <v>0.77777777777777779</v>
      </c>
    </row>
    <row r="1301" spans="1:43"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140"/>
        <v>OK</v>
      </c>
      <c r="AK1301" t="str">
        <f t="shared" si="146"/>
        <v>OK</v>
      </c>
      <c r="AL1301" t="str">
        <f t="shared" si="141"/>
        <v>OK</v>
      </c>
      <c r="AM1301" t="str">
        <f t="shared" si="142"/>
        <v>OK</v>
      </c>
      <c r="AN1301" s="1">
        <f>IF(AF1301=0,0,AH1301/AF1301)</f>
        <v>0</v>
      </c>
      <c r="AO1301" s="1">
        <f t="shared" si="143"/>
        <v>0.6</v>
      </c>
      <c r="AP1301" s="1">
        <f t="shared" si="144"/>
        <v>0.6</v>
      </c>
      <c r="AQ1301" s="1">
        <f t="shared" si="145"/>
        <v>0.6</v>
      </c>
    </row>
    <row r="1302" spans="1:43"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140"/>
        <v>OK</v>
      </c>
      <c r="AK1302" t="str">
        <f t="shared" si="146"/>
        <v>OK</v>
      </c>
      <c r="AL1302" t="str">
        <f t="shared" si="141"/>
        <v>OK</v>
      </c>
      <c r="AM1302" t="str">
        <f t="shared" si="142"/>
        <v>OK</v>
      </c>
      <c r="AN1302" s="1">
        <f>IF(AF1302=0,0,AH1302/AF1302)</f>
        <v>0.4</v>
      </c>
      <c r="AO1302" s="1">
        <f t="shared" si="143"/>
        <v>0.8</v>
      </c>
      <c r="AP1302" s="1">
        <f t="shared" si="144"/>
        <v>0.5</v>
      </c>
      <c r="AQ1302" s="1">
        <f t="shared" si="145"/>
        <v>0.8</v>
      </c>
    </row>
    <row r="1303" spans="1:43"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140"/>
        <v>OK</v>
      </c>
      <c r="AK1303" t="str">
        <f t="shared" si="146"/>
        <v>OK</v>
      </c>
      <c r="AL1303" t="str">
        <f t="shared" si="141"/>
        <v>OK</v>
      </c>
      <c r="AM1303" t="str">
        <f t="shared" si="142"/>
        <v>OK</v>
      </c>
      <c r="AN1303" s="1">
        <f>IF(AF1303=0,0,AH1303/AF1303)</f>
        <v>0.875</v>
      </c>
      <c r="AO1303" s="1">
        <f t="shared" si="143"/>
        <v>0.5625</v>
      </c>
      <c r="AP1303" s="1">
        <f t="shared" si="144"/>
        <v>0</v>
      </c>
      <c r="AQ1303" s="1">
        <f t="shared" si="145"/>
        <v>0.875</v>
      </c>
    </row>
    <row r="1304" spans="1:43"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140"/>
        <v>OK</v>
      </c>
      <c r="AK1304" t="str">
        <f t="shared" si="146"/>
        <v>OK</v>
      </c>
      <c r="AL1304" t="str">
        <f t="shared" si="141"/>
        <v>OK</v>
      </c>
      <c r="AM1304" t="str">
        <f t="shared" si="142"/>
        <v>OK</v>
      </c>
      <c r="AN1304" s="1">
        <f>IF(AF1304=0,0,AH1304/AF1304)</f>
        <v>0</v>
      </c>
      <c r="AO1304" s="1">
        <f t="shared" si="143"/>
        <v>0.8</v>
      </c>
      <c r="AP1304" s="1">
        <f t="shared" si="144"/>
        <v>0.4</v>
      </c>
      <c r="AQ1304" s="1">
        <f t="shared" si="145"/>
        <v>0.6</v>
      </c>
    </row>
    <row r="1305" spans="1:43"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140"/>
        <v>OK</v>
      </c>
      <c r="AK1305" t="str">
        <f t="shared" si="146"/>
        <v>OK</v>
      </c>
      <c r="AL1305" t="str">
        <f t="shared" si="141"/>
        <v>OK</v>
      </c>
      <c r="AM1305" t="str">
        <f t="shared" si="142"/>
        <v>OK</v>
      </c>
      <c r="AN1305" s="1">
        <f>IF(AF1305=0,0,AH1305/AF1305)</f>
        <v>0.63636363636363635</v>
      </c>
      <c r="AO1305" s="1">
        <f t="shared" si="143"/>
        <v>0.5</v>
      </c>
      <c r="AP1305" s="1">
        <f t="shared" si="144"/>
        <v>0.18181818181818182</v>
      </c>
      <c r="AQ1305" s="1">
        <f t="shared" si="145"/>
        <v>0.45454545454545453</v>
      </c>
    </row>
    <row r="1306" spans="1:43"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140"/>
        <v>OK</v>
      </c>
      <c r="AK1306" t="str">
        <f t="shared" si="146"/>
        <v>OK</v>
      </c>
      <c r="AL1306" t="str">
        <f t="shared" si="141"/>
        <v>OK</v>
      </c>
      <c r="AM1306" t="str">
        <f t="shared" si="142"/>
        <v>OK</v>
      </c>
      <c r="AN1306" s="1">
        <f>IF(AF1306=0,0,AH1306/AF1306)</f>
        <v>1</v>
      </c>
      <c r="AO1306" s="1">
        <f t="shared" si="143"/>
        <v>0.5714285714285714</v>
      </c>
      <c r="AP1306" s="1">
        <f t="shared" si="144"/>
        <v>0.42857142857142855</v>
      </c>
      <c r="AQ1306" s="1">
        <f t="shared" si="145"/>
        <v>1</v>
      </c>
    </row>
    <row r="1307" spans="1:43"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140"/>
        <v>OK</v>
      </c>
      <c r="AK1307" t="str">
        <f t="shared" si="146"/>
        <v>OK</v>
      </c>
      <c r="AL1307" t="str">
        <f t="shared" si="141"/>
        <v>OK</v>
      </c>
      <c r="AM1307" t="str">
        <f t="shared" si="142"/>
        <v>OK</v>
      </c>
      <c r="AN1307" s="1">
        <f>IF(AF1307=0,0,AH1307/AF1307)</f>
        <v>0.14285714285714285</v>
      </c>
      <c r="AO1307" s="1">
        <f t="shared" si="143"/>
        <v>0.14285714285714285</v>
      </c>
      <c r="AP1307" s="1">
        <f t="shared" si="144"/>
        <v>0.2857142857142857</v>
      </c>
      <c r="AQ1307" s="1">
        <f t="shared" si="145"/>
        <v>1</v>
      </c>
    </row>
    <row r="1308" spans="1:43"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140"/>
        <v>OK</v>
      </c>
      <c r="AK1308" t="str">
        <f t="shared" si="146"/>
        <v>OK</v>
      </c>
      <c r="AL1308" t="str">
        <f t="shared" si="141"/>
        <v>OK</v>
      </c>
      <c r="AM1308" t="str">
        <f t="shared" si="142"/>
        <v>OK</v>
      </c>
      <c r="AN1308" s="1">
        <f>IF(AF1308=0,0,AH1308/AF1308)</f>
        <v>0.66666666666666663</v>
      </c>
      <c r="AO1308" s="1">
        <f t="shared" si="143"/>
        <v>0.66666666666666663</v>
      </c>
      <c r="AP1308" s="1">
        <f t="shared" si="144"/>
        <v>1</v>
      </c>
      <c r="AQ1308" s="1">
        <f t="shared" si="145"/>
        <v>0.66666666666666663</v>
      </c>
    </row>
    <row r="1309" spans="1:43"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140"/>
        <v>OK</v>
      </c>
      <c r="AK1309" t="str">
        <f t="shared" si="146"/>
        <v>OK</v>
      </c>
      <c r="AL1309" t="str">
        <f t="shared" si="141"/>
        <v>OK</v>
      </c>
      <c r="AM1309" t="str">
        <f t="shared" si="142"/>
        <v>OK</v>
      </c>
      <c r="AN1309" s="1">
        <f>IF(AF1309=0,0,AH1309/AF1309)</f>
        <v>0.33333333333333331</v>
      </c>
      <c r="AO1309" s="1">
        <f t="shared" si="143"/>
        <v>0.66666666666666663</v>
      </c>
      <c r="AP1309" s="1">
        <f t="shared" si="144"/>
        <v>1</v>
      </c>
      <c r="AQ1309" s="1">
        <f t="shared" si="145"/>
        <v>0.66666666666666663</v>
      </c>
    </row>
    <row r="1310" spans="1:43"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140"/>
        <v>OK</v>
      </c>
      <c r="AK1310" t="str">
        <f t="shared" si="146"/>
        <v>OK</v>
      </c>
      <c r="AL1310" t="str">
        <f t="shared" si="141"/>
        <v>OK</v>
      </c>
      <c r="AM1310" t="str">
        <f t="shared" si="142"/>
        <v>OK</v>
      </c>
      <c r="AN1310" s="1">
        <f>IF(AF1310=0,0,AH1310/AF1310)</f>
        <v>0</v>
      </c>
      <c r="AO1310" s="1">
        <f t="shared" si="143"/>
        <v>0.5</v>
      </c>
      <c r="AP1310" s="1">
        <f t="shared" si="144"/>
        <v>1</v>
      </c>
      <c r="AQ1310" s="1">
        <f t="shared" si="145"/>
        <v>0.75</v>
      </c>
    </row>
    <row r="1311" spans="1:43"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140"/>
        <v>OK</v>
      </c>
      <c r="AK1311" t="str">
        <f t="shared" si="146"/>
        <v>OK</v>
      </c>
      <c r="AL1311" t="str">
        <f t="shared" si="141"/>
        <v>OK</v>
      </c>
      <c r="AM1311" t="str">
        <f t="shared" si="142"/>
        <v>OK</v>
      </c>
      <c r="AN1311" s="1">
        <f>IF(AF1311=0,0,AH1311/AF1311)</f>
        <v>0.2</v>
      </c>
      <c r="AO1311" s="1">
        <f t="shared" si="143"/>
        <v>0.6</v>
      </c>
      <c r="AP1311" s="1">
        <f t="shared" si="144"/>
        <v>0.8</v>
      </c>
      <c r="AQ1311" s="1">
        <f t="shared" si="145"/>
        <v>0.4</v>
      </c>
    </row>
    <row r="1312" spans="1:43"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140"/>
        <v>OK</v>
      </c>
      <c r="AK1312" t="str">
        <f t="shared" si="146"/>
        <v>OK</v>
      </c>
      <c r="AL1312" t="str">
        <f t="shared" si="141"/>
        <v>OK</v>
      </c>
      <c r="AM1312" t="str">
        <f t="shared" si="142"/>
        <v>OK</v>
      </c>
      <c r="AN1312" s="1">
        <f>IF(AF1312=0,0,AH1312/AF1312)</f>
        <v>1</v>
      </c>
      <c r="AO1312" s="1">
        <f t="shared" si="143"/>
        <v>1</v>
      </c>
      <c r="AP1312" s="1">
        <f t="shared" si="144"/>
        <v>1.5</v>
      </c>
      <c r="AQ1312" s="1">
        <f t="shared" si="145"/>
        <v>1</v>
      </c>
    </row>
    <row r="1313" spans="1:43"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140"/>
        <v>OK</v>
      </c>
      <c r="AK1313" t="str">
        <f t="shared" si="146"/>
        <v>OK</v>
      </c>
      <c r="AL1313" t="str">
        <f t="shared" si="141"/>
        <v>OK</v>
      </c>
      <c r="AM1313" t="str">
        <f t="shared" si="142"/>
        <v>OK</v>
      </c>
      <c r="AN1313" s="1">
        <f>IF(AF1313=0,0,AH1313/AF1313)</f>
        <v>0</v>
      </c>
      <c r="AO1313" s="1">
        <f t="shared" si="143"/>
        <v>0</v>
      </c>
      <c r="AP1313" s="1">
        <f t="shared" si="144"/>
        <v>0</v>
      </c>
      <c r="AQ1313" s="1">
        <f t="shared" si="145"/>
        <v>0</v>
      </c>
    </row>
    <row r="1314" spans="1:43"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140"/>
        <v>OK</v>
      </c>
      <c r="AK1314" t="str">
        <f t="shared" si="146"/>
        <v>OK</v>
      </c>
      <c r="AL1314" t="str">
        <f t="shared" si="141"/>
        <v>OK</v>
      </c>
      <c r="AM1314" t="str">
        <f t="shared" si="142"/>
        <v>OK</v>
      </c>
      <c r="AN1314" s="1">
        <f>IF(AF1314=0,0,AH1314/AF1314)</f>
        <v>0</v>
      </c>
      <c r="AO1314" s="1">
        <f t="shared" si="143"/>
        <v>0</v>
      </c>
      <c r="AP1314" s="1">
        <f t="shared" si="144"/>
        <v>4</v>
      </c>
      <c r="AQ1314" s="1">
        <f t="shared" si="145"/>
        <v>0</v>
      </c>
    </row>
    <row r="1315" spans="1:43"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140"/>
        <v>OK</v>
      </c>
      <c r="AK1315" t="str">
        <f t="shared" si="146"/>
        <v>OK</v>
      </c>
      <c r="AL1315" t="str">
        <f t="shared" si="141"/>
        <v>OK</v>
      </c>
      <c r="AM1315" t="str">
        <f t="shared" si="142"/>
        <v>OK</v>
      </c>
      <c r="AN1315" s="1">
        <f>IF(AF1315=0,0,AH1315/AF1315)</f>
        <v>1</v>
      </c>
      <c r="AO1315" s="1">
        <f t="shared" si="143"/>
        <v>1</v>
      </c>
      <c r="AP1315" s="1">
        <f t="shared" si="144"/>
        <v>1.5</v>
      </c>
      <c r="AQ1315" s="1">
        <f t="shared" si="145"/>
        <v>0</v>
      </c>
    </row>
    <row r="1316" spans="1:43"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140"/>
        <v>OK</v>
      </c>
      <c r="AK1316" t="str">
        <f t="shared" si="146"/>
        <v>OK</v>
      </c>
      <c r="AL1316" t="str">
        <f t="shared" si="141"/>
        <v>OK</v>
      </c>
      <c r="AM1316" t="str">
        <f t="shared" si="142"/>
        <v>OK</v>
      </c>
      <c r="AN1316" s="1">
        <f>IF(AF1316=0,0,AH1316/AF1316)</f>
        <v>0.625</v>
      </c>
      <c r="AO1316" s="1">
        <f t="shared" si="143"/>
        <v>0.875</v>
      </c>
      <c r="AP1316" s="1">
        <f t="shared" si="144"/>
        <v>0.375</v>
      </c>
      <c r="AQ1316" s="1">
        <f t="shared" si="145"/>
        <v>0.875</v>
      </c>
    </row>
    <row r="1317" spans="1:43"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140"/>
        <v>OK</v>
      </c>
      <c r="AK1317" t="str">
        <f t="shared" si="146"/>
        <v>OK</v>
      </c>
      <c r="AL1317" t="str">
        <f t="shared" si="141"/>
        <v>OK</v>
      </c>
      <c r="AM1317" t="str">
        <f t="shared" si="142"/>
        <v>OK</v>
      </c>
      <c r="AN1317" s="1">
        <f>IF(AF1317=0,0,AH1317/AF1317)</f>
        <v>0</v>
      </c>
      <c r="AO1317" s="1">
        <f t="shared" si="143"/>
        <v>0</v>
      </c>
      <c r="AP1317" s="1">
        <f t="shared" si="144"/>
        <v>2</v>
      </c>
      <c r="AQ1317" s="1">
        <f t="shared" si="145"/>
        <v>0</v>
      </c>
    </row>
    <row r="1318" spans="1:43"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140"/>
        <v>OK</v>
      </c>
      <c r="AK1318" t="str">
        <f t="shared" si="146"/>
        <v>OK</v>
      </c>
      <c r="AL1318" t="str">
        <f t="shared" si="141"/>
        <v>OK</v>
      </c>
      <c r="AM1318" t="str">
        <f t="shared" si="142"/>
        <v>OK</v>
      </c>
      <c r="AN1318" s="1">
        <f>IF(AF1318=0,0,AH1318/AF1318)</f>
        <v>1</v>
      </c>
      <c r="AO1318" s="1">
        <f t="shared" si="143"/>
        <v>1</v>
      </c>
      <c r="AP1318" s="1">
        <f t="shared" si="144"/>
        <v>0.7142857142857143</v>
      </c>
      <c r="AQ1318" s="1">
        <f t="shared" si="145"/>
        <v>1</v>
      </c>
    </row>
    <row r="1319" spans="1:43"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140"/>
        <v>OK</v>
      </c>
      <c r="AK1319" t="str">
        <f t="shared" si="146"/>
        <v>OK</v>
      </c>
      <c r="AL1319" t="str">
        <f t="shared" si="141"/>
        <v>OK</v>
      </c>
      <c r="AM1319" t="str">
        <f t="shared" si="142"/>
        <v>OK</v>
      </c>
      <c r="AN1319" s="1">
        <f>IF(AF1319=0,0,AH1319/AF1319)</f>
        <v>0</v>
      </c>
      <c r="AO1319" s="1">
        <f t="shared" si="143"/>
        <v>0.8</v>
      </c>
      <c r="AP1319" s="1">
        <f t="shared" si="144"/>
        <v>0.6</v>
      </c>
      <c r="AQ1319" s="1">
        <f t="shared" si="145"/>
        <v>0.4</v>
      </c>
    </row>
    <row r="1320" spans="1:43"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140"/>
        <v>OK</v>
      </c>
      <c r="AK1320" t="str">
        <f t="shared" si="146"/>
        <v>OK</v>
      </c>
      <c r="AL1320" t="str">
        <f t="shared" si="141"/>
        <v>OK</v>
      </c>
      <c r="AM1320" t="str">
        <f t="shared" si="142"/>
        <v>OK</v>
      </c>
      <c r="AN1320" s="1">
        <f>IF(AF1320=0,0,AH1320/AF1320)</f>
        <v>0.27272727272727271</v>
      </c>
      <c r="AO1320" s="1">
        <f t="shared" si="143"/>
        <v>0.72727272727272729</v>
      </c>
      <c r="AP1320" s="1">
        <f t="shared" si="144"/>
        <v>0.27272727272727271</v>
      </c>
      <c r="AQ1320" s="1">
        <f t="shared" si="145"/>
        <v>0.90909090909090906</v>
      </c>
    </row>
    <row r="1321" spans="1:43"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140"/>
        <v>OK</v>
      </c>
      <c r="AK1321" t="str">
        <f t="shared" si="146"/>
        <v>OK</v>
      </c>
      <c r="AL1321" t="str">
        <f t="shared" si="141"/>
        <v>OK</v>
      </c>
      <c r="AM1321" t="str">
        <f t="shared" si="142"/>
        <v>OK</v>
      </c>
      <c r="AN1321" s="1">
        <f>IF(AF1321=0,0,AH1321/AF1321)</f>
        <v>0</v>
      </c>
      <c r="AO1321" s="1">
        <f t="shared" si="143"/>
        <v>0</v>
      </c>
      <c r="AP1321" s="1">
        <f t="shared" si="144"/>
        <v>0</v>
      </c>
      <c r="AQ1321" s="1">
        <f t="shared" si="145"/>
        <v>0</v>
      </c>
    </row>
    <row r="1322" spans="1:43"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140"/>
        <v>OK</v>
      </c>
      <c r="AK1322" t="str">
        <f t="shared" si="146"/>
        <v>OK</v>
      </c>
      <c r="AL1322" t="str">
        <f t="shared" si="141"/>
        <v>OK</v>
      </c>
      <c r="AM1322" t="str">
        <f t="shared" si="142"/>
        <v>OK</v>
      </c>
      <c r="AN1322" s="1">
        <f>IF(AF1322=0,0,AH1322/AF1322)</f>
        <v>0.5</v>
      </c>
      <c r="AO1322" s="1">
        <f t="shared" si="143"/>
        <v>0.5</v>
      </c>
      <c r="AP1322" s="1">
        <f t="shared" si="144"/>
        <v>0.16666666666666666</v>
      </c>
      <c r="AQ1322" s="1">
        <f t="shared" si="145"/>
        <v>0.5</v>
      </c>
    </row>
    <row r="1323" spans="1:43"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140"/>
        <v>OK</v>
      </c>
      <c r="AK1323" t="str">
        <f t="shared" si="146"/>
        <v>OK</v>
      </c>
      <c r="AL1323" t="str">
        <f t="shared" si="141"/>
        <v>OK</v>
      </c>
      <c r="AM1323" t="str">
        <f t="shared" si="142"/>
        <v>OK</v>
      </c>
      <c r="AN1323" s="1">
        <f>IF(AF1323=0,0,AH1323/AF1323)</f>
        <v>1</v>
      </c>
      <c r="AO1323" s="1">
        <f t="shared" si="143"/>
        <v>1</v>
      </c>
      <c r="AP1323" s="1">
        <f t="shared" si="144"/>
        <v>1</v>
      </c>
      <c r="AQ1323" s="1">
        <f t="shared" si="145"/>
        <v>0</v>
      </c>
    </row>
    <row r="1324" spans="1:43"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140"/>
        <v>OK</v>
      </c>
      <c r="AK1324" t="str">
        <f t="shared" si="146"/>
        <v>OK</v>
      </c>
      <c r="AL1324" t="str">
        <f t="shared" si="141"/>
        <v>OK</v>
      </c>
      <c r="AM1324" t="str">
        <f t="shared" si="142"/>
        <v>OK</v>
      </c>
      <c r="AN1324" s="1">
        <f>IF(AF1324=0,0,AH1324/AF1324)</f>
        <v>0.44444444444444442</v>
      </c>
      <c r="AO1324" s="1">
        <f t="shared" si="143"/>
        <v>0.88888888888888884</v>
      </c>
      <c r="AP1324" s="1">
        <f t="shared" si="144"/>
        <v>0.44444444444444442</v>
      </c>
      <c r="AQ1324" s="1">
        <f t="shared" si="145"/>
        <v>0.77777777777777779</v>
      </c>
    </row>
    <row r="1325" spans="1:43"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140"/>
        <v>OK</v>
      </c>
      <c r="AK1325" t="str">
        <f t="shared" si="146"/>
        <v>OK</v>
      </c>
      <c r="AL1325" t="str">
        <f t="shared" si="141"/>
        <v>OK</v>
      </c>
      <c r="AM1325" t="str">
        <f t="shared" si="142"/>
        <v>OK</v>
      </c>
      <c r="AN1325" s="1">
        <f>IF(AF1325=0,0,AH1325/AF1325)</f>
        <v>0.66666666666666663</v>
      </c>
      <c r="AO1325" s="1">
        <f t="shared" si="143"/>
        <v>0.66666666666666663</v>
      </c>
      <c r="AP1325" s="1">
        <f t="shared" si="144"/>
        <v>0.66666666666666663</v>
      </c>
      <c r="AQ1325" s="1">
        <f t="shared" si="145"/>
        <v>0.66666666666666663</v>
      </c>
    </row>
    <row r="1326" spans="1:43"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140"/>
        <v>OK</v>
      </c>
      <c r="AK1326" t="str">
        <f t="shared" si="146"/>
        <v>OK</v>
      </c>
      <c r="AL1326" t="str">
        <f t="shared" si="141"/>
        <v>OK</v>
      </c>
      <c r="AM1326" t="str">
        <f t="shared" si="142"/>
        <v>OK</v>
      </c>
      <c r="AN1326" s="1">
        <f>IF(AF1326=0,0,AH1326/AF1326)</f>
        <v>0.14285714285714285</v>
      </c>
      <c r="AO1326" s="1">
        <f t="shared" si="143"/>
        <v>0</v>
      </c>
      <c r="AP1326" s="1">
        <f t="shared" si="144"/>
        <v>0.42857142857142855</v>
      </c>
      <c r="AQ1326" s="1">
        <f t="shared" si="145"/>
        <v>0.8571428571428571</v>
      </c>
    </row>
    <row r="1327" spans="1:43"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140"/>
        <v>OK</v>
      </c>
      <c r="AK1327" t="str">
        <f t="shared" si="146"/>
        <v>OK</v>
      </c>
      <c r="AL1327" t="str">
        <f t="shared" si="141"/>
        <v>OK</v>
      </c>
      <c r="AM1327" t="str">
        <f t="shared" si="142"/>
        <v>OK</v>
      </c>
      <c r="AN1327" s="1">
        <f>IF(AF1327=0,0,AH1327/AF1327)</f>
        <v>0</v>
      </c>
      <c r="AO1327" s="1">
        <f t="shared" si="143"/>
        <v>0</v>
      </c>
      <c r="AP1327" s="1">
        <f t="shared" si="144"/>
        <v>0</v>
      </c>
      <c r="AQ1327" s="1">
        <f t="shared" si="145"/>
        <v>0</v>
      </c>
    </row>
    <row r="1328" spans="1:43"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140"/>
        <v>OK</v>
      </c>
      <c r="AK1328" t="str">
        <f t="shared" si="146"/>
        <v>OK</v>
      </c>
      <c r="AL1328" t="str">
        <f t="shared" si="141"/>
        <v>OK</v>
      </c>
      <c r="AM1328" t="str">
        <f t="shared" si="142"/>
        <v>OK</v>
      </c>
      <c r="AN1328" s="1">
        <f>IF(AF1328=0,0,AH1328/AF1328)</f>
        <v>1</v>
      </c>
      <c r="AO1328" s="1">
        <f t="shared" si="143"/>
        <v>1</v>
      </c>
      <c r="AP1328" s="1">
        <f t="shared" si="144"/>
        <v>1.5</v>
      </c>
      <c r="AQ1328" s="1">
        <f t="shared" si="145"/>
        <v>1</v>
      </c>
    </row>
    <row r="1329" spans="1:43"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140"/>
        <v>OK</v>
      </c>
      <c r="AK1329" t="str">
        <f t="shared" si="146"/>
        <v>OK</v>
      </c>
      <c r="AL1329" t="str">
        <f t="shared" si="141"/>
        <v>OK</v>
      </c>
      <c r="AM1329" t="str">
        <f t="shared" si="142"/>
        <v>OK</v>
      </c>
      <c r="AN1329" s="1">
        <f>IF(AF1329=0,0,AH1329/AF1329)</f>
        <v>0.10526315789473684</v>
      </c>
      <c r="AO1329" s="1">
        <f t="shared" si="143"/>
        <v>0.89473684210526316</v>
      </c>
      <c r="AP1329" s="1">
        <f t="shared" si="144"/>
        <v>0.26315789473684209</v>
      </c>
      <c r="AQ1329" s="1">
        <f t="shared" si="145"/>
        <v>0.42105263157894735</v>
      </c>
    </row>
    <row r="1330" spans="1:43"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140"/>
        <v>OK</v>
      </c>
      <c r="AK1330" t="str">
        <f t="shared" si="146"/>
        <v>OK</v>
      </c>
      <c r="AL1330" t="str">
        <f t="shared" si="141"/>
        <v>OK</v>
      </c>
      <c r="AM1330" t="str">
        <f t="shared" si="142"/>
        <v>OK</v>
      </c>
      <c r="AN1330" s="1">
        <f>IF(AF1330=0,0,AH1330/AF1330)</f>
        <v>0.55555555555555558</v>
      </c>
      <c r="AO1330" s="1">
        <f t="shared" si="143"/>
        <v>0.88888888888888884</v>
      </c>
      <c r="AP1330" s="1">
        <f t="shared" si="144"/>
        <v>0.55555555555555558</v>
      </c>
      <c r="AQ1330" s="1">
        <f t="shared" si="145"/>
        <v>0.88888888888888884</v>
      </c>
    </row>
    <row r="1331" spans="1:43"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140"/>
        <v>OK</v>
      </c>
      <c r="AK1331" t="str">
        <f t="shared" si="146"/>
        <v>OK</v>
      </c>
      <c r="AL1331" t="str">
        <f t="shared" si="141"/>
        <v>OK</v>
      </c>
      <c r="AM1331" t="str">
        <f t="shared" si="142"/>
        <v>OK</v>
      </c>
      <c r="AN1331" s="1">
        <f>IF(AF1331=0,0,AH1331/AF1331)</f>
        <v>0</v>
      </c>
      <c r="AO1331" s="1">
        <f t="shared" si="143"/>
        <v>0</v>
      </c>
      <c r="AP1331" s="1">
        <f t="shared" si="144"/>
        <v>3</v>
      </c>
      <c r="AQ1331" s="1">
        <f t="shared" si="145"/>
        <v>0</v>
      </c>
    </row>
    <row r="1332" spans="1:43"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140"/>
        <v>OK</v>
      </c>
      <c r="AK1332" t="str">
        <f t="shared" si="146"/>
        <v>OK</v>
      </c>
      <c r="AL1332" t="str">
        <f t="shared" si="141"/>
        <v>OK</v>
      </c>
      <c r="AM1332" t="str">
        <f t="shared" si="142"/>
        <v>OK</v>
      </c>
      <c r="AN1332" s="1">
        <f>IF(AF1332=0,0,AH1332/AF1332)</f>
        <v>0.375</v>
      </c>
      <c r="AO1332" s="1">
        <f t="shared" si="143"/>
        <v>0.75</v>
      </c>
      <c r="AP1332" s="1">
        <f t="shared" si="144"/>
        <v>0.125</v>
      </c>
      <c r="AQ1332" s="1">
        <f t="shared" si="145"/>
        <v>0.875</v>
      </c>
    </row>
    <row r="1333" spans="1:43"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140"/>
        <v>OK</v>
      </c>
      <c r="AK1333" t="str">
        <f t="shared" si="146"/>
        <v>OK</v>
      </c>
      <c r="AL1333" t="str">
        <f t="shared" si="141"/>
        <v>OK</v>
      </c>
      <c r="AM1333" t="str">
        <f t="shared" si="142"/>
        <v>OK</v>
      </c>
      <c r="AN1333" s="1">
        <f>IF(AF1333=0,0,AH1333/AF1333)</f>
        <v>0.54545454545454541</v>
      </c>
      <c r="AO1333" s="1">
        <f t="shared" si="143"/>
        <v>0.45454545454545453</v>
      </c>
      <c r="AP1333" s="1">
        <f t="shared" si="144"/>
        <v>0.13636363636363635</v>
      </c>
      <c r="AQ1333" s="1">
        <f t="shared" si="145"/>
        <v>0.40909090909090912</v>
      </c>
    </row>
    <row r="1334" spans="1:43"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140"/>
        <v>OK</v>
      </c>
      <c r="AK1334" t="str">
        <f t="shared" si="146"/>
        <v>OK</v>
      </c>
      <c r="AL1334" t="str">
        <f t="shared" si="141"/>
        <v>OK</v>
      </c>
      <c r="AM1334" t="str">
        <f t="shared" si="142"/>
        <v>OK</v>
      </c>
      <c r="AN1334" s="1">
        <f>IF(AF1334=0,0,AH1334/AF1334)</f>
        <v>1</v>
      </c>
      <c r="AO1334" s="1">
        <f t="shared" si="143"/>
        <v>0</v>
      </c>
      <c r="AP1334" s="1">
        <f t="shared" si="144"/>
        <v>3</v>
      </c>
      <c r="AQ1334" s="1">
        <f t="shared" si="145"/>
        <v>0</v>
      </c>
    </row>
    <row r="1335" spans="1:43"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140"/>
        <v>OK</v>
      </c>
      <c r="AK1335" t="str">
        <f t="shared" si="146"/>
        <v>OK</v>
      </c>
      <c r="AL1335" t="str">
        <f t="shared" si="141"/>
        <v>OK</v>
      </c>
      <c r="AM1335" t="str">
        <f t="shared" si="142"/>
        <v>OK</v>
      </c>
      <c r="AN1335" s="1">
        <f>IF(AF1335=0,0,AH1335/AF1335)</f>
        <v>0</v>
      </c>
      <c r="AO1335" s="1">
        <f t="shared" si="143"/>
        <v>0.875</v>
      </c>
      <c r="AP1335" s="1">
        <f t="shared" si="144"/>
        <v>0.25</v>
      </c>
      <c r="AQ1335" s="1">
        <f t="shared" si="145"/>
        <v>0.875</v>
      </c>
    </row>
    <row r="1336" spans="1:43"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140"/>
        <v>OK</v>
      </c>
      <c r="AK1336" t="str">
        <f t="shared" si="146"/>
        <v>OK</v>
      </c>
      <c r="AL1336" t="str">
        <f t="shared" si="141"/>
        <v>OK</v>
      </c>
      <c r="AM1336" t="str">
        <f t="shared" si="142"/>
        <v>OK</v>
      </c>
      <c r="AN1336" s="1">
        <f>IF(AF1336=0,0,AH1336/AF1336)</f>
        <v>1</v>
      </c>
      <c r="AO1336" s="1">
        <f t="shared" si="143"/>
        <v>0.8571428571428571</v>
      </c>
      <c r="AP1336" s="1">
        <f t="shared" si="144"/>
        <v>0.2857142857142857</v>
      </c>
      <c r="AQ1336" s="1">
        <f t="shared" si="145"/>
        <v>0.42857142857142855</v>
      </c>
    </row>
    <row r="1337" spans="1:43"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140"/>
        <v>OK</v>
      </c>
      <c r="AK1337" t="str">
        <f t="shared" si="146"/>
        <v>OK</v>
      </c>
      <c r="AL1337" t="str">
        <f t="shared" si="141"/>
        <v>OK</v>
      </c>
      <c r="AM1337" t="str">
        <f t="shared" si="142"/>
        <v>OK</v>
      </c>
      <c r="AN1337" s="1">
        <f>IF(AF1337=0,0,AH1337/AF1337)</f>
        <v>1</v>
      </c>
      <c r="AO1337" s="1">
        <f t="shared" si="143"/>
        <v>1</v>
      </c>
      <c r="AP1337" s="1">
        <f t="shared" si="144"/>
        <v>1</v>
      </c>
      <c r="AQ1337" s="1">
        <f t="shared" si="145"/>
        <v>1</v>
      </c>
    </row>
    <row r="1338" spans="1:43"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140"/>
        <v>OK</v>
      </c>
      <c r="AK1338" t="str">
        <f t="shared" si="146"/>
        <v>OK</v>
      </c>
      <c r="AL1338" t="str">
        <f t="shared" si="141"/>
        <v>OK</v>
      </c>
      <c r="AM1338" t="str">
        <f t="shared" si="142"/>
        <v>OK</v>
      </c>
      <c r="AN1338" s="1">
        <f>IF(AF1338=0,0,AH1338/AF1338)</f>
        <v>0</v>
      </c>
      <c r="AO1338" s="1">
        <f t="shared" si="143"/>
        <v>0.4</v>
      </c>
      <c r="AP1338" s="1">
        <f t="shared" si="144"/>
        <v>0.4</v>
      </c>
      <c r="AQ1338" s="1">
        <f t="shared" si="145"/>
        <v>0.8</v>
      </c>
    </row>
    <row r="1339" spans="1:43"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140"/>
        <v>OK</v>
      </c>
      <c r="AK1339" t="str">
        <f t="shared" si="146"/>
        <v>OK</v>
      </c>
      <c r="AL1339" t="str">
        <f t="shared" si="141"/>
        <v>OK</v>
      </c>
      <c r="AM1339" t="str">
        <f t="shared" si="142"/>
        <v>OK</v>
      </c>
      <c r="AN1339" s="1">
        <f>IF(AF1339=0,0,AH1339/AF1339)</f>
        <v>0</v>
      </c>
      <c r="AO1339" s="1">
        <f t="shared" si="143"/>
        <v>0</v>
      </c>
      <c r="AP1339" s="1">
        <f t="shared" si="144"/>
        <v>3</v>
      </c>
      <c r="AQ1339" s="1">
        <f t="shared" si="145"/>
        <v>0</v>
      </c>
    </row>
    <row r="1340" spans="1:43"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140"/>
        <v>OK</v>
      </c>
      <c r="AK1340" t="str">
        <f t="shared" si="146"/>
        <v>OK</v>
      </c>
      <c r="AL1340" t="str">
        <f t="shared" si="141"/>
        <v>OK</v>
      </c>
      <c r="AM1340" t="str">
        <f t="shared" si="142"/>
        <v>OK</v>
      </c>
      <c r="AN1340" s="1">
        <f>IF(AF1340=0,0,AH1340/AF1340)</f>
        <v>0</v>
      </c>
      <c r="AO1340" s="1">
        <f t="shared" si="143"/>
        <v>0</v>
      </c>
      <c r="AP1340" s="1">
        <f t="shared" si="144"/>
        <v>3</v>
      </c>
      <c r="AQ1340" s="1">
        <f t="shared" si="145"/>
        <v>0</v>
      </c>
    </row>
    <row r="1341" spans="1:43"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140"/>
        <v>OK</v>
      </c>
      <c r="AK1341" t="str">
        <f t="shared" si="146"/>
        <v>OK</v>
      </c>
      <c r="AL1341" t="str">
        <f t="shared" si="141"/>
        <v>OK</v>
      </c>
      <c r="AM1341" t="str">
        <f t="shared" si="142"/>
        <v>OK</v>
      </c>
      <c r="AN1341" s="1">
        <f>IF(AF1341=0,0,AH1341/AF1341)</f>
        <v>0</v>
      </c>
      <c r="AO1341" s="1">
        <f t="shared" si="143"/>
        <v>0</v>
      </c>
      <c r="AP1341" s="1">
        <f t="shared" si="144"/>
        <v>2</v>
      </c>
      <c r="AQ1341" s="1">
        <f t="shared" si="145"/>
        <v>0</v>
      </c>
    </row>
    <row r="1342" spans="1:43"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140"/>
        <v>OK</v>
      </c>
      <c r="AK1342" t="str">
        <f t="shared" si="146"/>
        <v>OK</v>
      </c>
      <c r="AL1342" t="str">
        <f t="shared" si="141"/>
        <v>OK</v>
      </c>
      <c r="AM1342" t="str">
        <f t="shared" si="142"/>
        <v>OK</v>
      </c>
      <c r="AN1342" s="1">
        <f>IF(AF1342=0,0,AH1342/AF1342)</f>
        <v>0.1</v>
      </c>
      <c r="AO1342" s="1">
        <f t="shared" si="143"/>
        <v>0.9</v>
      </c>
      <c r="AP1342" s="1">
        <f t="shared" si="144"/>
        <v>0.4</v>
      </c>
      <c r="AQ1342" s="1">
        <f t="shared" si="145"/>
        <v>0.7</v>
      </c>
    </row>
    <row r="1343" spans="1:43"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140"/>
        <v>OK</v>
      </c>
      <c r="AK1343" t="str">
        <f t="shared" si="146"/>
        <v>OK</v>
      </c>
      <c r="AL1343" t="str">
        <f t="shared" si="141"/>
        <v>OK</v>
      </c>
      <c r="AM1343" t="str">
        <f t="shared" si="142"/>
        <v>OK</v>
      </c>
      <c r="AN1343" s="1">
        <f>IF(AF1343=0,0,AH1343/AF1343)</f>
        <v>0</v>
      </c>
      <c r="AO1343" s="1">
        <f t="shared" si="143"/>
        <v>0.8</v>
      </c>
      <c r="AP1343" s="1">
        <f t="shared" si="144"/>
        <v>0.2</v>
      </c>
      <c r="AQ1343" s="1">
        <f t="shared" si="145"/>
        <v>0.2</v>
      </c>
    </row>
    <row r="1344" spans="1:43"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140"/>
        <v>OK</v>
      </c>
      <c r="AK1344" t="str">
        <f t="shared" si="146"/>
        <v>OK</v>
      </c>
      <c r="AL1344" t="str">
        <f t="shared" si="141"/>
        <v>OK</v>
      </c>
      <c r="AM1344" t="str">
        <f t="shared" si="142"/>
        <v>OK</v>
      </c>
      <c r="AN1344" s="1">
        <f>IF(AF1344=0,0,AH1344/AF1344)</f>
        <v>0.2</v>
      </c>
      <c r="AO1344" s="1">
        <f t="shared" si="143"/>
        <v>0.6</v>
      </c>
      <c r="AP1344" s="1">
        <f t="shared" si="144"/>
        <v>0.6</v>
      </c>
      <c r="AQ1344" s="1">
        <f t="shared" si="145"/>
        <v>0</v>
      </c>
    </row>
    <row r="1345" spans="1:43"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140"/>
        <v>OK</v>
      </c>
      <c r="AK1345" t="str">
        <f t="shared" si="146"/>
        <v>OK</v>
      </c>
      <c r="AL1345" t="str">
        <f t="shared" si="141"/>
        <v>OK</v>
      </c>
      <c r="AM1345" t="str">
        <f t="shared" si="142"/>
        <v>OK</v>
      </c>
      <c r="AN1345" s="1">
        <f>IF(AF1345=0,0,AH1345/AF1345)</f>
        <v>0.33333333333333331</v>
      </c>
      <c r="AO1345" s="1">
        <f t="shared" si="143"/>
        <v>0.66666666666666663</v>
      </c>
      <c r="AP1345" s="1">
        <f t="shared" si="144"/>
        <v>0.66666666666666663</v>
      </c>
      <c r="AQ1345" s="1">
        <f t="shared" si="145"/>
        <v>0.66666666666666663</v>
      </c>
    </row>
    <row r="1346" spans="1:43"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si="140"/>
        <v>OK</v>
      </c>
      <c r="AK1346" t="str">
        <f t="shared" si="146"/>
        <v>OK</v>
      </c>
      <c r="AL1346" t="str">
        <f t="shared" si="141"/>
        <v>OK</v>
      </c>
      <c r="AM1346" t="str">
        <f t="shared" si="142"/>
        <v>OK</v>
      </c>
      <c r="AN1346" s="1">
        <f>IF(AF1346=0,0,AH1346/AF1346)</f>
        <v>0</v>
      </c>
      <c r="AO1346" s="1">
        <f t="shared" si="143"/>
        <v>0.6</v>
      </c>
      <c r="AP1346" s="1">
        <f t="shared" si="144"/>
        <v>0.4</v>
      </c>
      <c r="AQ1346" s="1">
        <f t="shared" si="145"/>
        <v>0.8</v>
      </c>
    </row>
    <row r="1347" spans="1:43"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ref="AJ1347:AJ1410" si="147">IF(AF1347&lt;=AC1347, "OK", "ERROR")</f>
        <v>OK</v>
      </c>
      <c r="AK1347" t="str">
        <f t="shared" si="146"/>
        <v>OK</v>
      </c>
      <c r="AL1347" t="str">
        <f t="shared" ref="AL1347:AL1410" si="148">IF(AG1347&lt;=AF1347,"OK","ERROR")</f>
        <v>OK</v>
      </c>
      <c r="AM1347" t="str">
        <f t="shared" ref="AM1347:AM1410" si="149">IF(AI1347&lt;=AF1347,"OK","ERROR")</f>
        <v>OK</v>
      </c>
      <c r="AN1347" s="1">
        <f>IF(AF1347=0,0,AH1347/AF1347)</f>
        <v>0</v>
      </c>
      <c r="AO1347" s="1">
        <f t="shared" ref="AO1347:AO1410" si="150">IF(AF1347=0,0,AG1347/AF1347)</f>
        <v>0.66666666666666663</v>
      </c>
      <c r="AP1347" s="1">
        <f t="shared" ref="AP1347:AP1410" si="151">IF(AF1347=0,0,AD1347/AF1347)</f>
        <v>0.66666666666666663</v>
      </c>
      <c r="AQ1347" s="1">
        <f t="shared" ref="AQ1347:AQ1410" si="152">IF(AF1347=0,0,AI1347/AF1347)</f>
        <v>0.66666666666666663</v>
      </c>
    </row>
    <row r="1348" spans="1:43"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147"/>
        <v>OK</v>
      </c>
      <c r="AK1348" t="str">
        <f t="shared" ref="AK1348:AK1411" si="153">IF(AH1348&lt;=AF1348,"OK", "ERROR")</f>
        <v>OK</v>
      </c>
      <c r="AL1348" t="str">
        <f t="shared" si="148"/>
        <v>OK</v>
      </c>
      <c r="AM1348" t="str">
        <f t="shared" si="149"/>
        <v>OK</v>
      </c>
      <c r="AN1348" s="1">
        <f>IF(AF1348=0,0,AH1348/AF1348)</f>
        <v>0.33333333333333331</v>
      </c>
      <c r="AO1348" s="1">
        <f t="shared" si="150"/>
        <v>0.88888888888888884</v>
      </c>
      <c r="AP1348" s="1">
        <f t="shared" si="151"/>
        <v>0.22222222222222221</v>
      </c>
      <c r="AQ1348" s="1">
        <f t="shared" si="152"/>
        <v>0.88888888888888884</v>
      </c>
    </row>
    <row r="1349" spans="1:43"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147"/>
        <v>OK</v>
      </c>
      <c r="AK1349" t="str">
        <f t="shared" si="153"/>
        <v>OK</v>
      </c>
      <c r="AL1349" t="str">
        <f t="shared" si="148"/>
        <v>OK</v>
      </c>
      <c r="AM1349" t="str">
        <f t="shared" si="149"/>
        <v>OK</v>
      </c>
      <c r="AN1349" s="1">
        <f>IF(AF1349=0,0,AH1349/AF1349)</f>
        <v>0</v>
      </c>
      <c r="AO1349" s="1">
        <f t="shared" si="150"/>
        <v>0.1</v>
      </c>
      <c r="AP1349" s="1">
        <f t="shared" si="151"/>
        <v>0.2</v>
      </c>
      <c r="AQ1349" s="1">
        <f t="shared" si="152"/>
        <v>0.8</v>
      </c>
    </row>
    <row r="1350" spans="1:43"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147"/>
        <v>OK</v>
      </c>
      <c r="AK1350" t="str">
        <f t="shared" si="153"/>
        <v>OK</v>
      </c>
      <c r="AL1350" t="str">
        <f t="shared" si="148"/>
        <v>OK</v>
      </c>
      <c r="AM1350" t="str">
        <f t="shared" si="149"/>
        <v>OK</v>
      </c>
      <c r="AN1350" s="1">
        <f>IF(AF1350=0,0,AH1350/AF1350)</f>
        <v>0.57894736842105265</v>
      </c>
      <c r="AO1350" s="1">
        <f t="shared" si="150"/>
        <v>0.36842105263157893</v>
      </c>
      <c r="AP1350" s="1">
        <f t="shared" si="151"/>
        <v>0.15789473684210525</v>
      </c>
      <c r="AQ1350" s="1">
        <f t="shared" si="152"/>
        <v>0.84210526315789469</v>
      </c>
    </row>
    <row r="1351" spans="1:43"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147"/>
        <v>OK</v>
      </c>
      <c r="AK1351" t="str">
        <f t="shared" si="153"/>
        <v>OK</v>
      </c>
      <c r="AL1351" t="str">
        <f t="shared" si="148"/>
        <v>OK</v>
      </c>
      <c r="AM1351" t="str">
        <f t="shared" si="149"/>
        <v>OK</v>
      </c>
      <c r="AN1351" s="1">
        <f>IF(AF1351=0,0,AH1351/AF1351)</f>
        <v>1</v>
      </c>
      <c r="AO1351" s="1">
        <f t="shared" si="150"/>
        <v>0</v>
      </c>
      <c r="AP1351" s="1">
        <f t="shared" si="151"/>
        <v>3</v>
      </c>
      <c r="AQ1351" s="1">
        <f t="shared" si="152"/>
        <v>0</v>
      </c>
    </row>
    <row r="1352" spans="1:43"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147"/>
        <v>OK</v>
      </c>
      <c r="AK1352" t="str">
        <f t="shared" si="153"/>
        <v>OK</v>
      </c>
      <c r="AL1352" t="str">
        <f t="shared" si="148"/>
        <v>OK</v>
      </c>
      <c r="AM1352" t="str">
        <f t="shared" si="149"/>
        <v>OK</v>
      </c>
      <c r="AN1352" s="1">
        <f>IF(AF1352=0,0,AH1352/AF1352)</f>
        <v>0</v>
      </c>
      <c r="AO1352" s="1">
        <f t="shared" si="150"/>
        <v>0.875</v>
      </c>
      <c r="AP1352" s="1">
        <f t="shared" si="151"/>
        <v>0.625</v>
      </c>
      <c r="AQ1352" s="1">
        <f t="shared" si="152"/>
        <v>0.875</v>
      </c>
    </row>
    <row r="1353" spans="1:43"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147"/>
        <v>OK</v>
      </c>
      <c r="AK1353" t="str">
        <f t="shared" si="153"/>
        <v>OK</v>
      </c>
      <c r="AL1353" t="str">
        <f t="shared" si="148"/>
        <v>OK</v>
      </c>
      <c r="AM1353" t="str">
        <f t="shared" si="149"/>
        <v>OK</v>
      </c>
      <c r="AN1353" s="1">
        <f>IF(AF1353=0,0,AH1353/AF1353)</f>
        <v>0.18181818181818182</v>
      </c>
      <c r="AO1353" s="1">
        <f t="shared" si="150"/>
        <v>0.77272727272727271</v>
      </c>
      <c r="AP1353" s="1">
        <f t="shared" si="151"/>
        <v>0.13636363636363635</v>
      </c>
      <c r="AQ1353" s="1">
        <f t="shared" si="152"/>
        <v>0.31818181818181818</v>
      </c>
    </row>
    <row r="1354" spans="1:43"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147"/>
        <v>OK</v>
      </c>
      <c r="AK1354" t="str">
        <f t="shared" si="153"/>
        <v>OK</v>
      </c>
      <c r="AL1354" t="str">
        <f t="shared" si="148"/>
        <v>OK</v>
      </c>
      <c r="AM1354" t="str">
        <f t="shared" si="149"/>
        <v>OK</v>
      </c>
      <c r="AN1354" s="1">
        <f>IF(AF1354=0,0,AH1354/AF1354)</f>
        <v>1</v>
      </c>
      <c r="AO1354" s="1">
        <f t="shared" si="150"/>
        <v>0</v>
      </c>
      <c r="AP1354" s="1">
        <f t="shared" si="151"/>
        <v>2.5</v>
      </c>
      <c r="AQ1354" s="1">
        <f t="shared" si="152"/>
        <v>1</v>
      </c>
    </row>
    <row r="1355" spans="1:43"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147"/>
        <v>OK</v>
      </c>
      <c r="AK1355" t="str">
        <f t="shared" si="153"/>
        <v>OK</v>
      </c>
      <c r="AL1355" t="str">
        <f t="shared" si="148"/>
        <v>OK</v>
      </c>
      <c r="AM1355" t="str">
        <f t="shared" si="149"/>
        <v>OK</v>
      </c>
      <c r="AN1355" s="1">
        <f>IF(AF1355=0,0,AH1355/AF1355)</f>
        <v>0.6</v>
      </c>
      <c r="AO1355" s="1">
        <f t="shared" si="150"/>
        <v>0.4</v>
      </c>
      <c r="AP1355" s="1">
        <f t="shared" si="151"/>
        <v>0.4</v>
      </c>
      <c r="AQ1355" s="1">
        <f t="shared" si="152"/>
        <v>0</v>
      </c>
    </row>
    <row r="1356" spans="1:43"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147"/>
        <v>OK</v>
      </c>
      <c r="AK1356" t="str">
        <f t="shared" si="153"/>
        <v>OK</v>
      </c>
      <c r="AL1356" t="str">
        <f t="shared" si="148"/>
        <v>OK</v>
      </c>
      <c r="AM1356" t="str">
        <f t="shared" si="149"/>
        <v>OK</v>
      </c>
      <c r="AN1356" s="1">
        <f>IF(AF1356=0,0,AH1356/AF1356)</f>
        <v>0.25</v>
      </c>
      <c r="AO1356" s="1">
        <f t="shared" si="150"/>
        <v>0.5</v>
      </c>
      <c r="AP1356" s="1">
        <f t="shared" si="151"/>
        <v>0.75</v>
      </c>
      <c r="AQ1356" s="1">
        <f t="shared" si="152"/>
        <v>0</v>
      </c>
    </row>
    <row r="1357" spans="1:43"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147"/>
        <v>OK</v>
      </c>
      <c r="AK1357" t="str">
        <f t="shared" si="153"/>
        <v>OK</v>
      </c>
      <c r="AL1357" t="str">
        <f t="shared" si="148"/>
        <v>OK</v>
      </c>
      <c r="AM1357" t="str">
        <f t="shared" si="149"/>
        <v>OK</v>
      </c>
      <c r="AN1357" s="1">
        <f>IF(AF1357=0,0,AH1357/AF1357)</f>
        <v>0.25</v>
      </c>
      <c r="AO1357" s="1">
        <f t="shared" si="150"/>
        <v>0.5</v>
      </c>
      <c r="AP1357" s="1">
        <f t="shared" si="151"/>
        <v>0.25</v>
      </c>
      <c r="AQ1357" s="1">
        <f t="shared" si="152"/>
        <v>0.75</v>
      </c>
    </row>
    <row r="1358" spans="1:43"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147"/>
        <v>OK</v>
      </c>
      <c r="AK1358" t="str">
        <f t="shared" si="153"/>
        <v>OK</v>
      </c>
      <c r="AL1358" t="str">
        <f t="shared" si="148"/>
        <v>OK</v>
      </c>
      <c r="AM1358" t="str">
        <f t="shared" si="149"/>
        <v>OK</v>
      </c>
      <c r="AN1358" s="1">
        <f>IF(AF1358=0,0,AH1358/AF1358)</f>
        <v>0.2</v>
      </c>
      <c r="AO1358" s="1">
        <f t="shared" si="150"/>
        <v>0.8</v>
      </c>
      <c r="AP1358" s="1">
        <f t="shared" si="151"/>
        <v>0.6</v>
      </c>
      <c r="AQ1358" s="1">
        <f t="shared" si="152"/>
        <v>0.8</v>
      </c>
    </row>
    <row r="1359" spans="1:43"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147"/>
        <v>OK</v>
      </c>
      <c r="AK1359" t="str">
        <f t="shared" si="153"/>
        <v>OK</v>
      </c>
      <c r="AL1359" t="str">
        <f t="shared" si="148"/>
        <v>OK</v>
      </c>
      <c r="AM1359" t="str">
        <f t="shared" si="149"/>
        <v>OK</v>
      </c>
      <c r="AN1359" s="1">
        <f>IF(AF1359=0,0,AH1359/AF1359)</f>
        <v>0.38461538461538464</v>
      </c>
      <c r="AO1359" s="1">
        <f t="shared" si="150"/>
        <v>0.53846153846153844</v>
      </c>
      <c r="AP1359" s="1">
        <f t="shared" si="151"/>
        <v>0.23076923076923078</v>
      </c>
      <c r="AQ1359" s="1">
        <f t="shared" si="152"/>
        <v>0.53846153846153844</v>
      </c>
    </row>
    <row r="1360" spans="1:43"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147"/>
        <v>OK</v>
      </c>
      <c r="AK1360" t="str">
        <f t="shared" si="153"/>
        <v>OK</v>
      </c>
      <c r="AL1360" t="str">
        <f t="shared" si="148"/>
        <v>OK</v>
      </c>
      <c r="AM1360" t="str">
        <f t="shared" si="149"/>
        <v>OK</v>
      </c>
      <c r="AN1360" s="1">
        <f>IF(AF1360=0,0,AH1360/AF1360)</f>
        <v>0.2</v>
      </c>
      <c r="AO1360" s="1">
        <f t="shared" si="150"/>
        <v>0.4</v>
      </c>
      <c r="AP1360" s="1">
        <f t="shared" si="151"/>
        <v>0.4</v>
      </c>
      <c r="AQ1360" s="1">
        <f t="shared" si="152"/>
        <v>0.8</v>
      </c>
    </row>
    <row r="1361" spans="1:43"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147"/>
        <v>OK</v>
      </c>
      <c r="AK1361" t="str">
        <f t="shared" si="153"/>
        <v>OK</v>
      </c>
      <c r="AL1361" t="str">
        <f t="shared" si="148"/>
        <v>OK</v>
      </c>
      <c r="AM1361" t="str">
        <f t="shared" si="149"/>
        <v>OK</v>
      </c>
      <c r="AN1361" s="1">
        <f>IF(AF1361=0,0,AH1361/AF1361)</f>
        <v>0</v>
      </c>
      <c r="AO1361" s="1">
        <f t="shared" si="150"/>
        <v>0.5</v>
      </c>
      <c r="AP1361" s="1">
        <f t="shared" si="151"/>
        <v>0.75</v>
      </c>
      <c r="AQ1361" s="1">
        <f t="shared" si="152"/>
        <v>0.25</v>
      </c>
    </row>
    <row r="1362" spans="1:43"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147"/>
        <v>OK</v>
      </c>
      <c r="AK1362" t="str">
        <f t="shared" si="153"/>
        <v>OK</v>
      </c>
      <c r="AL1362" t="str">
        <f t="shared" si="148"/>
        <v>OK</v>
      </c>
      <c r="AM1362" t="str">
        <f t="shared" si="149"/>
        <v>OK</v>
      </c>
      <c r="AN1362" s="1">
        <f>IF(AF1362=0,0,AH1362/AF1362)</f>
        <v>1</v>
      </c>
      <c r="AO1362" s="1">
        <f t="shared" si="150"/>
        <v>1</v>
      </c>
      <c r="AP1362" s="1">
        <f t="shared" si="151"/>
        <v>0</v>
      </c>
      <c r="AQ1362" s="1">
        <f t="shared" si="152"/>
        <v>1</v>
      </c>
    </row>
    <row r="1363" spans="1:43"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147"/>
        <v>OK</v>
      </c>
      <c r="AK1363" t="str">
        <f t="shared" si="153"/>
        <v>OK</v>
      </c>
      <c r="AL1363" t="str">
        <f t="shared" si="148"/>
        <v>OK</v>
      </c>
      <c r="AM1363" t="str">
        <f t="shared" si="149"/>
        <v>OK</v>
      </c>
      <c r="AN1363" s="1">
        <f>IF(AF1363=0,0,AH1363/AF1363)</f>
        <v>1</v>
      </c>
      <c r="AO1363" s="1">
        <f t="shared" si="150"/>
        <v>1</v>
      </c>
      <c r="AP1363" s="1">
        <f t="shared" si="151"/>
        <v>0.42857142857142855</v>
      </c>
      <c r="AQ1363" s="1">
        <f t="shared" si="152"/>
        <v>1</v>
      </c>
    </row>
    <row r="1364" spans="1:43"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147"/>
        <v>OK</v>
      </c>
      <c r="AK1364" t="str">
        <f t="shared" si="153"/>
        <v>OK</v>
      </c>
      <c r="AL1364" t="str">
        <f t="shared" si="148"/>
        <v>OK</v>
      </c>
      <c r="AM1364" t="str">
        <f t="shared" si="149"/>
        <v>OK</v>
      </c>
      <c r="AN1364" s="1">
        <f>IF(AF1364=0,0,AH1364/AF1364)</f>
        <v>0</v>
      </c>
      <c r="AO1364" s="1">
        <f t="shared" si="150"/>
        <v>0.5</v>
      </c>
      <c r="AP1364" s="1">
        <f t="shared" si="151"/>
        <v>0.75</v>
      </c>
      <c r="AQ1364" s="1">
        <f t="shared" si="152"/>
        <v>0.75</v>
      </c>
    </row>
    <row r="1365" spans="1:43"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147"/>
        <v>OK</v>
      </c>
      <c r="AK1365" t="str">
        <f t="shared" si="153"/>
        <v>OK</v>
      </c>
      <c r="AL1365" t="str">
        <f t="shared" si="148"/>
        <v>OK</v>
      </c>
      <c r="AM1365" t="str">
        <f t="shared" si="149"/>
        <v>OK</v>
      </c>
      <c r="AN1365" s="1">
        <f>IF(AF1365=0,0,AH1365/AF1365)</f>
        <v>0</v>
      </c>
      <c r="AO1365" s="1">
        <f t="shared" si="150"/>
        <v>0.4</v>
      </c>
      <c r="AP1365" s="1">
        <f t="shared" si="151"/>
        <v>0.2</v>
      </c>
      <c r="AQ1365" s="1">
        <f t="shared" si="152"/>
        <v>0.9</v>
      </c>
    </row>
    <row r="1366" spans="1:43"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147"/>
        <v>OK</v>
      </c>
      <c r="AK1366" t="str">
        <f t="shared" si="153"/>
        <v>OK</v>
      </c>
      <c r="AL1366" t="str">
        <f t="shared" si="148"/>
        <v>OK</v>
      </c>
      <c r="AM1366" t="str">
        <f t="shared" si="149"/>
        <v>OK</v>
      </c>
      <c r="AN1366" s="1">
        <f>IF(AF1366=0,0,AH1366/AF1366)</f>
        <v>0</v>
      </c>
      <c r="AO1366" s="1">
        <f t="shared" si="150"/>
        <v>1</v>
      </c>
      <c r="AP1366" s="1">
        <f t="shared" si="151"/>
        <v>0.2857142857142857</v>
      </c>
      <c r="AQ1366" s="1">
        <f t="shared" si="152"/>
        <v>1</v>
      </c>
    </row>
    <row r="1367" spans="1:43"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147"/>
        <v>OK</v>
      </c>
      <c r="AK1367" t="str">
        <f t="shared" si="153"/>
        <v>OK</v>
      </c>
      <c r="AL1367" t="str">
        <f t="shared" si="148"/>
        <v>OK</v>
      </c>
      <c r="AM1367" t="str">
        <f t="shared" si="149"/>
        <v>OK</v>
      </c>
      <c r="AN1367" s="1">
        <f>IF(AF1367=0,0,AH1367/AF1367)</f>
        <v>0</v>
      </c>
      <c r="AO1367" s="1">
        <f t="shared" si="150"/>
        <v>0</v>
      </c>
      <c r="AP1367" s="1">
        <f t="shared" si="151"/>
        <v>3</v>
      </c>
      <c r="AQ1367" s="1">
        <f t="shared" si="152"/>
        <v>0</v>
      </c>
    </row>
    <row r="1368" spans="1:43"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147"/>
        <v>OK</v>
      </c>
      <c r="AK1368" t="str">
        <f t="shared" si="153"/>
        <v>OK</v>
      </c>
      <c r="AL1368" t="str">
        <f t="shared" si="148"/>
        <v>OK</v>
      </c>
      <c r="AM1368" t="str">
        <f t="shared" si="149"/>
        <v>OK</v>
      </c>
      <c r="AN1368" s="1">
        <f>IF(AF1368=0,0,AH1368/AF1368)</f>
        <v>0.33333333333333331</v>
      </c>
      <c r="AO1368" s="1">
        <f t="shared" si="150"/>
        <v>0.66666666666666663</v>
      </c>
      <c r="AP1368" s="1">
        <f t="shared" si="151"/>
        <v>0.33333333333333331</v>
      </c>
      <c r="AQ1368" s="1">
        <f t="shared" si="152"/>
        <v>0.66666666666666663</v>
      </c>
    </row>
    <row r="1369" spans="1:43"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147"/>
        <v>OK</v>
      </c>
      <c r="AK1369" t="str">
        <f t="shared" si="153"/>
        <v>OK</v>
      </c>
      <c r="AL1369" t="str">
        <f t="shared" si="148"/>
        <v>OK</v>
      </c>
      <c r="AM1369" t="str">
        <f t="shared" si="149"/>
        <v>OK</v>
      </c>
      <c r="AN1369" s="1">
        <f>IF(AF1369=0,0,AH1369/AF1369)</f>
        <v>0.2</v>
      </c>
      <c r="AO1369" s="1">
        <f t="shared" si="150"/>
        <v>0.6</v>
      </c>
      <c r="AP1369" s="1">
        <f t="shared" si="151"/>
        <v>0.6</v>
      </c>
      <c r="AQ1369" s="1">
        <f t="shared" si="152"/>
        <v>0.4</v>
      </c>
    </row>
    <row r="1370" spans="1:43"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147"/>
        <v>OK</v>
      </c>
      <c r="AK1370" t="str">
        <f t="shared" si="153"/>
        <v>OK</v>
      </c>
      <c r="AL1370" t="str">
        <f t="shared" si="148"/>
        <v>OK</v>
      </c>
      <c r="AM1370" t="str">
        <f t="shared" si="149"/>
        <v>OK</v>
      </c>
      <c r="AN1370" s="1">
        <f>IF(AF1370=0,0,AH1370/AF1370)</f>
        <v>0.4</v>
      </c>
      <c r="AO1370" s="1">
        <f t="shared" si="150"/>
        <v>0.66666666666666663</v>
      </c>
      <c r="AP1370" s="1">
        <f t="shared" si="151"/>
        <v>0.2</v>
      </c>
      <c r="AQ1370" s="1">
        <f t="shared" si="152"/>
        <v>0.73333333333333328</v>
      </c>
    </row>
    <row r="1371" spans="1:43"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147"/>
        <v>OK</v>
      </c>
      <c r="AK1371" t="str">
        <f t="shared" si="153"/>
        <v>OK</v>
      </c>
      <c r="AL1371" t="str">
        <f t="shared" si="148"/>
        <v>OK</v>
      </c>
      <c r="AM1371" t="str">
        <f t="shared" si="149"/>
        <v>OK</v>
      </c>
      <c r="AN1371" s="1">
        <f>IF(AF1371=0,0,AH1371/AF1371)</f>
        <v>1</v>
      </c>
      <c r="AO1371" s="1">
        <f t="shared" si="150"/>
        <v>0</v>
      </c>
      <c r="AP1371" s="1">
        <f t="shared" si="151"/>
        <v>0</v>
      </c>
      <c r="AQ1371" s="1">
        <f t="shared" si="152"/>
        <v>1</v>
      </c>
    </row>
    <row r="1372" spans="1:43"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147"/>
        <v>OK</v>
      </c>
      <c r="AK1372" t="str">
        <f t="shared" si="153"/>
        <v>OK</v>
      </c>
      <c r="AL1372" t="str">
        <f t="shared" si="148"/>
        <v>OK</v>
      </c>
      <c r="AM1372" t="str">
        <f t="shared" si="149"/>
        <v>OK</v>
      </c>
      <c r="AN1372" s="1">
        <f>IF(AF1372=0,0,AH1372/AF1372)</f>
        <v>0.125</v>
      </c>
      <c r="AO1372" s="1">
        <f t="shared" si="150"/>
        <v>0.875</v>
      </c>
      <c r="AP1372" s="1">
        <f t="shared" si="151"/>
        <v>0.5</v>
      </c>
      <c r="AQ1372" s="1">
        <f t="shared" si="152"/>
        <v>0.875</v>
      </c>
    </row>
    <row r="1373" spans="1:43"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147"/>
        <v>OK</v>
      </c>
      <c r="AK1373" t="str">
        <f t="shared" si="153"/>
        <v>OK</v>
      </c>
      <c r="AL1373" t="str">
        <f t="shared" si="148"/>
        <v>OK</v>
      </c>
      <c r="AM1373" t="str">
        <f t="shared" si="149"/>
        <v>OK</v>
      </c>
      <c r="AN1373" s="1">
        <f>IF(AF1373=0,0,AH1373/AF1373)</f>
        <v>0</v>
      </c>
      <c r="AO1373" s="1">
        <f t="shared" si="150"/>
        <v>0</v>
      </c>
      <c r="AP1373" s="1">
        <f t="shared" si="151"/>
        <v>0</v>
      </c>
      <c r="AQ1373" s="1">
        <f t="shared" si="152"/>
        <v>0</v>
      </c>
    </row>
    <row r="1374" spans="1:43"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147"/>
        <v>OK</v>
      </c>
      <c r="AK1374" t="str">
        <f t="shared" si="153"/>
        <v>OK</v>
      </c>
      <c r="AL1374" t="str">
        <f t="shared" si="148"/>
        <v>OK</v>
      </c>
      <c r="AM1374" t="str">
        <f t="shared" si="149"/>
        <v>OK</v>
      </c>
      <c r="AN1374" s="1">
        <f>IF(AF1374=0,0,AH1374/AF1374)</f>
        <v>0.7</v>
      </c>
      <c r="AO1374" s="1">
        <f t="shared" si="150"/>
        <v>0</v>
      </c>
      <c r="AP1374" s="1">
        <f t="shared" si="151"/>
        <v>0.3</v>
      </c>
      <c r="AQ1374" s="1">
        <f t="shared" si="152"/>
        <v>0.9</v>
      </c>
    </row>
    <row r="1375" spans="1:43"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147"/>
        <v>OK</v>
      </c>
      <c r="AK1375" t="str">
        <f t="shared" si="153"/>
        <v>OK</v>
      </c>
      <c r="AL1375" t="str">
        <f t="shared" si="148"/>
        <v>OK</v>
      </c>
      <c r="AM1375" t="str">
        <f t="shared" si="149"/>
        <v>OK</v>
      </c>
      <c r="AN1375" s="1">
        <f>IF(AF1375=0,0,AH1375/AF1375)</f>
        <v>0</v>
      </c>
      <c r="AO1375" s="1">
        <f t="shared" si="150"/>
        <v>0.55000000000000004</v>
      </c>
      <c r="AP1375" s="1">
        <f t="shared" si="151"/>
        <v>0.15</v>
      </c>
      <c r="AQ1375" s="1">
        <f t="shared" si="152"/>
        <v>0.35</v>
      </c>
    </row>
    <row r="1376" spans="1:43"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147"/>
        <v>OK</v>
      </c>
      <c r="AK1376" t="str">
        <f t="shared" si="153"/>
        <v>OK</v>
      </c>
      <c r="AL1376" t="str">
        <f t="shared" si="148"/>
        <v>OK</v>
      </c>
      <c r="AM1376" t="str">
        <f t="shared" si="149"/>
        <v>OK</v>
      </c>
      <c r="AN1376" s="1">
        <f>IF(AF1376=0,0,AH1376/AF1376)</f>
        <v>0</v>
      </c>
      <c r="AO1376" s="1">
        <f t="shared" si="150"/>
        <v>0</v>
      </c>
      <c r="AP1376" s="1">
        <f t="shared" si="151"/>
        <v>2</v>
      </c>
      <c r="AQ1376" s="1">
        <f t="shared" si="152"/>
        <v>0</v>
      </c>
    </row>
    <row r="1377" spans="1:43"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147"/>
        <v>OK</v>
      </c>
      <c r="AK1377" t="str">
        <f t="shared" si="153"/>
        <v>OK</v>
      </c>
      <c r="AL1377" t="str">
        <f t="shared" si="148"/>
        <v>OK</v>
      </c>
      <c r="AM1377" t="str">
        <f t="shared" si="149"/>
        <v>OK</v>
      </c>
      <c r="AN1377" s="1">
        <f>IF(AF1377=0,0,AH1377/AF1377)</f>
        <v>0</v>
      </c>
      <c r="AO1377" s="1">
        <f t="shared" si="150"/>
        <v>0.25</v>
      </c>
      <c r="AP1377" s="1">
        <f t="shared" si="151"/>
        <v>0.5</v>
      </c>
      <c r="AQ1377" s="1">
        <f t="shared" si="152"/>
        <v>0.75</v>
      </c>
    </row>
    <row r="1378" spans="1:43"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147"/>
        <v>OK</v>
      </c>
      <c r="AK1378" t="str">
        <f t="shared" si="153"/>
        <v>OK</v>
      </c>
      <c r="AL1378" t="str">
        <f t="shared" si="148"/>
        <v>OK</v>
      </c>
      <c r="AM1378" t="str">
        <f t="shared" si="149"/>
        <v>OK</v>
      </c>
      <c r="AN1378" s="1">
        <f>IF(AF1378=0,0,AH1378/AF1378)</f>
        <v>0</v>
      </c>
      <c r="AO1378" s="1">
        <f t="shared" si="150"/>
        <v>0.4</v>
      </c>
      <c r="AP1378" s="1">
        <f t="shared" si="151"/>
        <v>0</v>
      </c>
      <c r="AQ1378" s="1">
        <f t="shared" si="152"/>
        <v>0.6</v>
      </c>
    </row>
    <row r="1379" spans="1:43"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147"/>
        <v>OK</v>
      </c>
      <c r="AK1379" t="str">
        <f t="shared" si="153"/>
        <v>OK</v>
      </c>
      <c r="AL1379" t="str">
        <f t="shared" si="148"/>
        <v>OK</v>
      </c>
      <c r="AM1379" t="str">
        <f t="shared" si="149"/>
        <v>OK</v>
      </c>
      <c r="AN1379" s="1">
        <f>IF(AF1379=0,0,AH1379/AF1379)</f>
        <v>0.8</v>
      </c>
      <c r="AO1379" s="1">
        <f t="shared" si="150"/>
        <v>0.8</v>
      </c>
      <c r="AP1379" s="1">
        <f t="shared" si="151"/>
        <v>0.6</v>
      </c>
      <c r="AQ1379" s="1">
        <f t="shared" si="152"/>
        <v>0.6</v>
      </c>
    </row>
    <row r="1380" spans="1:43"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147"/>
        <v>OK</v>
      </c>
      <c r="AK1380" t="str">
        <f t="shared" si="153"/>
        <v>OK</v>
      </c>
      <c r="AL1380" t="str">
        <f t="shared" si="148"/>
        <v>OK</v>
      </c>
      <c r="AM1380" t="str">
        <f t="shared" si="149"/>
        <v>OK</v>
      </c>
      <c r="AN1380" s="1">
        <f>IF(AF1380=0,0,AH1380/AF1380)</f>
        <v>0</v>
      </c>
      <c r="AO1380" s="1">
        <f t="shared" si="150"/>
        <v>0</v>
      </c>
      <c r="AP1380" s="1">
        <f t="shared" si="151"/>
        <v>0</v>
      </c>
      <c r="AQ1380" s="1">
        <f t="shared" si="152"/>
        <v>0</v>
      </c>
    </row>
    <row r="1381" spans="1:43"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147"/>
        <v>OK</v>
      </c>
      <c r="AK1381" t="str">
        <f t="shared" si="153"/>
        <v>OK</v>
      </c>
      <c r="AL1381" t="str">
        <f t="shared" si="148"/>
        <v>OK</v>
      </c>
      <c r="AM1381" t="str">
        <f t="shared" si="149"/>
        <v>OK</v>
      </c>
      <c r="AN1381" s="1">
        <f>IF(AF1381=0,0,AH1381/AF1381)</f>
        <v>0</v>
      </c>
      <c r="AO1381" s="1">
        <f t="shared" si="150"/>
        <v>0</v>
      </c>
      <c r="AP1381" s="1">
        <f t="shared" si="151"/>
        <v>2</v>
      </c>
      <c r="AQ1381" s="1">
        <f t="shared" si="152"/>
        <v>0</v>
      </c>
    </row>
    <row r="1382" spans="1:43"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147"/>
        <v>OK</v>
      </c>
      <c r="AK1382" t="str">
        <f t="shared" si="153"/>
        <v>OK</v>
      </c>
      <c r="AL1382" t="str">
        <f t="shared" si="148"/>
        <v>OK</v>
      </c>
      <c r="AM1382" t="str">
        <f t="shared" si="149"/>
        <v>OK</v>
      </c>
      <c r="AN1382" s="1">
        <f>IF(AF1382=0,0,AH1382/AF1382)</f>
        <v>0</v>
      </c>
      <c r="AO1382" s="1">
        <f t="shared" si="150"/>
        <v>0.6</v>
      </c>
      <c r="AP1382" s="1">
        <f t="shared" si="151"/>
        <v>0.4</v>
      </c>
      <c r="AQ1382" s="1">
        <f t="shared" si="152"/>
        <v>0.8</v>
      </c>
    </row>
    <row r="1383" spans="1:43"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147"/>
        <v>OK</v>
      </c>
      <c r="AK1383" t="str">
        <f t="shared" si="153"/>
        <v>OK</v>
      </c>
      <c r="AL1383" t="str">
        <f t="shared" si="148"/>
        <v>OK</v>
      </c>
      <c r="AM1383" t="str">
        <f t="shared" si="149"/>
        <v>OK</v>
      </c>
      <c r="AN1383" s="1">
        <f>IF(AF1383=0,0,AH1383/AF1383)</f>
        <v>0.2</v>
      </c>
      <c r="AO1383" s="1">
        <f t="shared" si="150"/>
        <v>0.6</v>
      </c>
      <c r="AP1383" s="1">
        <f t="shared" si="151"/>
        <v>0.6</v>
      </c>
      <c r="AQ1383" s="1">
        <f t="shared" si="152"/>
        <v>0.8</v>
      </c>
    </row>
    <row r="1384" spans="1:43"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147"/>
        <v>OK</v>
      </c>
      <c r="AK1384" t="str">
        <f t="shared" si="153"/>
        <v>OK</v>
      </c>
      <c r="AL1384" t="str">
        <f t="shared" si="148"/>
        <v>OK</v>
      </c>
      <c r="AM1384" t="str">
        <f t="shared" si="149"/>
        <v>OK</v>
      </c>
      <c r="AN1384" s="1">
        <f>IF(AF1384=0,0,AH1384/AF1384)</f>
        <v>0.5</v>
      </c>
      <c r="AO1384" s="1">
        <f t="shared" si="150"/>
        <v>0.5</v>
      </c>
      <c r="AP1384" s="1">
        <f t="shared" si="151"/>
        <v>0.75</v>
      </c>
      <c r="AQ1384" s="1">
        <f t="shared" si="152"/>
        <v>0.75</v>
      </c>
    </row>
    <row r="1385" spans="1:43"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147"/>
        <v>OK</v>
      </c>
      <c r="AK1385" t="str">
        <f t="shared" si="153"/>
        <v>OK</v>
      </c>
      <c r="AL1385" t="str">
        <f t="shared" si="148"/>
        <v>OK</v>
      </c>
      <c r="AM1385" t="str">
        <f t="shared" si="149"/>
        <v>OK</v>
      </c>
      <c r="AN1385" s="1">
        <f>IF(AF1385=0,0,AH1385/AF1385)</f>
        <v>0</v>
      </c>
      <c r="AO1385" s="1">
        <f t="shared" si="150"/>
        <v>0.8</v>
      </c>
      <c r="AP1385" s="1">
        <f t="shared" si="151"/>
        <v>0.6</v>
      </c>
      <c r="AQ1385" s="1">
        <f t="shared" si="152"/>
        <v>0.4</v>
      </c>
    </row>
    <row r="1386" spans="1:43"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147"/>
        <v>OK</v>
      </c>
      <c r="AK1386" t="str">
        <f t="shared" si="153"/>
        <v>OK</v>
      </c>
      <c r="AL1386" t="str">
        <f t="shared" si="148"/>
        <v>OK</v>
      </c>
      <c r="AM1386" t="str">
        <f t="shared" si="149"/>
        <v>OK</v>
      </c>
      <c r="AN1386" s="1">
        <f>IF(AF1386=0,0,AH1386/AF1386)</f>
        <v>0.14285714285714285</v>
      </c>
      <c r="AO1386" s="1">
        <f t="shared" si="150"/>
        <v>0.5714285714285714</v>
      </c>
      <c r="AP1386" s="1">
        <f t="shared" si="151"/>
        <v>0.21428571428571427</v>
      </c>
      <c r="AQ1386" s="1">
        <f t="shared" si="152"/>
        <v>7.1428571428571425E-2</v>
      </c>
    </row>
    <row r="1387" spans="1:43"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147"/>
        <v>OK</v>
      </c>
      <c r="AK1387" t="str">
        <f t="shared" si="153"/>
        <v>OK</v>
      </c>
      <c r="AL1387" t="str">
        <f t="shared" si="148"/>
        <v>OK</v>
      </c>
      <c r="AM1387" t="str">
        <f t="shared" si="149"/>
        <v>OK</v>
      </c>
      <c r="AN1387" s="1">
        <f>IF(AF1387=0,0,AH1387/AF1387)</f>
        <v>0.125</v>
      </c>
      <c r="AO1387" s="1">
        <f t="shared" si="150"/>
        <v>0.875</v>
      </c>
      <c r="AP1387" s="1">
        <f t="shared" si="151"/>
        <v>0.25</v>
      </c>
      <c r="AQ1387" s="1">
        <f t="shared" si="152"/>
        <v>0.125</v>
      </c>
    </row>
    <row r="1388" spans="1:43"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147"/>
        <v>OK</v>
      </c>
      <c r="AK1388" t="str">
        <f t="shared" si="153"/>
        <v>OK</v>
      </c>
      <c r="AL1388" t="str">
        <f t="shared" si="148"/>
        <v>OK</v>
      </c>
      <c r="AM1388" t="str">
        <f t="shared" si="149"/>
        <v>OK</v>
      </c>
      <c r="AN1388" s="1">
        <f>IF(AF1388=0,0,AH1388/AF1388)</f>
        <v>1</v>
      </c>
      <c r="AO1388" s="1">
        <f t="shared" si="150"/>
        <v>1</v>
      </c>
      <c r="AP1388" s="1">
        <f t="shared" si="151"/>
        <v>0.8571428571428571</v>
      </c>
      <c r="AQ1388" s="1">
        <f t="shared" si="152"/>
        <v>0.8571428571428571</v>
      </c>
    </row>
    <row r="1389" spans="1:43"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147"/>
        <v>OK</v>
      </c>
      <c r="AK1389" t="str">
        <f t="shared" si="153"/>
        <v>OK</v>
      </c>
      <c r="AL1389" t="str">
        <f t="shared" si="148"/>
        <v>OK</v>
      </c>
      <c r="AM1389" t="str">
        <f t="shared" si="149"/>
        <v>OK</v>
      </c>
      <c r="AN1389" s="1">
        <f>IF(AF1389=0,0,AH1389/AF1389)</f>
        <v>0</v>
      </c>
      <c r="AO1389" s="1">
        <f t="shared" si="150"/>
        <v>0.6</v>
      </c>
      <c r="AP1389" s="1">
        <f t="shared" si="151"/>
        <v>1</v>
      </c>
      <c r="AQ1389" s="1">
        <f t="shared" si="152"/>
        <v>0.4</v>
      </c>
    </row>
    <row r="1390" spans="1:43"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147"/>
        <v>OK</v>
      </c>
      <c r="AK1390" t="str">
        <f t="shared" si="153"/>
        <v>OK</v>
      </c>
      <c r="AL1390" t="str">
        <f t="shared" si="148"/>
        <v>OK</v>
      </c>
      <c r="AM1390" t="str">
        <f t="shared" si="149"/>
        <v>OK</v>
      </c>
      <c r="AN1390" s="1">
        <f>IF(AF1390=0,0,AH1390/AF1390)</f>
        <v>0.2</v>
      </c>
      <c r="AO1390" s="1">
        <f t="shared" si="150"/>
        <v>0.2</v>
      </c>
      <c r="AP1390" s="1">
        <f t="shared" si="151"/>
        <v>1.2</v>
      </c>
      <c r="AQ1390" s="1">
        <f t="shared" si="152"/>
        <v>0.4</v>
      </c>
    </row>
    <row r="1391" spans="1:43"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147"/>
        <v>OK</v>
      </c>
      <c r="AK1391" t="str">
        <f t="shared" si="153"/>
        <v>OK</v>
      </c>
      <c r="AL1391" t="str">
        <f t="shared" si="148"/>
        <v>OK</v>
      </c>
      <c r="AM1391" t="str">
        <f t="shared" si="149"/>
        <v>OK</v>
      </c>
      <c r="AN1391" s="1">
        <f>IF(AF1391=0,0,AH1391/AF1391)</f>
        <v>0.8</v>
      </c>
      <c r="AO1391" s="1">
        <f t="shared" si="150"/>
        <v>0.8</v>
      </c>
      <c r="AP1391" s="1">
        <f t="shared" si="151"/>
        <v>0.6</v>
      </c>
      <c r="AQ1391" s="1">
        <f t="shared" si="152"/>
        <v>0.7</v>
      </c>
    </row>
    <row r="1392" spans="1:43"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147"/>
        <v>OK</v>
      </c>
      <c r="AK1392" t="str">
        <f t="shared" si="153"/>
        <v>OK</v>
      </c>
      <c r="AL1392" t="str">
        <f t="shared" si="148"/>
        <v>OK</v>
      </c>
      <c r="AM1392" t="str">
        <f t="shared" si="149"/>
        <v>OK</v>
      </c>
      <c r="AN1392" s="1">
        <f>IF(AF1392=0,0,AH1392/AF1392)</f>
        <v>0</v>
      </c>
      <c r="AO1392" s="1">
        <f t="shared" si="150"/>
        <v>0.25</v>
      </c>
      <c r="AP1392" s="1">
        <f t="shared" si="151"/>
        <v>0.5</v>
      </c>
      <c r="AQ1392" s="1">
        <f t="shared" si="152"/>
        <v>0.75</v>
      </c>
    </row>
    <row r="1393" spans="1:43"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147"/>
        <v>OK</v>
      </c>
      <c r="AK1393" t="str">
        <f t="shared" si="153"/>
        <v>OK</v>
      </c>
      <c r="AL1393" t="str">
        <f t="shared" si="148"/>
        <v>OK</v>
      </c>
      <c r="AM1393" t="str">
        <f t="shared" si="149"/>
        <v>OK</v>
      </c>
      <c r="AN1393" s="1">
        <f>IF(AF1393=0,0,AH1393/AF1393)</f>
        <v>0</v>
      </c>
      <c r="AO1393" s="1">
        <f t="shared" si="150"/>
        <v>0</v>
      </c>
      <c r="AP1393" s="1">
        <f t="shared" si="151"/>
        <v>3</v>
      </c>
      <c r="AQ1393" s="1">
        <f t="shared" si="152"/>
        <v>0</v>
      </c>
    </row>
    <row r="1394" spans="1:43"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147"/>
        <v>OK</v>
      </c>
      <c r="AK1394" t="str">
        <f t="shared" si="153"/>
        <v>OK</v>
      </c>
      <c r="AL1394" t="str">
        <f t="shared" si="148"/>
        <v>OK</v>
      </c>
      <c r="AM1394" t="str">
        <f t="shared" si="149"/>
        <v>OK</v>
      </c>
      <c r="AN1394" s="1">
        <f>IF(AF1394=0,0,AH1394/AF1394)</f>
        <v>0</v>
      </c>
      <c r="AO1394" s="1">
        <f t="shared" si="150"/>
        <v>0.8</v>
      </c>
      <c r="AP1394" s="1">
        <f t="shared" si="151"/>
        <v>0.2</v>
      </c>
      <c r="AQ1394" s="1">
        <f t="shared" si="152"/>
        <v>0.9</v>
      </c>
    </row>
    <row r="1395" spans="1:43"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147"/>
        <v>OK</v>
      </c>
      <c r="AK1395" t="str">
        <f t="shared" si="153"/>
        <v>OK</v>
      </c>
      <c r="AL1395" t="str">
        <f t="shared" si="148"/>
        <v>OK</v>
      </c>
      <c r="AM1395" t="str">
        <f t="shared" si="149"/>
        <v>OK</v>
      </c>
      <c r="AN1395" s="1">
        <f>IF(AF1395=0,0,AH1395/AF1395)</f>
        <v>0</v>
      </c>
      <c r="AO1395" s="1">
        <f t="shared" si="150"/>
        <v>1</v>
      </c>
      <c r="AP1395" s="1">
        <f t="shared" si="151"/>
        <v>0.7142857142857143</v>
      </c>
      <c r="AQ1395" s="1">
        <f t="shared" si="152"/>
        <v>1</v>
      </c>
    </row>
    <row r="1396" spans="1:43"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147"/>
        <v>OK</v>
      </c>
      <c r="AK1396" t="str">
        <f t="shared" si="153"/>
        <v>OK</v>
      </c>
      <c r="AL1396" t="str">
        <f t="shared" si="148"/>
        <v>OK</v>
      </c>
      <c r="AM1396" t="str">
        <f t="shared" si="149"/>
        <v>OK</v>
      </c>
      <c r="AN1396" s="1">
        <f>IF(AF1396=0,0,AH1396/AF1396)</f>
        <v>0</v>
      </c>
      <c r="AO1396" s="1">
        <f t="shared" si="150"/>
        <v>0</v>
      </c>
      <c r="AP1396" s="1">
        <f t="shared" si="151"/>
        <v>1</v>
      </c>
      <c r="AQ1396" s="1">
        <f t="shared" si="152"/>
        <v>0</v>
      </c>
    </row>
    <row r="1397" spans="1:43"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147"/>
        <v>OK</v>
      </c>
      <c r="AK1397" t="str">
        <f t="shared" si="153"/>
        <v>OK</v>
      </c>
      <c r="AL1397" t="str">
        <f t="shared" si="148"/>
        <v>OK</v>
      </c>
      <c r="AM1397" t="str">
        <f t="shared" si="149"/>
        <v>OK</v>
      </c>
      <c r="AN1397" s="1">
        <f>IF(AF1397=0,0,AH1397/AF1397)</f>
        <v>0</v>
      </c>
      <c r="AO1397" s="1">
        <f t="shared" si="150"/>
        <v>0.7</v>
      </c>
      <c r="AP1397" s="1">
        <f t="shared" si="151"/>
        <v>0.4</v>
      </c>
      <c r="AQ1397" s="1">
        <f t="shared" si="152"/>
        <v>0.8</v>
      </c>
    </row>
    <row r="1398" spans="1:43"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147"/>
        <v>OK</v>
      </c>
      <c r="AK1398" t="str">
        <f t="shared" si="153"/>
        <v>OK</v>
      </c>
      <c r="AL1398" t="str">
        <f t="shared" si="148"/>
        <v>OK</v>
      </c>
      <c r="AM1398" t="str">
        <f t="shared" si="149"/>
        <v>OK</v>
      </c>
      <c r="AN1398" s="1">
        <f>IF(AF1398=0,0,AH1398/AF1398)</f>
        <v>1</v>
      </c>
      <c r="AO1398" s="1">
        <f t="shared" si="150"/>
        <v>1</v>
      </c>
      <c r="AP1398" s="1">
        <f t="shared" si="151"/>
        <v>1</v>
      </c>
      <c r="AQ1398" s="1">
        <f t="shared" si="152"/>
        <v>1</v>
      </c>
    </row>
    <row r="1399" spans="1:43"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147"/>
        <v>OK</v>
      </c>
      <c r="AK1399" t="str">
        <f t="shared" si="153"/>
        <v>OK</v>
      </c>
      <c r="AL1399" t="str">
        <f t="shared" si="148"/>
        <v>OK</v>
      </c>
      <c r="AM1399" t="str">
        <f t="shared" si="149"/>
        <v>OK</v>
      </c>
      <c r="AN1399" s="1">
        <f>IF(AF1399=0,0,AH1399/AF1399)</f>
        <v>0.5</v>
      </c>
      <c r="AO1399" s="1">
        <f t="shared" si="150"/>
        <v>0.75</v>
      </c>
      <c r="AP1399" s="1">
        <f t="shared" si="151"/>
        <v>1.5</v>
      </c>
      <c r="AQ1399" s="1">
        <f t="shared" si="152"/>
        <v>0.75</v>
      </c>
    </row>
    <row r="1400" spans="1:43"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147"/>
        <v>OK</v>
      </c>
      <c r="AK1400" t="str">
        <f t="shared" si="153"/>
        <v>OK</v>
      </c>
      <c r="AL1400" t="str">
        <f t="shared" si="148"/>
        <v>OK</v>
      </c>
      <c r="AM1400" t="str">
        <f t="shared" si="149"/>
        <v>OK</v>
      </c>
      <c r="AN1400" s="1">
        <f>IF(AF1400=0,0,AH1400/AF1400)</f>
        <v>0.22222222222222221</v>
      </c>
      <c r="AO1400" s="1">
        <f t="shared" si="150"/>
        <v>0.77777777777777779</v>
      </c>
      <c r="AP1400" s="1">
        <f t="shared" si="151"/>
        <v>0.22222222222222221</v>
      </c>
      <c r="AQ1400" s="1">
        <f t="shared" si="152"/>
        <v>0.88888888888888884</v>
      </c>
    </row>
    <row r="1401" spans="1:43"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147"/>
        <v>OK</v>
      </c>
      <c r="AK1401" t="str">
        <f t="shared" si="153"/>
        <v>OK</v>
      </c>
      <c r="AL1401" t="str">
        <f t="shared" si="148"/>
        <v>OK</v>
      </c>
      <c r="AM1401" t="str">
        <f t="shared" si="149"/>
        <v>OK</v>
      </c>
      <c r="AN1401" s="1">
        <f>IF(AF1401=0,0,AH1401/AF1401)</f>
        <v>0</v>
      </c>
      <c r="AO1401" s="1">
        <f t="shared" si="150"/>
        <v>0.9</v>
      </c>
      <c r="AP1401" s="1">
        <f t="shared" si="151"/>
        <v>0.1</v>
      </c>
      <c r="AQ1401" s="1">
        <f t="shared" si="152"/>
        <v>0.9</v>
      </c>
    </row>
    <row r="1402" spans="1:43"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147"/>
        <v>OK</v>
      </c>
      <c r="AK1402" t="str">
        <f t="shared" si="153"/>
        <v>OK</v>
      </c>
      <c r="AL1402" t="str">
        <f t="shared" si="148"/>
        <v>OK</v>
      </c>
      <c r="AM1402" t="str">
        <f t="shared" si="149"/>
        <v>OK</v>
      </c>
      <c r="AN1402" s="1">
        <f>IF(AF1402=0,0,AH1402/AF1402)</f>
        <v>0.16666666666666666</v>
      </c>
      <c r="AO1402" s="1">
        <f t="shared" si="150"/>
        <v>0.33333333333333331</v>
      </c>
      <c r="AP1402" s="1">
        <f t="shared" si="151"/>
        <v>0.33333333333333331</v>
      </c>
      <c r="AQ1402" s="1">
        <f t="shared" si="152"/>
        <v>0.33333333333333331</v>
      </c>
    </row>
    <row r="1403" spans="1:43"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147"/>
        <v>OK</v>
      </c>
      <c r="AK1403" t="str">
        <f t="shared" si="153"/>
        <v>OK</v>
      </c>
      <c r="AL1403" t="str">
        <f t="shared" si="148"/>
        <v>OK</v>
      </c>
      <c r="AM1403" t="str">
        <f t="shared" si="149"/>
        <v>OK</v>
      </c>
      <c r="AN1403" s="1">
        <f>IF(AF1403=0,0,AH1403/AF1403)</f>
        <v>0.1</v>
      </c>
      <c r="AO1403" s="1">
        <f t="shared" si="150"/>
        <v>0.9</v>
      </c>
      <c r="AP1403" s="1">
        <f t="shared" si="151"/>
        <v>0</v>
      </c>
      <c r="AQ1403" s="1">
        <f t="shared" si="152"/>
        <v>0.4</v>
      </c>
    </row>
    <row r="1404" spans="1:43"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147"/>
        <v>OK</v>
      </c>
      <c r="AK1404" t="str">
        <f t="shared" si="153"/>
        <v>OK</v>
      </c>
      <c r="AL1404" t="str">
        <f t="shared" si="148"/>
        <v>OK</v>
      </c>
      <c r="AM1404" t="str">
        <f t="shared" si="149"/>
        <v>OK</v>
      </c>
      <c r="AN1404" s="1">
        <f>IF(AF1404=0,0,AH1404/AF1404)</f>
        <v>0</v>
      </c>
      <c r="AO1404" s="1">
        <f t="shared" si="150"/>
        <v>0</v>
      </c>
      <c r="AP1404" s="1">
        <f t="shared" si="151"/>
        <v>4</v>
      </c>
      <c r="AQ1404" s="1">
        <f t="shared" si="152"/>
        <v>0</v>
      </c>
    </row>
    <row r="1405" spans="1:43"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147"/>
        <v>OK</v>
      </c>
      <c r="AK1405" t="str">
        <f t="shared" si="153"/>
        <v>OK</v>
      </c>
      <c r="AL1405" t="str">
        <f t="shared" si="148"/>
        <v>OK</v>
      </c>
      <c r="AM1405" t="str">
        <f t="shared" si="149"/>
        <v>OK</v>
      </c>
      <c r="AN1405" s="1">
        <f>IF(AF1405=0,0,AH1405/AF1405)</f>
        <v>0.55000000000000004</v>
      </c>
      <c r="AO1405" s="1">
        <f t="shared" si="150"/>
        <v>0.4</v>
      </c>
      <c r="AP1405" s="1">
        <f t="shared" si="151"/>
        <v>0.15</v>
      </c>
      <c r="AQ1405" s="1">
        <f t="shared" si="152"/>
        <v>0.5</v>
      </c>
    </row>
    <row r="1406" spans="1:43"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147"/>
        <v>OK</v>
      </c>
      <c r="AK1406" t="str">
        <f t="shared" si="153"/>
        <v>OK</v>
      </c>
      <c r="AL1406" t="str">
        <f t="shared" si="148"/>
        <v>OK</v>
      </c>
      <c r="AM1406" t="str">
        <f t="shared" si="149"/>
        <v>OK</v>
      </c>
      <c r="AN1406" s="1">
        <f>IF(AF1406=0,0,AH1406/AF1406)</f>
        <v>0.15</v>
      </c>
      <c r="AO1406" s="1">
        <f t="shared" si="150"/>
        <v>0.45</v>
      </c>
      <c r="AP1406" s="1">
        <f t="shared" si="151"/>
        <v>0.1</v>
      </c>
      <c r="AQ1406" s="1">
        <f t="shared" si="152"/>
        <v>0.35</v>
      </c>
    </row>
    <row r="1407" spans="1:43"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147"/>
        <v>OK</v>
      </c>
      <c r="AK1407" t="str">
        <f t="shared" si="153"/>
        <v>OK</v>
      </c>
      <c r="AL1407" t="str">
        <f t="shared" si="148"/>
        <v>OK</v>
      </c>
      <c r="AM1407" t="str">
        <f t="shared" si="149"/>
        <v>OK</v>
      </c>
      <c r="AN1407" s="1">
        <f>IF(AF1407=0,0,AH1407/AF1407)</f>
        <v>0.36363636363636365</v>
      </c>
      <c r="AO1407" s="1">
        <f t="shared" si="150"/>
        <v>0.63636363636363635</v>
      </c>
      <c r="AP1407" s="1">
        <f t="shared" si="151"/>
        <v>0.18181818181818182</v>
      </c>
      <c r="AQ1407" s="1">
        <f t="shared" si="152"/>
        <v>0.72727272727272729</v>
      </c>
    </row>
    <row r="1408" spans="1:43"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147"/>
        <v>OK</v>
      </c>
      <c r="AK1408" t="str">
        <f t="shared" si="153"/>
        <v>OK</v>
      </c>
      <c r="AL1408" t="str">
        <f t="shared" si="148"/>
        <v>OK</v>
      </c>
      <c r="AM1408" t="str">
        <f t="shared" si="149"/>
        <v>OK</v>
      </c>
      <c r="AN1408" s="1">
        <f>IF(AF1408=0,0,AH1408/AF1408)</f>
        <v>0.2</v>
      </c>
      <c r="AO1408" s="1">
        <f t="shared" si="150"/>
        <v>0.4</v>
      </c>
      <c r="AP1408" s="1">
        <f t="shared" si="151"/>
        <v>0.6</v>
      </c>
      <c r="AQ1408" s="1">
        <f t="shared" si="152"/>
        <v>0.8</v>
      </c>
    </row>
    <row r="1409" spans="1:43"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147"/>
        <v>OK</v>
      </c>
      <c r="AK1409" t="str">
        <f t="shared" si="153"/>
        <v>OK</v>
      </c>
      <c r="AL1409" t="str">
        <f t="shared" si="148"/>
        <v>OK</v>
      </c>
      <c r="AM1409" t="str">
        <f t="shared" si="149"/>
        <v>OK</v>
      </c>
      <c r="AN1409" s="1">
        <f>IF(AF1409=0,0,AH1409/AF1409)</f>
        <v>0.25</v>
      </c>
      <c r="AO1409" s="1">
        <f t="shared" si="150"/>
        <v>0.75</v>
      </c>
      <c r="AP1409" s="1">
        <f t="shared" si="151"/>
        <v>0.5</v>
      </c>
      <c r="AQ1409" s="1">
        <f t="shared" si="152"/>
        <v>0.5</v>
      </c>
    </row>
    <row r="1410" spans="1:43"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si="147"/>
        <v>OK</v>
      </c>
      <c r="AK1410" t="str">
        <f t="shared" si="153"/>
        <v>OK</v>
      </c>
      <c r="AL1410" t="str">
        <f t="shared" si="148"/>
        <v>OK</v>
      </c>
      <c r="AM1410" t="str">
        <f t="shared" si="149"/>
        <v>OK</v>
      </c>
      <c r="AN1410" s="1">
        <f>IF(AF1410=0,0,AH1410/AF1410)</f>
        <v>0.2</v>
      </c>
      <c r="AO1410" s="1">
        <f t="shared" si="150"/>
        <v>0.4</v>
      </c>
      <c r="AP1410" s="1">
        <f t="shared" si="151"/>
        <v>1.2</v>
      </c>
      <c r="AQ1410" s="1">
        <f t="shared" si="152"/>
        <v>0.8</v>
      </c>
    </row>
    <row r="1411" spans="1:43"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ref="AJ1411:AJ1467" si="154">IF(AF1411&lt;=AC1411, "OK", "ERROR")</f>
        <v>OK</v>
      </c>
      <c r="AK1411" t="str">
        <f t="shared" si="153"/>
        <v>OK</v>
      </c>
      <c r="AL1411" t="str">
        <f t="shared" ref="AL1411:AL1471" si="155">IF(AG1411&lt;=AF1411,"OK","ERROR")</f>
        <v>OK</v>
      </c>
      <c r="AM1411" t="str">
        <f t="shared" ref="AM1411:AM1470" si="156">IF(AI1411&lt;=AF1411,"OK","ERROR")</f>
        <v>OK</v>
      </c>
      <c r="AN1411" s="1">
        <f>IF(AF1411=0,0,AH1411/AF1411)</f>
        <v>0.9</v>
      </c>
      <c r="AO1411" s="1">
        <f t="shared" ref="AO1411:AO1472" si="157">IF(AF1411=0,0,AG1411/AF1411)</f>
        <v>0.9</v>
      </c>
      <c r="AP1411" s="1">
        <f t="shared" ref="AP1411:AP1471" si="158">IF(AF1411=0,0,AD1411/AF1411)</f>
        <v>0.2</v>
      </c>
      <c r="AQ1411" s="1">
        <f t="shared" ref="AQ1411:AQ1472" si="159">IF(AF1411=0,0,AI1411/AF1411)</f>
        <v>0.4</v>
      </c>
    </row>
    <row r="1412" spans="1:43"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154"/>
        <v>OK</v>
      </c>
      <c r="AK1412" t="str">
        <f t="shared" ref="AK1412:AK1471" si="160">IF(AH1412&lt;=AF1412,"OK", "ERROR")</f>
        <v>OK</v>
      </c>
      <c r="AL1412" t="str">
        <f t="shared" si="155"/>
        <v>OK</v>
      </c>
      <c r="AM1412" t="str">
        <f t="shared" si="156"/>
        <v>OK</v>
      </c>
      <c r="AN1412" s="1">
        <f>IF(AF1412=0,0,AH1412/AF1412)</f>
        <v>0.45454545454545453</v>
      </c>
      <c r="AO1412" s="1">
        <f t="shared" si="157"/>
        <v>0.72727272727272729</v>
      </c>
      <c r="AP1412" s="1">
        <f t="shared" si="158"/>
        <v>0.36363636363636365</v>
      </c>
      <c r="AQ1412" s="1">
        <f t="shared" si="159"/>
        <v>0.90909090909090906</v>
      </c>
    </row>
    <row r="1413" spans="1:43"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154"/>
        <v>OK</v>
      </c>
      <c r="AK1413" t="str">
        <f t="shared" si="160"/>
        <v>OK</v>
      </c>
      <c r="AL1413" t="str">
        <f t="shared" si="155"/>
        <v>OK</v>
      </c>
      <c r="AM1413" t="str">
        <f t="shared" si="156"/>
        <v>OK</v>
      </c>
      <c r="AN1413" s="1">
        <f>IF(AF1413=0,0,AH1413/AF1413)</f>
        <v>0.5</v>
      </c>
      <c r="AO1413" s="1">
        <f t="shared" si="157"/>
        <v>0</v>
      </c>
      <c r="AP1413" s="1">
        <f t="shared" si="158"/>
        <v>1.5</v>
      </c>
      <c r="AQ1413" s="1">
        <f t="shared" si="159"/>
        <v>1</v>
      </c>
    </row>
    <row r="1414" spans="1:43"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154"/>
        <v>OK</v>
      </c>
      <c r="AK1414" t="str">
        <f t="shared" si="160"/>
        <v>OK</v>
      </c>
      <c r="AL1414" t="str">
        <f t="shared" si="155"/>
        <v>OK</v>
      </c>
      <c r="AM1414" t="str">
        <f t="shared" si="156"/>
        <v>OK</v>
      </c>
      <c r="AN1414" s="1">
        <f>IF(AF1414=0,0,AH1414/AF1414)</f>
        <v>8.3333333333333329E-2</v>
      </c>
      <c r="AO1414" s="1">
        <f t="shared" si="157"/>
        <v>0.66666666666666663</v>
      </c>
      <c r="AP1414" s="1">
        <f t="shared" si="158"/>
        <v>0.5</v>
      </c>
      <c r="AQ1414" s="1">
        <f t="shared" si="159"/>
        <v>0.58333333333333337</v>
      </c>
    </row>
    <row r="1415" spans="1:43"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154"/>
        <v>OK</v>
      </c>
      <c r="AK1415" t="str">
        <f t="shared" si="160"/>
        <v>OK</v>
      </c>
      <c r="AL1415" t="str">
        <f t="shared" si="155"/>
        <v>OK</v>
      </c>
      <c r="AM1415" t="str">
        <f t="shared" si="156"/>
        <v>OK</v>
      </c>
      <c r="AN1415" s="1">
        <f>IF(AF1415=0,0,AH1415/AF1415)</f>
        <v>0</v>
      </c>
      <c r="AO1415" s="1">
        <f t="shared" si="157"/>
        <v>1</v>
      </c>
      <c r="AP1415" s="1">
        <f t="shared" si="158"/>
        <v>1</v>
      </c>
      <c r="AQ1415" s="1">
        <f t="shared" si="159"/>
        <v>1</v>
      </c>
    </row>
    <row r="1416" spans="1:43"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154"/>
        <v>OK</v>
      </c>
      <c r="AK1416" t="str">
        <f t="shared" si="160"/>
        <v>OK</v>
      </c>
      <c r="AL1416" t="str">
        <f t="shared" si="155"/>
        <v>OK</v>
      </c>
      <c r="AM1416" t="str">
        <f t="shared" si="156"/>
        <v>OK</v>
      </c>
      <c r="AN1416" s="1">
        <f>IF(AF1416=0,0,AH1416/AF1416)</f>
        <v>0.70588235294117652</v>
      </c>
      <c r="AO1416" s="1">
        <f t="shared" si="157"/>
        <v>0.82352941176470584</v>
      </c>
      <c r="AP1416" s="1">
        <f t="shared" si="158"/>
        <v>0.17647058823529413</v>
      </c>
      <c r="AQ1416" s="1">
        <f t="shared" si="159"/>
        <v>0.6470588235294118</v>
      </c>
    </row>
    <row r="1417" spans="1:43"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154"/>
        <v>OK</v>
      </c>
      <c r="AK1417" t="str">
        <f t="shared" si="160"/>
        <v>OK</v>
      </c>
      <c r="AL1417" t="str">
        <f t="shared" si="155"/>
        <v>OK</v>
      </c>
      <c r="AM1417" t="str">
        <f t="shared" si="156"/>
        <v>OK</v>
      </c>
      <c r="AN1417" s="1">
        <f>IF(AF1417=0,0,AH1417/AF1417)</f>
        <v>0</v>
      </c>
      <c r="AO1417" s="1">
        <f t="shared" si="157"/>
        <v>1</v>
      </c>
      <c r="AP1417" s="1">
        <f t="shared" si="158"/>
        <v>2</v>
      </c>
      <c r="AQ1417" s="1">
        <f t="shared" si="159"/>
        <v>0</v>
      </c>
    </row>
    <row r="1418" spans="1:43"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154"/>
        <v>OK</v>
      </c>
      <c r="AK1418" t="str">
        <f t="shared" si="160"/>
        <v>OK</v>
      </c>
      <c r="AL1418" t="str">
        <f t="shared" si="155"/>
        <v>OK</v>
      </c>
      <c r="AM1418" t="str">
        <f t="shared" si="156"/>
        <v>OK</v>
      </c>
      <c r="AN1418" s="1">
        <f>IF(AF1418=0,0,AH1418/AF1418)</f>
        <v>0.33333333333333331</v>
      </c>
      <c r="AO1418" s="1">
        <f t="shared" si="157"/>
        <v>0.8666666666666667</v>
      </c>
      <c r="AP1418" s="1">
        <f t="shared" si="158"/>
        <v>0.2</v>
      </c>
      <c r="AQ1418" s="1">
        <f t="shared" si="159"/>
        <v>0.53333333333333333</v>
      </c>
    </row>
    <row r="1419" spans="1:43"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154"/>
        <v>OK</v>
      </c>
      <c r="AK1419" t="str">
        <f t="shared" si="160"/>
        <v>OK</v>
      </c>
      <c r="AL1419" t="str">
        <f t="shared" si="155"/>
        <v>OK</v>
      </c>
      <c r="AM1419" t="str">
        <f t="shared" si="156"/>
        <v>OK</v>
      </c>
      <c r="AN1419" s="1">
        <f>IF(AF1419=0,0,AH1419/AF1419)</f>
        <v>0.5</v>
      </c>
      <c r="AO1419" s="1">
        <f t="shared" si="157"/>
        <v>1</v>
      </c>
      <c r="AP1419" s="1">
        <f t="shared" si="158"/>
        <v>0.5</v>
      </c>
      <c r="AQ1419" s="1">
        <f t="shared" si="159"/>
        <v>1</v>
      </c>
    </row>
    <row r="1420" spans="1:43"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154"/>
        <v>OK</v>
      </c>
      <c r="AK1420" t="str">
        <f t="shared" si="160"/>
        <v>OK</v>
      </c>
      <c r="AL1420" t="str">
        <f t="shared" si="155"/>
        <v>OK</v>
      </c>
      <c r="AM1420" t="str">
        <f t="shared" si="156"/>
        <v>OK</v>
      </c>
      <c r="AN1420" s="1">
        <f>IF(AF1420=0,0,AH1420/AF1420)</f>
        <v>0.875</v>
      </c>
      <c r="AO1420" s="1">
        <f t="shared" si="157"/>
        <v>0.375</v>
      </c>
      <c r="AP1420" s="1">
        <f t="shared" si="158"/>
        <v>0.125</v>
      </c>
      <c r="AQ1420" s="1">
        <f t="shared" si="159"/>
        <v>0.875</v>
      </c>
    </row>
    <row r="1421" spans="1:43"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154"/>
        <v>OK</v>
      </c>
      <c r="AK1421" t="str">
        <f t="shared" si="160"/>
        <v>OK</v>
      </c>
      <c r="AL1421" t="str">
        <f t="shared" si="155"/>
        <v>OK</v>
      </c>
      <c r="AM1421" t="str">
        <f t="shared" si="156"/>
        <v>OK</v>
      </c>
      <c r="AN1421" s="1">
        <f>IF(AF1421=0,0,AH1421/AF1421)</f>
        <v>0.25</v>
      </c>
      <c r="AO1421" s="1">
        <f t="shared" si="157"/>
        <v>0.75</v>
      </c>
      <c r="AP1421" s="1">
        <f t="shared" si="158"/>
        <v>0.75</v>
      </c>
      <c r="AQ1421" s="1">
        <f t="shared" si="159"/>
        <v>0.5</v>
      </c>
    </row>
    <row r="1422" spans="1:43"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154"/>
        <v>OK</v>
      </c>
      <c r="AK1422" t="str">
        <f t="shared" si="160"/>
        <v>OK</v>
      </c>
      <c r="AL1422" t="str">
        <f t="shared" si="155"/>
        <v>OK</v>
      </c>
      <c r="AM1422" t="str">
        <f t="shared" si="156"/>
        <v>OK</v>
      </c>
      <c r="AN1422" s="1">
        <f>IF(AF1422=0,0,AH1422/AF1422)</f>
        <v>0.2</v>
      </c>
      <c r="AO1422" s="1">
        <f t="shared" si="157"/>
        <v>0.6</v>
      </c>
      <c r="AP1422" s="1">
        <f t="shared" si="158"/>
        <v>0.6</v>
      </c>
      <c r="AQ1422" s="1">
        <f t="shared" si="159"/>
        <v>0</v>
      </c>
    </row>
    <row r="1423" spans="1:43"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154"/>
        <v>OK</v>
      </c>
      <c r="AK1423" t="str">
        <f t="shared" si="160"/>
        <v>OK</v>
      </c>
      <c r="AL1423" t="str">
        <f t="shared" si="155"/>
        <v>OK</v>
      </c>
      <c r="AM1423" t="str">
        <f t="shared" si="156"/>
        <v>OK</v>
      </c>
      <c r="AN1423" s="1">
        <f>IF(AF1423=0,0,AH1423/AF1423)</f>
        <v>0.38461538461538464</v>
      </c>
      <c r="AO1423" s="1">
        <f t="shared" si="157"/>
        <v>0.61538461538461542</v>
      </c>
      <c r="AP1423" s="1">
        <f t="shared" si="158"/>
        <v>0.23076923076923078</v>
      </c>
      <c r="AQ1423" s="1">
        <f t="shared" si="159"/>
        <v>0.92307692307692313</v>
      </c>
    </row>
    <row r="1424" spans="1:43"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154"/>
        <v>OK</v>
      </c>
      <c r="AK1424" t="str">
        <f t="shared" si="160"/>
        <v>OK</v>
      </c>
      <c r="AL1424" t="str">
        <f t="shared" si="155"/>
        <v>OK</v>
      </c>
      <c r="AM1424" t="str">
        <f t="shared" si="156"/>
        <v>OK</v>
      </c>
      <c r="AN1424" s="1">
        <f>IF(AF1424=0,0,AH1424/AF1424)</f>
        <v>1</v>
      </c>
      <c r="AO1424" s="1">
        <f t="shared" si="157"/>
        <v>1</v>
      </c>
      <c r="AP1424" s="1">
        <f t="shared" si="158"/>
        <v>1.5</v>
      </c>
      <c r="AQ1424" s="1">
        <f t="shared" si="159"/>
        <v>1</v>
      </c>
    </row>
    <row r="1425" spans="1:43"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154"/>
        <v>OK</v>
      </c>
      <c r="AK1425" t="str">
        <f t="shared" si="160"/>
        <v>OK</v>
      </c>
      <c r="AL1425" t="str">
        <f t="shared" si="155"/>
        <v>OK</v>
      </c>
      <c r="AM1425" t="str">
        <f t="shared" si="156"/>
        <v>OK</v>
      </c>
      <c r="AN1425" s="1">
        <f>IF(AF1425=0,0,AH1425/AF1425)</f>
        <v>0.33333333333333331</v>
      </c>
      <c r="AO1425" s="1">
        <f t="shared" si="157"/>
        <v>0.66666666666666663</v>
      </c>
      <c r="AP1425" s="1">
        <f t="shared" si="158"/>
        <v>0.66666666666666663</v>
      </c>
      <c r="AQ1425" s="1">
        <f t="shared" si="159"/>
        <v>0.66666666666666663</v>
      </c>
    </row>
    <row r="1426" spans="1:43"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154"/>
        <v>OK</v>
      </c>
      <c r="AK1426" t="str">
        <f t="shared" si="160"/>
        <v>OK</v>
      </c>
      <c r="AL1426" t="str">
        <f t="shared" si="155"/>
        <v>OK</v>
      </c>
      <c r="AM1426" t="str">
        <f t="shared" si="156"/>
        <v>OK</v>
      </c>
      <c r="AN1426" s="1">
        <f>IF(AF1426=0,0,AH1426/AF1426)</f>
        <v>0</v>
      </c>
      <c r="AO1426" s="1">
        <f t="shared" si="157"/>
        <v>0.7</v>
      </c>
      <c r="AP1426" s="1">
        <f t="shared" si="158"/>
        <v>0.5</v>
      </c>
      <c r="AQ1426" s="1">
        <f t="shared" si="159"/>
        <v>0.8</v>
      </c>
    </row>
    <row r="1427" spans="1:43"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154"/>
        <v>OK</v>
      </c>
      <c r="AK1427" t="str">
        <f t="shared" si="160"/>
        <v>OK</v>
      </c>
      <c r="AL1427" t="str">
        <f t="shared" si="155"/>
        <v>OK</v>
      </c>
      <c r="AM1427" t="str">
        <f t="shared" si="156"/>
        <v>OK</v>
      </c>
      <c r="AN1427" s="1">
        <f>IF(AF1427=0,0,AH1427/AF1427)</f>
        <v>0.88888888888888884</v>
      </c>
      <c r="AO1427" s="1">
        <f t="shared" si="157"/>
        <v>0.77777777777777779</v>
      </c>
      <c r="AP1427" s="1">
        <f t="shared" si="158"/>
        <v>0.66666666666666663</v>
      </c>
      <c r="AQ1427" s="1">
        <f t="shared" si="159"/>
        <v>0.1111111111111111</v>
      </c>
    </row>
    <row r="1428" spans="1:43"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154"/>
        <v>OK</v>
      </c>
      <c r="AK1428" t="str">
        <f t="shared" si="160"/>
        <v>OK</v>
      </c>
      <c r="AL1428" t="str">
        <f t="shared" si="155"/>
        <v>OK</v>
      </c>
      <c r="AM1428" t="str">
        <f t="shared" si="156"/>
        <v>OK</v>
      </c>
      <c r="AN1428" s="1">
        <f>IF(AF1428=0,0,AH1428/AF1428)</f>
        <v>0.66666666666666663</v>
      </c>
      <c r="AO1428" s="1">
        <f t="shared" si="157"/>
        <v>0.33333333333333331</v>
      </c>
      <c r="AP1428" s="1">
        <f t="shared" si="158"/>
        <v>0.5</v>
      </c>
      <c r="AQ1428" s="1">
        <f t="shared" si="159"/>
        <v>0.16666666666666666</v>
      </c>
    </row>
    <row r="1429" spans="1:43"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154"/>
        <v>OK</v>
      </c>
      <c r="AK1429" t="str">
        <f t="shared" si="160"/>
        <v>OK</v>
      </c>
      <c r="AL1429" t="str">
        <f t="shared" si="155"/>
        <v>OK</v>
      </c>
      <c r="AM1429" t="str">
        <f t="shared" si="156"/>
        <v>OK</v>
      </c>
      <c r="AN1429" s="1">
        <f>IF(AF1429=0,0,AH1429/AF1429)</f>
        <v>0</v>
      </c>
      <c r="AO1429" s="1">
        <f t="shared" si="157"/>
        <v>0</v>
      </c>
      <c r="AP1429" s="1">
        <f t="shared" si="158"/>
        <v>3</v>
      </c>
      <c r="AQ1429" s="1">
        <f t="shared" si="159"/>
        <v>0</v>
      </c>
    </row>
    <row r="1430" spans="1:43"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154"/>
        <v>OK</v>
      </c>
      <c r="AK1430" t="str">
        <f t="shared" si="160"/>
        <v>OK</v>
      </c>
      <c r="AL1430" t="str">
        <f t="shared" si="155"/>
        <v>OK</v>
      </c>
      <c r="AM1430" t="str">
        <f t="shared" si="156"/>
        <v>OK</v>
      </c>
      <c r="AN1430" s="1">
        <f>IF(AF1430=0,0,AH1430/AF1430)</f>
        <v>1</v>
      </c>
      <c r="AO1430" s="1">
        <f t="shared" si="157"/>
        <v>1</v>
      </c>
      <c r="AP1430" s="1">
        <f t="shared" si="158"/>
        <v>1</v>
      </c>
      <c r="AQ1430" s="1">
        <f t="shared" si="159"/>
        <v>1</v>
      </c>
    </row>
    <row r="1431" spans="1:43"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154"/>
        <v>OK</v>
      </c>
      <c r="AK1431" t="str">
        <f t="shared" si="160"/>
        <v>OK</v>
      </c>
      <c r="AL1431" t="str">
        <f t="shared" si="155"/>
        <v>OK</v>
      </c>
      <c r="AM1431" t="str">
        <f t="shared" si="156"/>
        <v>OK</v>
      </c>
      <c r="AN1431" s="1">
        <f>IF(AF1431=0,0,AH1431/AF1431)</f>
        <v>0.14285714285714285</v>
      </c>
      <c r="AO1431" s="1">
        <f t="shared" si="157"/>
        <v>1</v>
      </c>
      <c r="AP1431" s="1">
        <f t="shared" si="158"/>
        <v>0.2857142857142857</v>
      </c>
      <c r="AQ1431" s="1">
        <f t="shared" si="159"/>
        <v>1</v>
      </c>
    </row>
    <row r="1432" spans="1:43"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154"/>
        <v>OK</v>
      </c>
      <c r="AK1432" t="str">
        <f t="shared" si="160"/>
        <v>OK</v>
      </c>
      <c r="AL1432" t="str">
        <f t="shared" si="155"/>
        <v>OK</v>
      </c>
      <c r="AM1432" t="str">
        <f t="shared" si="156"/>
        <v>OK</v>
      </c>
      <c r="AN1432" s="1">
        <f>IF(AF1432=0,0,AH1432/AF1432)</f>
        <v>5.5555555555555552E-2</v>
      </c>
      <c r="AO1432" s="1">
        <f t="shared" si="157"/>
        <v>0.88888888888888884</v>
      </c>
      <c r="AP1432" s="1">
        <f t="shared" si="158"/>
        <v>0.16666666666666666</v>
      </c>
      <c r="AQ1432" s="1">
        <f t="shared" si="159"/>
        <v>0.61111111111111116</v>
      </c>
    </row>
    <row r="1433" spans="1:43"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154"/>
        <v>OK</v>
      </c>
      <c r="AK1433" t="str">
        <f t="shared" si="160"/>
        <v>OK</v>
      </c>
      <c r="AL1433" t="str">
        <f t="shared" si="155"/>
        <v>OK</v>
      </c>
      <c r="AM1433" t="str">
        <f t="shared" si="156"/>
        <v>OK</v>
      </c>
      <c r="AN1433" s="1">
        <f>IF(AF1433=0,0,AH1433/AF1433)</f>
        <v>0.35714285714285715</v>
      </c>
      <c r="AO1433" s="1">
        <f t="shared" si="157"/>
        <v>0.7142857142857143</v>
      </c>
      <c r="AP1433" s="1">
        <f t="shared" si="158"/>
        <v>0.21428571428571427</v>
      </c>
      <c r="AQ1433" s="1">
        <f t="shared" si="159"/>
        <v>0.5</v>
      </c>
    </row>
    <row r="1434" spans="1:43"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154"/>
        <v>OK</v>
      </c>
      <c r="AK1434" t="str">
        <f t="shared" si="160"/>
        <v>OK</v>
      </c>
      <c r="AL1434" t="str">
        <f t="shared" si="155"/>
        <v>OK</v>
      </c>
      <c r="AM1434" t="str">
        <f t="shared" si="156"/>
        <v>OK</v>
      </c>
      <c r="AN1434" s="1">
        <f>IF(AF1434=0,0,AH1434/AF1434)</f>
        <v>0.375</v>
      </c>
      <c r="AO1434" s="1">
        <f t="shared" si="157"/>
        <v>0.6875</v>
      </c>
      <c r="AP1434" s="1">
        <f t="shared" si="158"/>
        <v>0.125</v>
      </c>
      <c r="AQ1434" s="1">
        <f t="shared" si="159"/>
        <v>0.5</v>
      </c>
    </row>
    <row r="1435" spans="1:43"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154"/>
        <v>OK</v>
      </c>
      <c r="AK1435" t="str">
        <f t="shared" si="160"/>
        <v>OK</v>
      </c>
      <c r="AL1435" t="str">
        <f t="shared" si="155"/>
        <v>OK</v>
      </c>
      <c r="AM1435" t="str">
        <f t="shared" si="156"/>
        <v>OK</v>
      </c>
      <c r="AN1435" s="1">
        <f>IF(AF1435=0,0,AH1435/AF1435)</f>
        <v>0</v>
      </c>
      <c r="AO1435" s="1">
        <f t="shared" si="157"/>
        <v>0.6</v>
      </c>
      <c r="AP1435" s="1">
        <f t="shared" si="158"/>
        <v>0.6</v>
      </c>
      <c r="AQ1435" s="1">
        <f t="shared" si="159"/>
        <v>0.8</v>
      </c>
    </row>
    <row r="1436" spans="1:43"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154"/>
        <v>OK</v>
      </c>
      <c r="AK1436" t="str">
        <f t="shared" si="160"/>
        <v>OK</v>
      </c>
      <c r="AL1436" t="str">
        <f t="shared" si="155"/>
        <v>OK</v>
      </c>
      <c r="AM1436" t="str">
        <f t="shared" si="156"/>
        <v>OK</v>
      </c>
      <c r="AN1436" s="1">
        <f>IF(AF1436=0,0,AH1436/AF1436)</f>
        <v>0</v>
      </c>
      <c r="AO1436" s="1">
        <f t="shared" si="157"/>
        <v>0.88888888888888884</v>
      </c>
      <c r="AP1436" s="1">
        <f t="shared" si="158"/>
        <v>0.33333333333333331</v>
      </c>
      <c r="AQ1436" s="1">
        <f t="shared" si="159"/>
        <v>0</v>
      </c>
    </row>
    <row r="1437" spans="1:43"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154"/>
        <v>OK</v>
      </c>
      <c r="AK1437" t="str">
        <f t="shared" si="160"/>
        <v>OK</v>
      </c>
      <c r="AL1437" t="str">
        <f t="shared" si="155"/>
        <v>OK</v>
      </c>
      <c r="AM1437" t="str">
        <f t="shared" si="156"/>
        <v>OK</v>
      </c>
      <c r="AN1437" s="1">
        <f>IF(AF1437=0,0,AH1437/AF1437)</f>
        <v>0.25</v>
      </c>
      <c r="AO1437" s="1">
        <f t="shared" si="157"/>
        <v>0.75</v>
      </c>
      <c r="AP1437" s="1">
        <f t="shared" si="158"/>
        <v>0.5</v>
      </c>
      <c r="AQ1437" s="1">
        <f t="shared" si="159"/>
        <v>0.5</v>
      </c>
    </row>
    <row r="1438" spans="1:43"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154"/>
        <v>OK</v>
      </c>
      <c r="AK1438" t="str">
        <f t="shared" si="160"/>
        <v>OK</v>
      </c>
      <c r="AL1438" t="str">
        <f t="shared" si="155"/>
        <v>OK</v>
      </c>
      <c r="AM1438" t="str">
        <f t="shared" si="156"/>
        <v>OK</v>
      </c>
      <c r="AN1438" s="1">
        <f>IF(AF1438=0,0,AH1438/AF1438)</f>
        <v>0.5</v>
      </c>
      <c r="AO1438" s="1">
        <f t="shared" si="157"/>
        <v>1</v>
      </c>
      <c r="AP1438" s="1">
        <f t="shared" si="158"/>
        <v>3</v>
      </c>
      <c r="AQ1438" s="1">
        <f t="shared" si="159"/>
        <v>1</v>
      </c>
    </row>
    <row r="1439" spans="1:43"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154"/>
        <v>OK</v>
      </c>
      <c r="AK1439" t="str">
        <f t="shared" si="160"/>
        <v>OK</v>
      </c>
      <c r="AL1439" t="str">
        <f t="shared" si="155"/>
        <v>OK</v>
      </c>
      <c r="AM1439" t="str">
        <f t="shared" si="156"/>
        <v>OK</v>
      </c>
      <c r="AN1439" s="1">
        <f>IF(AF1439=0,0,AH1439/AF1439)</f>
        <v>0.16666666666666666</v>
      </c>
      <c r="AO1439" s="1">
        <f t="shared" si="157"/>
        <v>0</v>
      </c>
      <c r="AP1439" s="1">
        <f t="shared" si="158"/>
        <v>0.5</v>
      </c>
      <c r="AQ1439" s="1">
        <f t="shared" si="159"/>
        <v>0.5</v>
      </c>
    </row>
    <row r="1440" spans="1:43"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154"/>
        <v>OK</v>
      </c>
      <c r="AK1440" t="str">
        <f t="shared" si="160"/>
        <v>OK</v>
      </c>
      <c r="AL1440" t="str">
        <f t="shared" si="155"/>
        <v>OK</v>
      </c>
      <c r="AM1440" t="str">
        <f t="shared" si="156"/>
        <v>OK</v>
      </c>
      <c r="AN1440" s="1">
        <f>IF(AF1440=0,0,AH1440/AF1440)</f>
        <v>1</v>
      </c>
      <c r="AO1440" s="1">
        <f t="shared" si="157"/>
        <v>0</v>
      </c>
      <c r="AP1440" s="1">
        <f t="shared" si="158"/>
        <v>3</v>
      </c>
      <c r="AQ1440" s="1">
        <f t="shared" si="159"/>
        <v>0</v>
      </c>
    </row>
    <row r="1441" spans="1:43"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154"/>
        <v>OK</v>
      </c>
      <c r="AK1441" t="str">
        <f t="shared" si="160"/>
        <v>OK</v>
      </c>
      <c r="AL1441" t="str">
        <f t="shared" si="155"/>
        <v>OK</v>
      </c>
      <c r="AM1441" t="str">
        <f t="shared" si="156"/>
        <v>OK</v>
      </c>
      <c r="AN1441" s="1">
        <f>IF(AF1441=0,0,AH1441/AF1441)</f>
        <v>0.33333333333333331</v>
      </c>
      <c r="AO1441" s="1">
        <f t="shared" si="157"/>
        <v>0.77777777777777779</v>
      </c>
      <c r="AP1441" s="1">
        <f t="shared" si="158"/>
        <v>0.22222222222222221</v>
      </c>
      <c r="AQ1441" s="1">
        <f t="shared" si="159"/>
        <v>0.44444444444444442</v>
      </c>
    </row>
    <row r="1442" spans="1:43"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154"/>
        <v>OK</v>
      </c>
      <c r="AK1442" t="str">
        <f t="shared" si="160"/>
        <v>OK</v>
      </c>
      <c r="AL1442" t="str">
        <f t="shared" si="155"/>
        <v>OK</v>
      </c>
      <c r="AM1442" t="str">
        <f t="shared" si="156"/>
        <v>OK</v>
      </c>
      <c r="AN1442" s="1">
        <f>IF(AF1442=0,0,AH1442/AF1442)</f>
        <v>0</v>
      </c>
      <c r="AO1442" s="1">
        <f t="shared" si="157"/>
        <v>0.5</v>
      </c>
      <c r="AP1442" s="1">
        <f t="shared" si="158"/>
        <v>0.75</v>
      </c>
      <c r="AQ1442" s="1">
        <f t="shared" si="159"/>
        <v>0.5</v>
      </c>
    </row>
    <row r="1443" spans="1:43"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154"/>
        <v>OK</v>
      </c>
      <c r="AK1443" t="str">
        <f t="shared" si="160"/>
        <v>OK</v>
      </c>
      <c r="AL1443" t="str">
        <f t="shared" si="155"/>
        <v>OK</v>
      </c>
      <c r="AM1443" t="str">
        <f t="shared" si="156"/>
        <v>OK</v>
      </c>
      <c r="AN1443" s="1">
        <f>IF(AF1443=0,0,AH1443/AF1443)</f>
        <v>7.6923076923076927E-2</v>
      </c>
      <c r="AO1443" s="1">
        <f t="shared" si="157"/>
        <v>0.92307692307692313</v>
      </c>
      <c r="AP1443" s="1">
        <f t="shared" si="158"/>
        <v>0.15384615384615385</v>
      </c>
      <c r="AQ1443" s="1">
        <f t="shared" si="159"/>
        <v>0.69230769230769229</v>
      </c>
    </row>
    <row r="1444" spans="1:43"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154"/>
        <v>OK</v>
      </c>
      <c r="AK1444" t="str">
        <f t="shared" si="160"/>
        <v>OK</v>
      </c>
      <c r="AL1444" t="str">
        <f t="shared" si="155"/>
        <v>OK</v>
      </c>
      <c r="AM1444" t="str">
        <f t="shared" si="156"/>
        <v>OK</v>
      </c>
      <c r="AN1444" s="1">
        <f>IF(AF1444=0,0,AH1444/AF1444)</f>
        <v>1</v>
      </c>
      <c r="AO1444" s="1">
        <f t="shared" si="157"/>
        <v>1</v>
      </c>
      <c r="AP1444" s="1">
        <f t="shared" si="158"/>
        <v>1.5</v>
      </c>
      <c r="AQ1444" s="1">
        <f t="shared" si="159"/>
        <v>1</v>
      </c>
    </row>
    <row r="1445" spans="1:43"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154"/>
        <v>OK</v>
      </c>
      <c r="AK1445" t="str">
        <f t="shared" si="160"/>
        <v>OK</v>
      </c>
      <c r="AL1445" t="str">
        <f t="shared" si="155"/>
        <v>OK</v>
      </c>
      <c r="AM1445" t="str">
        <f t="shared" si="156"/>
        <v>OK</v>
      </c>
      <c r="AN1445" s="1">
        <f>IF(AF1445=0,0,AH1445/AF1445)</f>
        <v>0.18181818181818182</v>
      </c>
      <c r="AO1445" s="1">
        <f t="shared" si="157"/>
        <v>0.27272727272727271</v>
      </c>
      <c r="AP1445" s="1">
        <f t="shared" si="158"/>
        <v>9.0909090909090912E-2</v>
      </c>
      <c r="AQ1445" s="1">
        <f t="shared" si="159"/>
        <v>0.63636363636363635</v>
      </c>
    </row>
    <row r="1446" spans="1:43"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154"/>
        <v>OK</v>
      </c>
      <c r="AK1446" t="str">
        <f t="shared" si="160"/>
        <v>OK</v>
      </c>
      <c r="AL1446" t="str">
        <f t="shared" si="155"/>
        <v>OK</v>
      </c>
      <c r="AM1446" t="str">
        <f t="shared" si="156"/>
        <v>OK</v>
      </c>
      <c r="AN1446" s="1">
        <f>IF(AF1446=0,0,AH1446/AF1446)</f>
        <v>0.9</v>
      </c>
      <c r="AO1446" s="1">
        <f t="shared" si="157"/>
        <v>0.9</v>
      </c>
      <c r="AP1446" s="1">
        <f t="shared" si="158"/>
        <v>0.4</v>
      </c>
      <c r="AQ1446" s="1">
        <f t="shared" si="159"/>
        <v>0.8</v>
      </c>
    </row>
    <row r="1447" spans="1:43"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154"/>
        <v>OK</v>
      </c>
      <c r="AK1447" t="str">
        <f t="shared" si="160"/>
        <v>OK</v>
      </c>
      <c r="AL1447" t="str">
        <f t="shared" si="155"/>
        <v>OK</v>
      </c>
      <c r="AM1447" t="str">
        <f t="shared" si="156"/>
        <v>OK</v>
      </c>
      <c r="AN1447" s="1">
        <f>IF(AF1447=0,0,AH1447/AF1447)</f>
        <v>0</v>
      </c>
      <c r="AO1447" s="1">
        <f t="shared" si="157"/>
        <v>0.35</v>
      </c>
      <c r="AP1447" s="1">
        <f t="shared" si="158"/>
        <v>0.15</v>
      </c>
      <c r="AQ1447" s="1">
        <f t="shared" si="159"/>
        <v>0.5</v>
      </c>
    </row>
    <row r="1448" spans="1:43"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154"/>
        <v>OK</v>
      </c>
      <c r="AK1448" t="str">
        <f t="shared" si="160"/>
        <v>OK</v>
      </c>
      <c r="AL1448" t="str">
        <f t="shared" si="155"/>
        <v>OK</v>
      </c>
      <c r="AM1448" t="str">
        <f t="shared" si="156"/>
        <v>OK</v>
      </c>
      <c r="AN1448" s="1">
        <f>IF(AF1448=0,0,AH1448/AF1448)</f>
        <v>0.125</v>
      </c>
      <c r="AO1448" s="1">
        <f t="shared" si="157"/>
        <v>0.875</v>
      </c>
      <c r="AP1448" s="1">
        <f t="shared" si="158"/>
        <v>0.25</v>
      </c>
      <c r="AQ1448" s="1">
        <f t="shared" si="159"/>
        <v>0.875</v>
      </c>
    </row>
    <row r="1449" spans="1:43"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154"/>
        <v>OK</v>
      </c>
      <c r="AK1449" t="str">
        <f t="shared" si="160"/>
        <v>OK</v>
      </c>
      <c r="AL1449" t="str">
        <f t="shared" si="155"/>
        <v>OK</v>
      </c>
      <c r="AM1449" t="str">
        <f t="shared" si="156"/>
        <v>OK</v>
      </c>
      <c r="AN1449" s="1">
        <f>IF(AF1449=0,0,AH1449/AF1449)</f>
        <v>0.73333333333333328</v>
      </c>
      <c r="AO1449" s="1">
        <f t="shared" si="157"/>
        <v>0.8</v>
      </c>
      <c r="AP1449" s="1">
        <f t="shared" si="158"/>
        <v>0.26666666666666666</v>
      </c>
      <c r="AQ1449" s="1">
        <f t="shared" si="159"/>
        <v>0.73333333333333328</v>
      </c>
    </row>
    <row r="1450" spans="1:43"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154"/>
        <v>OK</v>
      </c>
      <c r="AK1450" t="str">
        <f t="shared" si="160"/>
        <v>OK</v>
      </c>
      <c r="AL1450" t="str">
        <f t="shared" si="155"/>
        <v>OK</v>
      </c>
      <c r="AM1450" t="str">
        <f t="shared" si="156"/>
        <v>OK</v>
      </c>
      <c r="AN1450" s="1">
        <f>IF(AF1450=0,0,AH1450/AF1450)</f>
        <v>0</v>
      </c>
      <c r="AO1450" s="1">
        <f t="shared" si="157"/>
        <v>0.8</v>
      </c>
      <c r="AP1450" s="1">
        <f t="shared" si="158"/>
        <v>1</v>
      </c>
      <c r="AQ1450" s="1">
        <f t="shared" si="159"/>
        <v>0.8</v>
      </c>
    </row>
    <row r="1451" spans="1:43"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154"/>
        <v>OK</v>
      </c>
      <c r="AK1451" t="str">
        <f t="shared" si="160"/>
        <v>OK</v>
      </c>
      <c r="AL1451" t="str">
        <f t="shared" si="155"/>
        <v>OK</v>
      </c>
      <c r="AM1451" t="str">
        <f t="shared" si="156"/>
        <v>OK</v>
      </c>
      <c r="AN1451" s="1">
        <f>IF(AF1451=0,0,AH1451/AF1451)</f>
        <v>0.25</v>
      </c>
      <c r="AO1451" s="1">
        <f t="shared" si="157"/>
        <v>0.5</v>
      </c>
      <c r="AP1451" s="1">
        <f t="shared" si="158"/>
        <v>1</v>
      </c>
      <c r="AQ1451" s="1">
        <f t="shared" si="159"/>
        <v>0.5</v>
      </c>
    </row>
    <row r="1452" spans="1:43"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154"/>
        <v>OK</v>
      </c>
      <c r="AK1452" t="str">
        <f t="shared" si="160"/>
        <v>OK</v>
      </c>
      <c r="AL1452" t="str">
        <f t="shared" si="155"/>
        <v>OK</v>
      </c>
      <c r="AM1452" t="str">
        <f t="shared" si="156"/>
        <v>OK</v>
      </c>
      <c r="AN1452" s="1">
        <f>IF(AF1452=0,0,AH1452/AF1452)</f>
        <v>0.1111111111111111</v>
      </c>
      <c r="AO1452" s="1">
        <f t="shared" si="157"/>
        <v>0</v>
      </c>
      <c r="AP1452" s="1">
        <f t="shared" si="158"/>
        <v>0.22222222222222221</v>
      </c>
      <c r="AQ1452" s="1">
        <f t="shared" si="159"/>
        <v>0.77777777777777779</v>
      </c>
    </row>
    <row r="1453" spans="1:43"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154"/>
        <v>OK</v>
      </c>
      <c r="AK1453" t="str">
        <f t="shared" si="160"/>
        <v>OK</v>
      </c>
      <c r="AL1453" t="str">
        <f t="shared" si="155"/>
        <v>OK</v>
      </c>
      <c r="AM1453" t="str">
        <f t="shared" si="156"/>
        <v>OK</v>
      </c>
      <c r="AN1453" s="1">
        <f>IF(AF1453=0,0,AH1453/AF1453)</f>
        <v>0.1</v>
      </c>
      <c r="AO1453" s="1">
        <f t="shared" si="157"/>
        <v>0.7</v>
      </c>
      <c r="AP1453" s="1">
        <f t="shared" si="158"/>
        <v>0.1</v>
      </c>
      <c r="AQ1453" s="1">
        <f t="shared" si="159"/>
        <v>0.9</v>
      </c>
    </row>
    <row r="1454" spans="1:43"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154"/>
        <v>OK</v>
      </c>
      <c r="AK1454" t="str">
        <f t="shared" si="160"/>
        <v>OK</v>
      </c>
      <c r="AL1454" t="str">
        <f t="shared" si="155"/>
        <v>OK</v>
      </c>
      <c r="AM1454" t="str">
        <f t="shared" si="156"/>
        <v>OK</v>
      </c>
      <c r="AN1454" s="1">
        <f>IF(AF1454=0,0,AH1454/AF1454)</f>
        <v>0</v>
      </c>
      <c r="AO1454" s="1">
        <f t="shared" si="157"/>
        <v>0.5</v>
      </c>
      <c r="AP1454" s="1">
        <f t="shared" si="158"/>
        <v>0.5</v>
      </c>
      <c r="AQ1454" s="1">
        <f t="shared" si="159"/>
        <v>0.16666666666666666</v>
      </c>
    </row>
    <row r="1455" spans="1:43"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154"/>
        <v>OK</v>
      </c>
      <c r="AK1455" t="str">
        <f t="shared" si="160"/>
        <v>OK</v>
      </c>
      <c r="AL1455" t="str">
        <f t="shared" si="155"/>
        <v>OK</v>
      </c>
      <c r="AM1455" t="str">
        <f t="shared" si="156"/>
        <v>OK</v>
      </c>
      <c r="AN1455" s="1">
        <f>IF(AF1455=0,0,AH1455/AF1455)</f>
        <v>0</v>
      </c>
      <c r="AO1455" s="1">
        <f t="shared" si="157"/>
        <v>0.5</v>
      </c>
      <c r="AP1455" s="1">
        <f t="shared" si="158"/>
        <v>0.33333333333333331</v>
      </c>
      <c r="AQ1455" s="1">
        <f t="shared" si="159"/>
        <v>0</v>
      </c>
    </row>
    <row r="1456" spans="1:43"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154"/>
        <v>OK</v>
      </c>
      <c r="AK1456" t="str">
        <f t="shared" si="160"/>
        <v>OK</v>
      </c>
      <c r="AL1456" t="str">
        <f t="shared" si="155"/>
        <v>OK</v>
      </c>
      <c r="AM1456" t="str">
        <f t="shared" si="156"/>
        <v>OK</v>
      </c>
      <c r="AN1456" s="1">
        <f>IF(AF1456=0,0,AH1456/AF1456)</f>
        <v>0</v>
      </c>
      <c r="AO1456" s="1">
        <f t="shared" si="157"/>
        <v>0.6</v>
      </c>
      <c r="AP1456" s="1">
        <f t="shared" si="158"/>
        <v>0.6</v>
      </c>
      <c r="AQ1456" s="1">
        <f t="shared" si="159"/>
        <v>0.2</v>
      </c>
    </row>
    <row r="1457" spans="1:43"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154"/>
        <v>OK</v>
      </c>
      <c r="AK1457" t="str">
        <f t="shared" si="160"/>
        <v>OK</v>
      </c>
      <c r="AL1457" t="str">
        <f t="shared" si="155"/>
        <v>OK</v>
      </c>
      <c r="AM1457" t="str">
        <f t="shared" si="156"/>
        <v>OK</v>
      </c>
      <c r="AN1457" s="1">
        <f>IF(AF1457=0,0,AH1457/AF1457)</f>
        <v>1</v>
      </c>
      <c r="AO1457" s="1">
        <f t="shared" si="157"/>
        <v>1</v>
      </c>
      <c r="AP1457" s="1">
        <f t="shared" si="158"/>
        <v>1</v>
      </c>
      <c r="AQ1457" s="1">
        <f t="shared" si="159"/>
        <v>1</v>
      </c>
    </row>
    <row r="1458" spans="1:43"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154"/>
        <v>OK</v>
      </c>
      <c r="AK1458" t="str">
        <f t="shared" si="160"/>
        <v>OK</v>
      </c>
      <c r="AL1458" t="str">
        <f t="shared" si="155"/>
        <v>OK</v>
      </c>
      <c r="AM1458" t="str">
        <f t="shared" si="156"/>
        <v>OK</v>
      </c>
      <c r="AN1458" s="1">
        <f>IF(AF1458=0,0,AH1458/AF1458)</f>
        <v>0</v>
      </c>
      <c r="AO1458" s="1">
        <f t="shared" si="157"/>
        <v>0.2</v>
      </c>
      <c r="AP1458" s="1">
        <f t="shared" si="158"/>
        <v>0.2</v>
      </c>
      <c r="AQ1458" s="1">
        <f t="shared" si="159"/>
        <v>0.2</v>
      </c>
    </row>
    <row r="1459" spans="1:43"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154"/>
        <v>OK</v>
      </c>
      <c r="AK1459" t="str">
        <f t="shared" si="160"/>
        <v>OK</v>
      </c>
      <c r="AL1459" t="str">
        <f t="shared" si="155"/>
        <v>OK</v>
      </c>
      <c r="AM1459" t="str">
        <f t="shared" si="156"/>
        <v>OK</v>
      </c>
      <c r="AN1459" s="1">
        <f>IF(AF1459=0,0,AH1459/AF1459)</f>
        <v>0</v>
      </c>
      <c r="AO1459" s="1">
        <f t="shared" si="157"/>
        <v>0.6</v>
      </c>
      <c r="AP1459" s="1">
        <f t="shared" si="158"/>
        <v>0.4</v>
      </c>
      <c r="AQ1459" s="1">
        <f t="shared" si="159"/>
        <v>0.4</v>
      </c>
    </row>
    <row r="1460" spans="1:43"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154"/>
        <v>OK</v>
      </c>
      <c r="AK1460" t="str">
        <f t="shared" si="160"/>
        <v>OK</v>
      </c>
      <c r="AL1460" t="str">
        <f t="shared" si="155"/>
        <v>OK</v>
      </c>
      <c r="AM1460" t="str">
        <f t="shared" si="156"/>
        <v>OK</v>
      </c>
      <c r="AN1460" s="1">
        <f>IF(AF1460=0,0,AH1460/AF1460)</f>
        <v>0.25</v>
      </c>
      <c r="AO1460" s="1">
        <f t="shared" si="157"/>
        <v>0.75</v>
      </c>
      <c r="AP1460" s="1">
        <f t="shared" si="158"/>
        <v>1.25</v>
      </c>
      <c r="AQ1460" s="1">
        <f t="shared" si="159"/>
        <v>0.25</v>
      </c>
    </row>
    <row r="1461" spans="1:43"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154"/>
        <v>OK</v>
      </c>
      <c r="AK1461" t="str">
        <f t="shared" si="160"/>
        <v>OK</v>
      </c>
      <c r="AL1461" t="str">
        <f t="shared" si="155"/>
        <v>OK</v>
      </c>
      <c r="AM1461" t="str">
        <f t="shared" si="156"/>
        <v>OK</v>
      </c>
      <c r="AN1461" s="1">
        <f>IF(AF1461=0,0,AH1461/AF1461)</f>
        <v>0</v>
      </c>
      <c r="AO1461" s="1">
        <f t="shared" si="157"/>
        <v>0.75</v>
      </c>
      <c r="AP1461" s="1">
        <f t="shared" si="158"/>
        <v>0.5</v>
      </c>
      <c r="AQ1461" s="1">
        <f t="shared" si="159"/>
        <v>0.75</v>
      </c>
    </row>
    <row r="1462" spans="1:43"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154"/>
        <v>OK</v>
      </c>
      <c r="AK1462" t="str">
        <f t="shared" si="160"/>
        <v>OK</v>
      </c>
      <c r="AL1462" t="str">
        <f t="shared" si="155"/>
        <v>OK</v>
      </c>
      <c r="AM1462" t="str">
        <f t="shared" si="156"/>
        <v>OK</v>
      </c>
      <c r="AN1462" s="1">
        <f>IF(AF1462=0,0,AH1462/AF1462)</f>
        <v>0</v>
      </c>
      <c r="AO1462" s="1">
        <f t="shared" si="157"/>
        <v>0.8</v>
      </c>
      <c r="AP1462" s="1">
        <f t="shared" si="158"/>
        <v>0.6</v>
      </c>
      <c r="AQ1462" s="1">
        <f t="shared" si="159"/>
        <v>0.8</v>
      </c>
    </row>
    <row r="1463" spans="1:43"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154"/>
        <v>OK</v>
      </c>
      <c r="AK1463" t="str">
        <f t="shared" si="160"/>
        <v>OK</v>
      </c>
      <c r="AL1463" t="str">
        <f t="shared" si="155"/>
        <v>OK</v>
      </c>
      <c r="AM1463" t="str">
        <f t="shared" si="156"/>
        <v>OK</v>
      </c>
      <c r="AN1463" s="1">
        <f>IF(AF1463=0,0,AH1463/AF1463)</f>
        <v>0.66666666666666663</v>
      </c>
      <c r="AO1463" s="1">
        <f t="shared" si="157"/>
        <v>0.66666666666666663</v>
      </c>
      <c r="AP1463" s="1">
        <f t="shared" si="158"/>
        <v>1</v>
      </c>
      <c r="AQ1463" s="1">
        <f t="shared" si="159"/>
        <v>0</v>
      </c>
    </row>
    <row r="1464" spans="1:43"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154"/>
        <v>OK</v>
      </c>
      <c r="AK1464" t="str">
        <f t="shared" si="160"/>
        <v>OK</v>
      </c>
      <c r="AL1464" t="str">
        <f t="shared" si="155"/>
        <v>OK</v>
      </c>
      <c r="AM1464" t="str">
        <f t="shared" si="156"/>
        <v>OK</v>
      </c>
      <c r="AN1464" s="1">
        <f>IF(AF1464=0,0,AH1464/AF1464)</f>
        <v>0.45</v>
      </c>
      <c r="AO1464" s="1">
        <f t="shared" si="157"/>
        <v>0.45</v>
      </c>
      <c r="AP1464" s="1">
        <f t="shared" si="158"/>
        <v>0.1</v>
      </c>
      <c r="AQ1464" s="1">
        <f t="shared" si="159"/>
        <v>0.3</v>
      </c>
    </row>
    <row r="1465" spans="1:43"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154"/>
        <v>OK</v>
      </c>
      <c r="AK1465" t="str">
        <f t="shared" si="160"/>
        <v>OK</v>
      </c>
      <c r="AL1465" t="str">
        <f t="shared" si="155"/>
        <v>OK</v>
      </c>
      <c r="AM1465" t="str">
        <f t="shared" si="156"/>
        <v>OK</v>
      </c>
      <c r="AN1465" s="1">
        <f>IF(AF1465=0,0,AH1465/AF1465)</f>
        <v>0.1111111111111111</v>
      </c>
      <c r="AO1465" s="1">
        <f t="shared" si="157"/>
        <v>0.44444444444444442</v>
      </c>
      <c r="AP1465" s="1">
        <f t="shared" si="158"/>
        <v>0.22222222222222221</v>
      </c>
      <c r="AQ1465" s="1">
        <f t="shared" si="159"/>
        <v>0.77777777777777779</v>
      </c>
    </row>
    <row r="1466" spans="1:43"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154"/>
        <v>OK</v>
      </c>
      <c r="AK1466" t="str">
        <f t="shared" si="160"/>
        <v>OK</v>
      </c>
      <c r="AL1466" t="str">
        <f t="shared" si="155"/>
        <v>OK</v>
      </c>
      <c r="AM1466" t="str">
        <f t="shared" si="156"/>
        <v>OK</v>
      </c>
      <c r="AN1466" s="1">
        <f>IF(AF1466=0,0,AH1466/AF1466)</f>
        <v>0</v>
      </c>
      <c r="AO1466" s="1">
        <f t="shared" si="157"/>
        <v>0.5</v>
      </c>
      <c r="AP1466" s="1">
        <f t="shared" si="158"/>
        <v>0.5</v>
      </c>
      <c r="AQ1466" s="1">
        <f t="shared" si="159"/>
        <v>0</v>
      </c>
    </row>
    <row r="1467" spans="1:43"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154"/>
        <v>OK</v>
      </c>
      <c r="AK1467" t="str">
        <f t="shared" si="160"/>
        <v>OK</v>
      </c>
      <c r="AL1467" t="str">
        <f t="shared" si="155"/>
        <v>OK</v>
      </c>
      <c r="AM1467" t="str">
        <f t="shared" si="156"/>
        <v>OK</v>
      </c>
      <c r="AN1467" s="1">
        <f>IF(AF1467=0,0,AH1467/AF1467)</f>
        <v>0</v>
      </c>
      <c r="AO1467" s="1">
        <f t="shared" si="157"/>
        <v>0.4</v>
      </c>
      <c r="AP1467" s="1">
        <f t="shared" si="158"/>
        <v>0.6</v>
      </c>
      <c r="AQ1467" s="1">
        <f t="shared" si="159"/>
        <v>0.6</v>
      </c>
    </row>
    <row r="1468" spans="1:43"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IF(AF1468&lt;=AC1468, "OK", "ERROR")</f>
        <v>OK</v>
      </c>
      <c r="AK1468" t="str">
        <f t="shared" si="160"/>
        <v>OK</v>
      </c>
      <c r="AL1468" t="str">
        <f t="shared" si="155"/>
        <v>OK</v>
      </c>
      <c r="AM1468" t="str">
        <f t="shared" si="156"/>
        <v>OK</v>
      </c>
      <c r="AN1468" s="1">
        <f>IF(AF1468=0,0,AH1468/AF1468)</f>
        <v>0.14285714285714285</v>
      </c>
      <c r="AO1468" s="1">
        <f t="shared" si="157"/>
        <v>1</v>
      </c>
      <c r="AP1468" s="1">
        <f t="shared" si="158"/>
        <v>0.7142857142857143</v>
      </c>
      <c r="AQ1468" s="1">
        <f t="shared" si="159"/>
        <v>1</v>
      </c>
    </row>
    <row r="1469" spans="1:43"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ref="AJ1469:AJ1471" si="161">IF(AF1469&lt;=AC1469, "OK", "ERROR")</f>
        <v>OK</v>
      </c>
      <c r="AK1469" t="str">
        <f t="shared" si="160"/>
        <v>OK</v>
      </c>
      <c r="AL1469" t="str">
        <f t="shared" si="155"/>
        <v>OK</v>
      </c>
      <c r="AM1469" t="str">
        <f t="shared" si="156"/>
        <v>OK</v>
      </c>
      <c r="AN1469" s="1">
        <f>IF(AF1469=0,0,AH1469/AF1469)</f>
        <v>0</v>
      </c>
      <c r="AO1469" s="1">
        <f t="shared" si="157"/>
        <v>0.33333333333333331</v>
      </c>
      <c r="AP1469" s="1">
        <f t="shared" si="158"/>
        <v>0</v>
      </c>
      <c r="AQ1469" s="1">
        <f t="shared" si="159"/>
        <v>0.5</v>
      </c>
    </row>
    <row r="1470" spans="1:43"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161"/>
        <v>OK</v>
      </c>
      <c r="AK1470" t="str">
        <f t="shared" si="160"/>
        <v>OK</v>
      </c>
      <c r="AL1470" t="str">
        <f t="shared" si="155"/>
        <v>OK</v>
      </c>
      <c r="AM1470" t="str">
        <f t="shared" si="156"/>
        <v>OK</v>
      </c>
      <c r="AN1470" s="1">
        <f>IF(AF1470=0,0,AH1470/AF1470)</f>
        <v>0</v>
      </c>
      <c r="AO1470" s="1">
        <f t="shared" si="157"/>
        <v>0.66666666666666663</v>
      </c>
      <c r="AP1470" s="1">
        <f t="shared" si="158"/>
        <v>0.33333333333333331</v>
      </c>
      <c r="AQ1470" s="1">
        <f t="shared" si="159"/>
        <v>0.88888888888888884</v>
      </c>
    </row>
    <row r="1471" spans="1:43"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161"/>
        <v>OK</v>
      </c>
      <c r="AK1471" t="str">
        <f t="shared" si="160"/>
        <v>OK</v>
      </c>
      <c r="AL1471" t="str">
        <f t="shared" si="155"/>
        <v>OK</v>
      </c>
      <c r="AM1471" t="str">
        <f>IF(AI1471&lt;=AF1471,"OK","ERROR")</f>
        <v>OK</v>
      </c>
      <c r="AN1471" s="1">
        <f>IF(AF1471=0,0,AH1471/AF1471)</f>
        <v>0.25</v>
      </c>
      <c r="AO1471" s="1">
        <f t="shared" si="157"/>
        <v>0.75</v>
      </c>
      <c r="AP1471" s="1">
        <f t="shared" si="158"/>
        <v>0.75</v>
      </c>
      <c r="AQ1471" s="1">
        <f t="shared" si="159"/>
        <v>0.5</v>
      </c>
    </row>
    <row r="1472" spans="1:43" x14ac:dyDescent="0.35">
      <c r="AN1472" s="1"/>
      <c r="AO1472" s="1"/>
      <c r="AQ1472" s="1"/>
    </row>
  </sheetData>
  <pageMargins left="0.7" right="0.7" top="0.75" bottom="0.75" header="0.3" footer="0.3"/>
</worksheet>
</file>